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ucpredu.sharepoint.com/teams/DiretriosCCPA/Documentos Compartilhados/10_Analistas/10.09_Laura/TACH e agenda/2026_1/"/>
    </mc:Choice>
  </mc:AlternateContent>
  <xr:revisionPtr revIDLastSave="1165" documentId="8_{C2A40B22-82E3-482C-87CD-F12DFAB1102F}" xr6:coauthVersionLast="47" xr6:coauthVersionMax="47" xr10:uidLastSave="{1D246D04-F377-4B07-86C1-3430A4C79007}"/>
  <bookViews>
    <workbookView xWindow="-120" yWindow="-120" windowWidth="20730" windowHeight="11040" activeTab="4" xr2:uid="{00000000-000D-0000-FFFF-FFFF00000000}"/>
  </bookViews>
  <sheets>
    <sheet name="01.06" sheetId="8" r:id="rId1"/>
    <sheet name="08.06" sheetId="3" r:id="rId2"/>
    <sheet name="15.06" sheetId="9" r:id="rId3"/>
    <sheet name="22.06" sheetId="13" r:id="rId4"/>
    <sheet name="Resultado" sheetId="5" r:id="rId5"/>
    <sheet name="Planilha1" sheetId="14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4" hidden="1">Resultado!$A$1:$Y$57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4" l="1"/>
  <c r="D4" i="14"/>
  <c r="D5" i="14"/>
  <c r="D6" i="14"/>
  <c r="D7" i="14"/>
  <c r="D8" i="14"/>
  <c r="D9" i="14"/>
  <c r="D10" i="14"/>
  <c r="D11" i="14"/>
  <c r="D12" i="14"/>
  <c r="D2" i="14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2" i="5"/>
  <c r="Y2" i="5" s="1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2" i="5"/>
  <c r="M15" i="13"/>
  <c r="M16" i="13"/>
  <c r="N3" i="13" a="1"/>
  <c r="N4" i="13" a="1"/>
  <c r="N5" i="13" a="1"/>
  <c r="N6" i="13" a="1"/>
  <c r="N7" i="13" a="1"/>
  <c r="N2" i="3" a="1"/>
  <c r="N3" i="3" a="1"/>
  <c r="N4" i="3" a="1"/>
  <c r="N5" i="3" a="1"/>
  <c r="N6" i="3" a="1"/>
  <c r="N7" i="3" a="1"/>
  <c r="N8" i="3" a="1"/>
  <c r="N9" i="3" a="1"/>
  <c r="N10" i="3" a="1"/>
  <c r="N11" i="3" a="1"/>
  <c r="N12" i="3" a="1"/>
  <c r="N13" i="3" a="1"/>
  <c r="N14" i="3" a="1"/>
  <c r="N15" i="3" a="1"/>
  <c r="N16" i="3" a="1"/>
  <c r="N17" i="3" a="1"/>
  <c r="N18" i="3" a="1"/>
  <c r="N19" i="3" a="1"/>
  <c r="N20" i="3" a="1"/>
  <c r="N21" i="3" a="1"/>
  <c r="N22" i="3" a="1"/>
  <c r="N23" i="3" a="1"/>
  <c r="N24" i="3" a="1"/>
  <c r="N25" i="3" a="1"/>
  <c r="N26" i="3" a="1"/>
  <c r="N27" i="3" a="1"/>
  <c r="N28" i="3" a="1"/>
  <c r="N29" i="3" a="1"/>
  <c r="N30" i="3" a="1"/>
  <c r="N31" i="3" a="1"/>
  <c r="N32" i="3" a="1"/>
  <c r="N33" i="3" a="1"/>
  <c r="N34" i="3" a="1"/>
  <c r="N35" i="3" a="1"/>
  <c r="N36" i="3" a="1"/>
  <c r="N37" i="3" a="1"/>
  <c r="N38" i="3" a="1"/>
  <c r="N39" i="3" a="1"/>
  <c r="N40" i="3" a="1"/>
  <c r="N41" i="3" a="1"/>
  <c r="N42" i="3" a="1"/>
  <c r="N43" i="3" a="1"/>
  <c r="N44" i="3" a="1"/>
  <c r="N45" i="3" a="1"/>
  <c r="N46" i="3" a="1"/>
  <c r="N47" i="3" a="1"/>
  <c r="N48" i="3" a="1"/>
  <c r="N49" i="3" a="1"/>
  <c r="N50" i="3" a="1"/>
  <c r="N51" i="3" a="1"/>
  <c r="N52" i="3" a="1"/>
  <c r="N53" i="3" a="1"/>
  <c r="N54" i="3" a="1"/>
  <c r="N55" i="3" a="1"/>
  <c r="N56" i="3" a="1"/>
  <c r="N57" i="3" a="1"/>
  <c r="N58" i="3" a="1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" i="8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" i="3"/>
  <c r="N21" i="8"/>
  <c r="N2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" i="8"/>
  <c r="M21" i="13"/>
  <c r="N12" i="13" l="1" a="1"/>
  <c r="N15" i="13" a="1"/>
  <c r="N17" i="13" a="1"/>
  <c r="N10" i="13" a="1"/>
  <c r="N11" i="13" a="1"/>
  <c r="N13" i="13" a="1"/>
  <c r="N16" i="13" a="1"/>
  <c r="N2" i="13" a="1"/>
  <c r="N8" i="13" a="1"/>
  <c r="N9" i="13" a="1"/>
  <c r="N14" i="13" a="1"/>
  <c r="N18" i="13" a="1"/>
  <c r="N19" i="13" a="1"/>
  <c r="N20" i="13" a="1"/>
  <c r="N21" i="13" a="1"/>
  <c r="N22" i="13" a="1"/>
  <c r="N23" i="13" a="1"/>
  <c r="N24" i="13" a="1"/>
  <c r="N25" i="13" a="1"/>
  <c r="N26" i="13" a="1"/>
  <c r="N27" i="13" a="1"/>
  <c r="N28" i="13" a="1"/>
  <c r="N29" i="13" a="1"/>
  <c r="N30" i="13" a="1"/>
  <c r="M23" i="9"/>
  <c r="M24" i="9"/>
  <c r="N9" i="9" a="1"/>
  <c r="N7" i="9" a="1"/>
  <c r="N11" i="9" a="1"/>
  <c r="N13" i="9" a="1"/>
  <c r="N15" i="9" a="1"/>
  <c r="N18" i="9" a="1"/>
  <c r="N20" i="9" a="1"/>
  <c r="N22" i="9" a="1"/>
  <c r="N23" i="9" a="1"/>
  <c r="N24" i="9" a="1"/>
  <c r="N8" i="9" a="1"/>
  <c r="N3" i="9" a="1"/>
  <c r="N10" i="9" a="1"/>
  <c r="N12" i="9" a="1"/>
  <c r="N14" i="9" a="1"/>
  <c r="N17" i="9" a="1"/>
  <c r="N19" i="9" a="1"/>
  <c r="N21" i="9" a="1"/>
  <c r="N5" i="9" a="1"/>
  <c r="N6" i="9" a="1"/>
  <c r="N16" i="9" a="1"/>
  <c r="N2" i="9" a="1"/>
  <c r="N4" i="9" a="1"/>
  <c r="M2" i="3"/>
  <c r="N23" i="8"/>
  <c r="N24" i="8"/>
  <c r="M29" i="13"/>
  <c r="M28" i="13"/>
  <c r="M27" i="13"/>
  <c r="M26" i="13"/>
  <c r="M25" i="13"/>
  <c r="M24" i="13"/>
  <c r="M23" i="13"/>
  <c r="M22" i="13"/>
  <c r="M20" i="13"/>
  <c r="M19" i="13"/>
  <c r="M18" i="13"/>
  <c r="M17" i="13"/>
  <c r="M14" i="13"/>
  <c r="M13" i="13"/>
  <c r="M12" i="13"/>
  <c r="M11" i="13"/>
  <c r="M10" i="13"/>
  <c r="M9" i="13"/>
  <c r="M8" i="13"/>
  <c r="M7" i="13"/>
  <c r="M6" i="13"/>
  <c r="M5" i="13"/>
  <c r="M4" i="13"/>
  <c r="M3" i="13"/>
  <c r="M2" i="13"/>
  <c r="M21" i="9"/>
  <c r="M22" i="9"/>
  <c r="M20" i="9"/>
  <c r="M6" i="3"/>
  <c r="M7" i="3"/>
  <c r="M14" i="3"/>
  <c r="M17" i="3"/>
  <c r="M18" i="3"/>
  <c r="M21" i="3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2" i="9"/>
  <c r="M3" i="3"/>
  <c r="M4" i="3"/>
  <c r="M5" i="3"/>
  <c r="M8" i="3"/>
  <c r="M9" i="3"/>
  <c r="M10" i="3"/>
  <c r="M11" i="3"/>
  <c r="M12" i="3"/>
  <c r="M13" i="3"/>
  <c r="M15" i="3"/>
  <c r="M16" i="3"/>
  <c r="M19" i="3"/>
  <c r="M20" i="3"/>
  <c r="M22" i="3"/>
  <c r="Y30" i="5" l="1"/>
  <c r="Y34" i="5" l="1"/>
  <c r="Y46" i="5"/>
  <c r="Y54" i="5"/>
  <c r="Y42" i="5"/>
  <c r="Y43" i="5"/>
  <c r="Y31" i="5"/>
  <c r="Y40" i="5"/>
  <c r="Y28" i="5"/>
  <c r="Y37" i="5"/>
  <c r="Y3" i="5"/>
  <c r="Y56" i="5"/>
  <c r="Y32" i="5"/>
  <c r="Y17" i="5"/>
  <c r="Y45" i="5"/>
  <c r="Y18" i="5"/>
  <c r="Y39" i="5"/>
  <c r="Y24" i="5"/>
  <c r="Y19" i="5"/>
  <c r="Y16" i="5"/>
  <c r="Y13" i="5"/>
  <c r="Y7" i="5"/>
  <c r="Y6" i="5"/>
  <c r="Y4" i="5"/>
  <c r="Y35" i="5"/>
  <c r="Y29" i="5"/>
  <c r="Y25" i="5"/>
  <c r="Y9" i="5"/>
  <c r="Y41" i="5"/>
  <c r="Y5" i="5"/>
  <c r="Y52" i="5"/>
  <c r="Y11" i="5"/>
  <c r="Y22" i="5"/>
  <c r="Y10" i="5"/>
  <c r="Y33" i="5"/>
  <c r="Y38" i="5"/>
  <c r="Y27" i="5"/>
  <c r="Y8" i="5"/>
  <c r="Y21" i="5"/>
  <c r="Y36" i="5"/>
  <c r="Y23" i="5"/>
  <c r="Y44" i="5"/>
  <c r="Y20" i="5"/>
  <c r="Y50" i="5"/>
  <c r="Y49" i="5"/>
  <c r="Y14" i="5"/>
  <c r="Y55" i="5"/>
  <c r="Y26" i="5"/>
  <c r="Y48" i="5"/>
  <c r="Y57" i="5"/>
  <c r="Y15" i="5"/>
  <c r="Y47" i="5"/>
  <c r="Y12" i="5" l="1"/>
  <c r="Y53" i="5"/>
  <c r="Y5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<sst xmlns="http://schemas.openxmlformats.org/spreadsheetml/2006/main" count="1362" uniqueCount="170">
  <si>
    <t>Matricula</t>
  </si>
  <si>
    <t>Nome docente</t>
  </si>
  <si>
    <t>Horas a alocar</t>
  </si>
  <si>
    <t>Campus</t>
  </si>
  <si>
    <t>Curso</t>
  </si>
  <si>
    <t>Resultado Agenda</t>
  </si>
  <si>
    <t>Resultado TACH</t>
  </si>
  <si>
    <t>CH total de contrato</t>
  </si>
  <si>
    <t>Gera agenda</t>
  </si>
  <si>
    <t>Gera Agenda</t>
  </si>
  <si>
    <t>MATRICULA</t>
  </si>
  <si>
    <t xml:space="preserve">NOME </t>
  </si>
  <si>
    <t>SEMANA 1 - Pend. Agenda</t>
  </si>
  <si>
    <t>SEMANA 1 - Pend. TACH</t>
  </si>
  <si>
    <t>SEMANA 2 - Pend. Agenda</t>
  </si>
  <si>
    <t>SEMANA 2 - Pend. TACH</t>
  </si>
  <si>
    <t>SEMANA 3 - Pend. Agenda</t>
  </si>
  <si>
    <t>SEMANA 3 - Pend. TACH</t>
  </si>
  <si>
    <t>SEMANA 4 - Pend. Agenda</t>
  </si>
  <si>
    <t>SEMANA 4 - Pend. TACH</t>
  </si>
  <si>
    <t>SEMANA 5 - Pend. Agenda</t>
  </si>
  <si>
    <t>SEMANA 5 - Pend. TACH</t>
  </si>
  <si>
    <t>RESULTADO FINAL - Pend. Agenda</t>
  </si>
  <si>
    <t>RESULTADO FINAL - Pend. TACH</t>
  </si>
  <si>
    <t>Contagem Agenda</t>
  </si>
  <si>
    <t>Contagem TACH</t>
  </si>
  <si>
    <t>CONCLUSÃO</t>
  </si>
  <si>
    <t>Status 01/06</t>
  </si>
  <si>
    <t>Status 02/06</t>
  </si>
  <si>
    <t>Status 03/06</t>
  </si>
  <si>
    <t>Status 04/06</t>
  </si>
  <si>
    <t>Status 05/06</t>
  </si>
  <si>
    <t>Status 08/06</t>
  </si>
  <si>
    <t>Status 09/06</t>
  </si>
  <si>
    <t>Status 10/06</t>
  </si>
  <si>
    <t>Status 11/06</t>
  </si>
  <si>
    <t>Status 12/06</t>
  </si>
  <si>
    <t>Status 15/06</t>
  </si>
  <si>
    <t>Status 16/06</t>
  </si>
  <si>
    <t>Status 17/06</t>
  </si>
  <si>
    <t>Status 18/06</t>
  </si>
  <si>
    <t>Status 19/06</t>
  </si>
  <si>
    <t>Status 22/06</t>
  </si>
  <si>
    <t>Status 23/06</t>
  </si>
  <si>
    <t>Status 24/06</t>
  </si>
  <si>
    <t>Status 25/06</t>
  </si>
  <si>
    <t>Status 26/06</t>
  </si>
  <si>
    <t>ADALBERTO CARAMORI PETRY</t>
  </si>
  <si>
    <t>ANA LUIZA CHALUSNHAK</t>
  </si>
  <si>
    <t>ANDERSON NITSCHE</t>
  </si>
  <si>
    <t>ANDRE LUIZ DE SOUZA PAULA</t>
  </si>
  <si>
    <t>CESAR RIBEIRO ZUCCOLI</t>
  </si>
  <si>
    <t>CLAUDIA MARIA BORGES COSTA PINTO</t>
  </si>
  <si>
    <t>EMILE FERNANDES SPINASSI TEIXEIRA</t>
  </si>
  <si>
    <t>FERNANDA CATAFESTA UTZUMI</t>
  </si>
  <si>
    <t>HORACIO ALVARENGA MOREIRA</t>
  </si>
  <si>
    <t>ISABELA MAYUMI NAKANISHI TAKAKI</t>
  </si>
  <si>
    <t>JAMILE DA COSTA RIECHI</t>
  </si>
  <si>
    <t>JEFERSON DA COSTA VAZ</t>
  </si>
  <si>
    <t>JOACHIM ANDRADE</t>
  </si>
  <si>
    <t>LUIZ CARLOS CANTANHEDE FERNANDES JUNIOR</t>
  </si>
  <si>
    <t>MANOEL VALERIO DA SILVEIRA NETO</t>
  </si>
  <si>
    <t>MANUELA TORRADO TRUITI</t>
  </si>
  <si>
    <t>MARCO CESAR JORGE DOS SANTOS</t>
  </si>
  <si>
    <t>MARIA AUGUSTA NASCIMENTO HEIM</t>
  </si>
  <si>
    <t>MARILENA INDIRA WINTER</t>
  </si>
  <si>
    <t>PRISCILA BEATRIZ DE SOUZA MEDEIROS</t>
  </si>
  <si>
    <t>RICARDO BERNARDO DA SILVA</t>
  </si>
  <si>
    <t>2</t>
  </si>
  <si>
    <t>12</t>
  </si>
  <si>
    <t>18</t>
  </si>
  <si>
    <t>6</t>
  </si>
  <si>
    <t>20</t>
  </si>
  <si>
    <t>14</t>
  </si>
  <si>
    <t>7</t>
  </si>
  <si>
    <t>3</t>
  </si>
  <si>
    <t>8</t>
  </si>
  <si>
    <t>22</t>
  </si>
  <si>
    <t>16</t>
  </si>
  <si>
    <t>5</t>
  </si>
  <si>
    <t>4</t>
  </si>
  <si>
    <t>28</t>
  </si>
  <si>
    <t>CAMPUS CURITIBA</t>
  </si>
  <si>
    <t>4093 - DIREITO - ADM - CTBA (GRADUAÇÃO PRESENCIAL)</t>
  </si>
  <si>
    <t>103974 - ENGENHARIA DE SOFTWARE - ADM - CTBA (GRADUAÇÃO PRESENCIAL)</t>
  </si>
  <si>
    <t>3541 - MEDICINA - ADM - CTBA (GRADUAÇÃO PRESENCIAL)</t>
  </si>
  <si>
    <t>1031412 - CIBERSEGURANÇA - ADM - CTBA (GRADUAÇÃO PRESENCIAL)</t>
  </si>
  <si>
    <t>CAMPUS LONDRINA</t>
  </si>
  <si>
    <t>105237 - MEDICINA - ADM - LDN (GRADUAÇÃO PRESENCIAL)</t>
  </si>
  <si>
    <t>3524 - FISIOTERAPIA - ADM - CTBA (GRADUAÇÃO PRESENCIAL)</t>
  </si>
  <si>
    <t>4267 - FILOSOFIA - ADM - CTBA (GRADUAÇÃO PRESENCIAL)</t>
  </si>
  <si>
    <t>4250 - TEOLOGIA - ADM - CTBA (GRADUAÇÃO PRESENCIAL)</t>
  </si>
  <si>
    <t>CAMPUS TOLEDO</t>
  </si>
  <si>
    <t>112339 - MEDICINA - ADM - TLD (GRADUAÇÃO PRESENCIAL)</t>
  </si>
  <si>
    <t>Data de Admissão</t>
  </si>
  <si>
    <t>SIM</t>
  </si>
  <si>
    <t>FERIADO</t>
  </si>
  <si>
    <t>JACKSON LUIS SCHIRIGATTI</t>
  </si>
  <si>
    <t>LUIZ ALBERTO BLANCHET</t>
  </si>
  <si>
    <t>1031412 - Cibersegurança - Adm - CTBA (Graduação Presencial)</t>
  </si>
  <si>
    <t>4093 - Direito - Adm - CTBA (Graduação Presencial)</t>
  </si>
  <si>
    <t>NÃO</t>
  </si>
  <si>
    <t>02/05/2001</t>
  </si>
  <si>
    <t>23/02/2026</t>
  </si>
  <si>
    <t>01/03/2023</t>
  </si>
  <si>
    <t>11/05/2026</t>
  </si>
  <si>
    <t>01/04/2019</t>
  </si>
  <si>
    <t>03/03/2009</t>
  </si>
  <si>
    <t>09/03/2026</t>
  </si>
  <si>
    <t>07/08/2023</t>
  </si>
  <si>
    <t>02/10/2017</t>
  </si>
  <si>
    <t>24/07/2017</t>
  </si>
  <si>
    <t>02/03/2017</t>
  </si>
  <si>
    <t>15/02/2016</t>
  </si>
  <si>
    <t>02/05/2023</t>
  </si>
  <si>
    <t>10/02/2025</t>
  </si>
  <si>
    <t>11/02/2019</t>
  </si>
  <si>
    <t>24/07/2023</t>
  </si>
  <si>
    <t>09/05/1992</t>
  </si>
  <si>
    <t>10/02/2014</t>
  </si>
  <si>
    <t>02/03/2026</t>
  </si>
  <si>
    <t>02/05/1995</t>
  </si>
  <si>
    <t>NÃO CRIADO</t>
  </si>
  <si>
    <t>FINALIZADO</t>
  </si>
  <si>
    <t>RASCUNHO</t>
  </si>
  <si>
    <t>APROVADO</t>
  </si>
  <si>
    <t>AGUARDANDO APROVAÇÃO</t>
  </si>
  <si>
    <t>HUMBERTO MACIEL FRANCA MADEIRA</t>
  </si>
  <si>
    <t>JULIANA CONCEICAO NOSCHANG DA COSTA</t>
  </si>
  <si>
    <t>103572 - BIOTECNOLOGIA - ADM - CTBA (GRADUAÇÃO PRESENCIAL)</t>
  </si>
  <si>
    <t>103371 - MARKETING - ADM - CTBA (GRADUAÇÃO PRESENCIAL)</t>
  </si>
  <si>
    <t>CARINA FERNANDA MATTEDI</t>
  </si>
  <si>
    <t>JOSE EDUARDO NUNES LINO</t>
  </si>
  <si>
    <t>10326554 - Biomedicina - Adm - CTBA (Graduação Presencial)</t>
  </si>
  <si>
    <t>3776 - Ciência da Computação - Adm - CTBA (Graduação Presencial)</t>
  </si>
  <si>
    <t>MONICA REGINA DE MATOS</t>
  </si>
  <si>
    <t>RUI BOCCHINO MACEDO</t>
  </si>
  <si>
    <t>30</t>
  </si>
  <si>
    <t>2418 - MEDICINA VETERINÁRIA - ADM - TLD (GRADUAÇÃO PRESENCIAL)</t>
  </si>
  <si>
    <t>ALINE TANCLER STIPP</t>
  </si>
  <si>
    <t>CAMILA AMENT GIULIANI DOS SANTOS FRANCO</t>
  </si>
  <si>
    <t>105237 - Medicina - Adm - LDN (Graduação Presencial)</t>
  </si>
  <si>
    <t>3541 - Medicina - Adm - CTBA (Graduação Presencial)</t>
  </si>
  <si>
    <t>RENATA DINARDI BORGES LIBONI</t>
  </si>
  <si>
    <t>DATA DE ADMISSÃO</t>
  </si>
  <si>
    <t>01/12/1999</t>
  </si>
  <si>
    <t>12/08/2019</t>
  </si>
  <si>
    <t>01/06/2026</t>
  </si>
  <si>
    <t>15/02/2017</t>
  </si>
  <si>
    <t>05/03/2018</t>
  </si>
  <si>
    <t>05/02/2024</t>
  </si>
  <si>
    <t>22/07/2013</t>
  </si>
  <si>
    <t>01/05/2009</t>
  </si>
  <si>
    <t>01/09/2014</t>
  </si>
  <si>
    <t>-</t>
  </si>
  <si>
    <t>Pendência de Agenda</t>
  </si>
  <si>
    <t>Pendência de TACH</t>
  </si>
  <si>
    <t>Sem Pendência de TACH</t>
  </si>
  <si>
    <t>Sem Pendência</t>
  </si>
  <si>
    <t>Pendência de Agenda - FERIADO</t>
  </si>
  <si>
    <t>Pendência de TACH - FERIADO</t>
  </si>
  <si>
    <t>Sem Pendência- FERIADO</t>
  </si>
  <si>
    <t>Sem Pendência de TACH - FERIADO</t>
  </si>
  <si>
    <t>NOME</t>
  </si>
  <si>
    <t>CR</t>
  </si>
  <si>
    <t>CH DESCONTO</t>
  </si>
  <si>
    <t>OBSERVAÇÃO</t>
  </si>
  <si>
    <t>TACH criado - sem matriz</t>
  </si>
  <si>
    <t>Sem TACH - sem matriz</t>
  </si>
  <si>
    <t>TACH criado - com matriz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</si>
</sst>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ptos Narrow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vertical="center"/>
    </xf>
    <xf numFmtId="16" fontId="4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0" xfId="0" applyAlignment="1">
      <alignment wrapText="1"/>
    </xf>
    <xf numFmtId="49" fontId="6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BA8D7A21-4E94-4A6E-B42A-E71CF243D436}"/>
    <cellStyle name="Normal 3" xfId="2" xr:uid="{6439EAEA-A7F1-4682-8021-F64EFFAA6DD3}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10.10_Diogo/2%20-%20Atividades%20Pendentes%20Aloca&#231;&#227;o/6%20-%20Junho/Atv.%20Pendentes%20-%2008.06.2026%20a%2014.06.2026.xlsx" TargetMode="External"/><Relationship Id="rId2" Type="http://schemas.openxmlformats.org/officeDocument/2006/relationships/externalLinkPath" Target="https://pucpredu.sharepoint.com/teams/DiretriosCCPA/Documentos%20Compartilhados/10_Analistas/10.10_Diogo/2%20-%20Atividades%20Pendentes%20Aloca&#231;&#227;o/6%20-%20Junho/Atv.%20Pendentes%20-%2008.06.2026%20a%2014.06.2026.xlsx" TargetMode="External"/><Relationship Id="rId1" Type="http://schemas.openxmlformats.org/officeDocument/2006/relationships/externalLinkPath" Target="/teams/DiretriosCCPA/Documentos%20Compartilhados/10_Analistas/10.10_Diogo/2%20-%20Atividades%20Pendentes%20Aloca&#231;&#227;o/6%20-%20Junho/Atv.%20Pendentes%20-%2008.06.2026%20a%2014.06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esktop\C&#243;pia%20de%2006_2026.06.02_Contrato_Professores_ATIVOS.xlsx" TargetMode="External"/><Relationship Id="rId1" Type="http://schemas.openxmlformats.org/officeDocument/2006/relationships/externalLinkPath" Target="file:///C:\Users\laura.alsantos\Desktop\C&#243;pia%20de%2006_2026.06.02_Contrato_Professores_ATIVO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10.10_Diogo/3%20-%20Automa&#231;&#245;es/3%20-%20projeto_tach_powerbi/dados/saida/status_mensal/relatorio_status_JUNHO_2026.xlsx" TargetMode="External"/><Relationship Id="rId2" Type="http://schemas.openxmlformats.org/officeDocument/2006/relationships/externalLinkPath" Target="https://pucpredu.sharepoint.com/teams/DiretriosCCPA/Documentos%20Compartilhados/10_Analistas/10.10_Diogo/3%20-%20Automa&#231;&#245;es/3%20-%20projeto_tach_powerbi/dados/saida/status_mensal/relatorio_status_JUNHO_2026.xlsx" TargetMode="External"/><Relationship Id="rId1" Type="http://schemas.openxmlformats.org/officeDocument/2006/relationships/externalLinkPath" Target="/teams/DiretriosCCPA/Documentos%20Compartilhados/10_Analistas/10.10_Diogo/3%20-%20Automa&#231;&#245;es/3%20-%20projeto_tach_powerbi/dados/saida/status_mensal/relatorio_status_JUNHO_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a.alsantos\Desktop\C&#243;pia%20de%2006_2026.06.18_Contrato_Professores_ATIVOS.xlsx" TargetMode="External"/><Relationship Id="rId1" Type="http://schemas.openxmlformats.org/officeDocument/2006/relationships/externalLinkPath" Target="file:///C:\Users\laura.alsantos\Desktop\C&#243;pia%20de%2006_2026.06.18_Contrato_Professores_ATI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Filtros aplicados:
horasQueFaltamAlocar não é (Em branco), 0 ou -1</v>
          </cell>
        </row>
        <row r="3">
          <cell r="A3" t="str">
            <v>Matricula</v>
          </cell>
          <cell r="C3" t="str">
            <v>Horas a alocar</v>
          </cell>
        </row>
        <row r="4">
          <cell r="A4">
            <v>8306</v>
          </cell>
          <cell r="C4" t="str">
            <v>2</v>
          </cell>
        </row>
        <row r="5">
          <cell r="A5">
            <v>90013836</v>
          </cell>
          <cell r="C5" t="str">
            <v>2</v>
          </cell>
        </row>
        <row r="6">
          <cell r="A6">
            <v>90009703</v>
          </cell>
          <cell r="C6" t="str">
            <v>18</v>
          </cell>
        </row>
        <row r="7">
          <cell r="A7">
            <v>90005226</v>
          </cell>
          <cell r="C7" t="str">
            <v>14</v>
          </cell>
        </row>
        <row r="8">
          <cell r="A8">
            <v>90013955</v>
          </cell>
          <cell r="C8" t="str">
            <v>3</v>
          </cell>
        </row>
        <row r="9">
          <cell r="A9">
            <v>90010315</v>
          </cell>
          <cell r="C9" t="str">
            <v>20</v>
          </cell>
        </row>
        <row r="10">
          <cell r="A10">
            <v>90003306</v>
          </cell>
          <cell r="C10" t="str">
            <v>8</v>
          </cell>
        </row>
        <row r="11">
          <cell r="A11">
            <v>23702</v>
          </cell>
          <cell r="C11" t="str">
            <v>22</v>
          </cell>
        </row>
        <row r="12">
          <cell r="A12">
            <v>90013958</v>
          </cell>
          <cell r="C12" t="str">
            <v>2</v>
          </cell>
        </row>
        <row r="13">
          <cell r="A13">
            <v>90005652</v>
          </cell>
          <cell r="C13" t="str">
            <v>3</v>
          </cell>
        </row>
        <row r="14">
          <cell r="A14">
            <v>90001409</v>
          </cell>
          <cell r="C14" t="str">
            <v>20</v>
          </cell>
        </row>
        <row r="15">
          <cell r="A15">
            <v>90009989</v>
          </cell>
          <cell r="C15" t="str">
            <v>2</v>
          </cell>
        </row>
        <row r="16">
          <cell r="A16">
            <v>90012360</v>
          </cell>
          <cell r="C16" t="str">
            <v>16</v>
          </cell>
        </row>
        <row r="17">
          <cell r="A17">
            <v>90004950</v>
          </cell>
          <cell r="C17" t="str">
            <v>5</v>
          </cell>
        </row>
        <row r="18">
          <cell r="A18">
            <v>90010258</v>
          </cell>
          <cell r="C18" t="str">
            <v>12</v>
          </cell>
        </row>
        <row r="19">
          <cell r="A19">
            <v>3363</v>
          </cell>
          <cell r="C19" t="str">
            <v>4</v>
          </cell>
        </row>
        <row r="20">
          <cell r="A20">
            <v>90003767</v>
          </cell>
          <cell r="C20" t="str">
            <v>30</v>
          </cell>
        </row>
        <row r="21">
          <cell r="A21">
            <v>90010292</v>
          </cell>
          <cell r="C21" t="str">
            <v>8</v>
          </cell>
        </row>
        <row r="22">
          <cell r="A22">
            <v>31303</v>
          </cell>
          <cell r="C22" t="str">
            <v>28</v>
          </cell>
        </row>
        <row r="23">
          <cell r="A23">
            <v>90010954</v>
          </cell>
          <cell r="C23" t="str">
            <v>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AO_CONTRATO"/>
      <sheetName val="DICIONÁRIO DE DADOS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ª semana"/>
      <sheetName val="2ª semana"/>
      <sheetName val="3ª semana"/>
      <sheetName val="4ª semana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AO_CONTRATO"/>
      <sheetName val="DICIONÁRIO DE DADOS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BE335C-94C8-4197-980B-F77B556B49C6}" name="Table143" displayName="Table143" ref="A1:O24">
  <autoFilter ref="A1:O24" xr:uid="{625CDB6A-9338-48EA-9D8F-8479A04C0F04}"/>
  <tableColumns count="15">
    <tableColumn id="1" xr3:uid="{47AB1ACA-CFCF-4FE6-B3B6-F45044E03375}" name="Matricula"/>
    <tableColumn id="2" xr3:uid="{AB88E76F-FB8E-4B84-BC02-4001F39A5221}" name="Nome docente"/>
    <tableColumn id="15" xr3:uid="{0E71C960-9F92-43EE-A715-27FC423F8D14}" name="Data de Admissão" dataDxfId="37"/>
    <tableColumn id="6" xr3:uid="{89094152-ABF4-4095-A3E9-00D8F18BC7B6}" name="CH total de contrato" dataDxfId="36"/>
    <tableColumn id="3" xr3:uid="{88561103-03F9-4818-B294-F10A241C5610}" name="Horas a alocar" dataDxfId="35"/>
    <tableColumn id="4" xr3:uid="{6FD385E2-1780-482C-9A7A-938B09876F22}" name="Campus"/>
    <tableColumn id="5" xr3:uid="{34212AC6-9466-4BEE-A092-1B726CD03D4E}" name="Curso"/>
    <tableColumn id="12" xr3:uid="{B9A83B4A-D703-4EBA-92F4-76F9DF7800ED}" name="Gera agenda"/>
    <tableColumn id="7" xr3:uid="{007DA969-2C4D-4AF2-9934-661428DED593}" name="Status 01/06" dataDxfId="34"/>
    <tableColumn id="8" xr3:uid="{908E4851-47D9-47DE-8226-B6CD35F97FC5}" name="Status 02/06" dataDxfId="33"/>
    <tableColumn id="9" xr3:uid="{90164015-16ED-4AD3-B805-8FD7ABD4D9A3}" name="Status 03/06" dataDxfId="32"/>
    <tableColumn id="10" xr3:uid="{BCA146C7-B54B-412A-819B-16B59D6C9DF8}" name="Status 04/06" dataDxfId="31"/>
    <tableColumn id="11" xr3:uid="{EBDD8611-BB19-403F-B481-3410D86C54A1}" name="Status 05/06" dataDxfId="30"/>
    <tableColumn id="13" xr3:uid="{CE66082C-D286-45EE-98BE-37214CB6638F}" name="Resultado Agenda" dataDxfId="29">
      <calculatedColumnFormula>IF(AND(H2="SIM",E2&gt;0),"Pendência de Agenda",IF(AND(H2="NÃO",E2=0),"Sem Pendência",""))</calculatedColumnFormula>
    </tableColumn>
    <tableColumn id="14" xr3:uid="{93C9647E-947D-4350-A687-B676C640B4A8}" name="Resultado TACH" dataDxfId="28">
      <calculatedColumnFormula>IF(AND(D2&gt;0,J2="Finalizado"),"Pendência de TACH",IF(AND(D2&gt;0,J2="Não Criado"),"Pendência de TACH",IF(AND(D2&gt;0,J2="Rascunho"),"Pendência de TACH",IF(AND(D2&gt;0,J2="NECESSÁRIO AJUSTAR"),"Pendência de TACH",IF(AND(D2&gt;0,J2="Aguardando Aprovação"),"Sem Pendência de TACH",IF(AND(D2&gt;0,J2="Aprovado"),"Sem Pendência de TACH",IF(AND(D2&gt;0,K2="Finalizado"),"Pendência de TACH",IF(AND(D2&gt;0,K2="Não Criado"),"Pendência de TACH",IF(AND(D2&gt;0,K2="Rascunho"),"Pendência de TACH",IF(AND(D2&gt;0,K2="NECESSÁRIO AJUSTAR"),"Pendência de TACH",IF(AND(D2&gt;0,K2="Aguardando Aprovação"),"Sem Pendência de TACH",IF(AND(D2&gt;0,K2="Aprovado"),"Sem Pendência de TACH",IF(AND(D2&gt;0,K2="Finalizado"),"Pendência de TACH",IF(AND(D2&gt;0,K2="Não Criado"),"Pendência de TACH",IF(AND(D2&gt;0,K2="Rascunho"),"Pendência de TACH")))))))))))))))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5CDB6A-9338-48EA-9D8F-8479A04C0F04}" name="Table14" displayName="Table14" ref="A1:N58">
  <autoFilter ref="A1:N58" xr:uid="{625CDB6A-9338-48EA-9D8F-8479A04C0F04}"/>
  <tableColumns count="14">
    <tableColumn id="1" xr3:uid="{C5FFE1EE-9784-4E82-831E-218B4555164C}" name="Matricula"/>
    <tableColumn id="2" xr3:uid="{35240179-8267-40ED-B20B-67485E015311}" name="Nome docente"/>
    <tableColumn id="6" xr3:uid="{166B6DE0-2303-4C97-8EB3-638AC58A4054}" name="CH total de contrato" dataDxfId="27">
      <calculatedColumnFormula>_xlfn.XLOOKUP(Table14[[#This Row],[Matricula]],[2]GESTAO_CONTRATO!$A:$A,[2]GESTAO_CONTRATO!$AI:$AI,1,0)</calculatedColumnFormula>
    </tableColumn>
    <tableColumn id="3" xr3:uid="{9934BC2B-008F-436B-AFD0-205B36CDE42D}" name="Horas a alocar" dataDxfId="26"/>
    <tableColumn id="4" xr3:uid="{34E79AA7-7C49-4F4F-B328-0B3A0C558E38}" name="Campus"/>
    <tableColumn id="5" xr3:uid="{E540C364-EF4B-478F-9E5F-98D9B3A209C0}" name="Curso"/>
    <tableColumn id="12" xr3:uid="{8D2DCA7E-89E3-444A-A58B-43AF99894E7A}" name="Gera agenda" dataDxfId="25">
      <calculatedColumnFormula>_xlfn.XLOOKUP(Table14[[#This Row],[Matricula]],[2]GESTAO_CONTRATO!$A:$A,[2]GESTAO_CONTRATO!$AG:$AG,1,0)</calculatedColumnFormula>
    </tableColumn>
    <tableColumn id="7" xr3:uid="{721BCB76-5010-4E38-831E-16CD2AEBDCDB}" name="Status 08/06" dataDxfId="24">
      <calculatedColumnFormula>_xlfn.XLOOKUP(Table14[[#This Row],[Matricula]],'[3]2ª semana'!$A:$A,'[3]2ª semana'!$E:$E,1,0)</calculatedColumnFormula>
    </tableColumn>
    <tableColumn id="8" xr3:uid="{6D4484D3-601F-4496-9FEB-8812AEE91261}" name="Status 09/06" dataDxfId="23">
      <calculatedColumnFormula>_xlfn.XLOOKUP(Table14[[#This Row],[Matricula]],'[3]2ª semana'!$A:$A,'[3]2ª semana'!$F:$F,1,0)</calculatedColumnFormula>
    </tableColumn>
    <tableColumn id="9" xr3:uid="{81D19D65-CE69-4855-B291-623371AA2C6E}" name="Status 10/06" dataDxfId="22">
      <calculatedColumnFormula>_xlfn.XLOOKUP(Table14[[#This Row],[Matricula]],'[3]2ª semana'!$A:$A,'[3]2ª semana'!$G:$G,1,0)</calculatedColumnFormula>
    </tableColumn>
    <tableColumn id="10" xr3:uid="{3BDD82EE-5AAA-43E6-B1E1-BD5A36864C6B}" name="Status 11/06" dataDxfId="21">
      <calculatedColumnFormula>_xlfn.XLOOKUP(Table14[[#This Row],[Matricula]],'[3]2ª semana'!$A:$A,'[3]2ª semana'!$H:$H,1,0)</calculatedColumnFormula>
    </tableColumn>
    <tableColumn id="11" xr3:uid="{19CAB6CB-BF75-4F10-964B-397AF2587782}" name="Status 12/06" dataDxfId="20">
      <calculatedColumnFormula>_xlfn.XLOOKUP(Table14[[#This Row],[Matricula]],'[3]2ª semana'!$A:$A,'[3]2ª semana'!$I:$I,1,0)</calculatedColumnFormula>
    </tableColumn>
    <tableColumn id="13" xr3:uid="{9F2EC808-B014-4F8D-97A2-127A22E25EC6}" name="Resultado Agenda" dataDxfId="19">
      <calculatedColumnFormula>IF(AND(#REF!="SIM",D2&gt;0),"Pendência de Agenda",IF(AND(#REF!="NÃO",D2=0),"Sem Pendência",IF(AND(#REF!="Sim",D2=0),"Sem Pendência","")))</calculatedColumnFormula>
    </tableColumn>
    <tableColumn id="14" xr3:uid="{64F0A704-BBAD-4685-9ED3-7AEFABE37BED}" name="Resultado TACH" dataDxfId="18">
      <calculatedColumnFormula array="1">IF(AND(C2&gt;0,I2="Finalizado"),"Pendência de TACH",IF(AND(C2&gt;0,I2="Não Criado"),"Pendência de TACH",IF(AND(C2&gt;0,I2="Rascunho"),"Pendência de TACH",IF(AND(C2&gt;0,I2="NECESSÁRIO AJUSTAR"),"Pendência de TACH",IF(AND(C2&gt;0,I2="Aguardando Aprovação"),"Sem 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Aprovação"),"Sem 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Aprovação"),"Sem 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Aprovação"),"Sem Pendência de TACH",IF(AND(C2&gt;0,L2="Aprovado"),"Sem Pendência de TACH"))))))))))))))))))))))))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888F24-5861-44D1-8C1B-8D497031AF75}" name="Table145" displayName="Table145" ref="A1:N24">
  <autoFilter ref="A1:N24" xr:uid="{625CDB6A-9338-48EA-9D8F-8479A04C0F04}"/>
  <tableColumns count="14">
    <tableColumn id="1" xr3:uid="{F52608CC-081A-4ADE-A16D-24D51DDA77B9}" name="Matricula"/>
    <tableColumn id="2" xr3:uid="{F961FE29-9B4C-4A9B-AEF9-A760CB7CDE7C}" name="Nome docente"/>
    <tableColumn id="6" xr3:uid="{16F13AC2-0A9B-4EA1-A2FA-8DA8AA3C1EAF}" name="CH total de contrato" dataDxfId="17"/>
    <tableColumn id="3" xr3:uid="{D8220B0F-567F-42CA-8C31-DD98B35E016D}" name="Horas a alocar" dataDxfId="16"/>
    <tableColumn id="4" xr3:uid="{A593562A-E940-4D1F-AEEB-84605DE624BB}" name="Campus"/>
    <tableColumn id="5" xr3:uid="{B1E14E8F-65E8-4EDA-9516-65CE7257DF74}" name="Curso"/>
    <tableColumn id="12" xr3:uid="{5A7C7D62-A581-4701-9EB6-B7493454A2EB}" name="Gera agenda"/>
    <tableColumn id="7" xr3:uid="{2FD83434-F268-43F5-9977-1E2E6D31AA6C}" name="Status 15/06" dataDxfId="15"/>
    <tableColumn id="8" xr3:uid="{5CC80138-2BD7-4B7E-B8CD-1B9C23DE2E02}" name="Status 16/06" dataDxfId="14"/>
    <tableColumn id="9" xr3:uid="{AE928A81-D2AC-4A21-8D84-28EA76BE0A50}" name="Status 17/06" dataDxfId="13"/>
    <tableColumn id="10" xr3:uid="{533703C6-6680-466F-A968-A4267464133D}" name="Status 18/06" dataDxfId="12"/>
    <tableColumn id="11" xr3:uid="{61135C3C-5AA8-4D73-B63A-7277C1235F82}" name="Status 19/06" dataDxfId="11"/>
    <tableColumn id="13" xr3:uid="{EFA490F7-85B1-458B-AAB3-3243C6F4BCA4}" name="Resultado Agenda" dataDxfId="10">
      <calculatedColumnFormula>IF(AND(G2="SIM",D2&gt;0),"Pendência de Agenda",IF(AND(G2="NÃO",D2=0),"Sem Pendência",IF(AND(G2="Sim",D2=0),"Sem Pendência","")))</calculatedColumnFormula>
    </tableColumn>
    <tableColumn id="14" xr3:uid="{B94799C0-99FE-4178-A998-D4BFE223639A}" name="Resultado TACH" dataDxfId="9">
      <calculatedColumnFormula array="1"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TACH",IF(AND(C2&gt;0,#REF!="Finalizado"),"Pendência de TACH",IF(AND(C2&gt;0,#REF!="Não Criado"),"Pendência de TACH",IF(AND(C2&gt;0,#REF!="Rascunho"),"Pendência de TACH",IF(AND(C2&gt;0,#REF!="NECESSÁRIO AJUSTAR"),"Pendência de TACH",IF(AND(C2&gt;0,#REF!="Aguardando Aprovação"),"Pendência de TACH",IF(AND(C2&gt;0,#REF!="Aprovado"),"Sem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Aprovação"),"Pendência de TACH",IF(AND(C2&gt;0,L2="Aprovado"),"Sem Pendência de TACH"))))))))))))))))))))))))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C8273-E29B-4A13-BB4E-584028FEF8F7}" name="Table1452" displayName="Table1452" ref="A1:N69">
  <autoFilter ref="A1:N69" xr:uid="{625CDB6A-9338-48EA-9D8F-8479A04C0F04}"/>
  <tableColumns count="14">
    <tableColumn id="1" xr3:uid="{48E64CF2-4700-4C15-A6B7-DA70177CFCFB}" name="Matricula"/>
    <tableColumn id="2" xr3:uid="{7D4EA39D-DF6D-4D47-9ED3-45D5CA3CD591}" name="Nome docente"/>
    <tableColumn id="6" xr3:uid="{5E3F4C8A-B84A-4611-BCE3-52CC862ABA01}" name="CH total de contrato" dataDxfId="8">
      <calculatedColumnFormula>_xlfn.XLOOKUP(Table1452[[#This Row],[Matricula]],[4]GESTAO_CONTRATO!$A:$A,[4]GESTAO_CONTRATO!$AI:$AI,1,0)</calculatedColumnFormula>
    </tableColumn>
    <tableColumn id="3" xr3:uid="{87D74302-AAE9-46D8-BF9C-EF68B02E468D}" name="Horas a alocar" dataDxfId="7"/>
    <tableColumn id="4" xr3:uid="{F34102E5-AC51-4F1E-8BA2-20EF6AE26883}" name="Campus"/>
    <tableColumn id="5" xr3:uid="{8858C136-E3DC-48EC-AF7B-102304B266CA}" name="Curso"/>
    <tableColumn id="12" xr3:uid="{A5C481E7-B4D8-49BE-A3E2-9C0F2B297728}" name="Gera agenda"/>
    <tableColumn id="7" xr3:uid="{1582710C-2C30-4440-9842-9D08435B381D}" name="Status 22/06" dataDxfId="6">
      <calculatedColumnFormula>_xlfn.XLOOKUP(Table1452[[#This Row],[Matricula]],'[3]4ª semana'!$A:$A,'[3]4ª semana'!$E:$E,1,0)</calculatedColumnFormula>
    </tableColumn>
    <tableColumn id="8" xr3:uid="{0CA10691-3A0D-4700-9C68-FDB5047C07CF}" name="Status 23/06" dataDxfId="5">
      <calculatedColumnFormula>_xlfn.XLOOKUP(Table1452[[#This Row],[Matricula]],'[3]4ª semana'!$A:$A,'[3]4ª semana'!$F:$F,1,0)</calculatedColumnFormula>
    </tableColumn>
    <tableColumn id="9" xr3:uid="{744D6C69-EA5B-4FD6-B0E8-327884F8AD14}" name="Status 24/06" dataDxfId="4">
      <calculatedColumnFormula>_xlfn.XLOOKUP(Table1452[[#This Row],[Matricula]],'[3]4ª semana'!$A:$A,'[3]4ª semana'!$G:$G,1,0)</calculatedColumnFormula>
    </tableColumn>
    <tableColumn id="10" xr3:uid="{62F8C6F5-F841-4D8F-BE49-0814F69AFBB1}" name="Status 25/06" dataDxfId="3">
      <calculatedColumnFormula>_xlfn.XLOOKUP(Table1452[[#This Row],[Matricula]],'[3]4ª semana'!$A:$A,'[3]4ª semana'!$H:$H,1,0)</calculatedColumnFormula>
    </tableColumn>
    <tableColumn id="11" xr3:uid="{221DFFA8-4CFF-4B5C-9F36-7151E1812ADB}" name="Status 26/06" dataDxfId="2">
      <calculatedColumnFormula>_xlfn.XLOOKUP(Table1452[[#This Row],[Matricula]],'[3]4ª semana'!$A:$A,'[3]4ª semana'!$I:$I,1,0)</calculatedColumnFormula>
    </tableColumn>
    <tableColumn id="13" xr3:uid="{F391C3F5-8469-486F-A42C-F9ED24488BB3}" name="Resultado Agenda" dataDxfId="1">
      <calculatedColumnFormula>IF(AND(G2="SIM",D2&gt;0),"Pendência de Agenda",IF(AND(G2="NÃO",D2=0),"Sem Pendência",IF(AND(G2="Sim",D2=0),"Sem Pendência","")))</calculatedColumnFormula>
    </tableColumn>
    <tableColumn id="14" xr3:uid="{01B021FB-62AB-436A-9EC3-6F8D9179DC89}" name="Resultado TACH" dataDxfId="0">
      <calculatedColumnFormula array="1">IF(AND(C2&gt;0,I2="Finalizado"),"Pendência de TACH",IF(AND(C2&gt;0,I2="Não Criado"),"Pendência de TACH",IF(AND(C2&gt;0,I2="Rascunho"),"Pendência de TACH",IF(AND(C2&gt;0,I2="NECESSÁRIO AJUSTAR"),"Pendência de TACH",IF(AND(C2&gt;0,I2="Aguardando Aprovação"),"Pendência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Aprovação"),"Pendência de TACH",IF(AND(C2&gt;0,L2="Aprovado"),"Sem Pendência de TACH"))))))))))))))))))))))))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EA63-0129-4996-92FB-43E6D6925171}">
  <dimension ref="A1:O24"/>
  <sheetViews>
    <sheetView zoomScale="55" zoomScaleNormal="55" workbookViewId="0">
      <selection activeCell="B24" sqref="B24"/>
    </sheetView>
  </sheetViews>
  <sheetFormatPr defaultRowHeight="15"/>
  <cols>
    <col min="1" max="1" width="11.85546875" bestFit="1" customWidth="1"/>
    <col min="2" max="2" width="47.5703125" bestFit="1" customWidth="1"/>
    <col min="3" max="3" width="28" bestFit="1" customWidth="1"/>
    <col min="4" max="4" width="25.5703125" customWidth="1"/>
    <col min="5" max="5" width="10" customWidth="1"/>
    <col min="6" max="6" width="23" bestFit="1" customWidth="1"/>
    <col min="7" max="7" width="71.5703125" bestFit="1" customWidth="1"/>
    <col min="8" max="8" width="10.7109375" customWidth="1"/>
    <col min="9" max="9" width="17.140625" customWidth="1"/>
    <col min="10" max="10" width="16.5703125" customWidth="1"/>
    <col min="11" max="11" width="15.28515625" customWidth="1"/>
    <col min="12" max="12" width="14.42578125" customWidth="1"/>
    <col min="13" max="13" width="14.7109375" customWidth="1"/>
    <col min="14" max="14" width="21.28515625" bestFit="1" customWidth="1"/>
    <col min="15" max="15" width="23.5703125" bestFit="1" customWidth="1"/>
  </cols>
  <sheetData>
    <row r="1" spans="1:15">
      <c r="A1" t="s">
        <v>0</v>
      </c>
      <c r="B1" t="s">
        <v>1</v>
      </c>
      <c r="C1" t="s">
        <v>94</v>
      </c>
      <c r="D1" t="s">
        <v>7</v>
      </c>
      <c r="E1" t="s">
        <v>2</v>
      </c>
      <c r="F1" t="s">
        <v>3</v>
      </c>
      <c r="G1" t="s">
        <v>4</v>
      </c>
      <c r="H1" t="s">
        <v>8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5</v>
      </c>
      <c r="O1" t="s">
        <v>6</v>
      </c>
    </row>
    <row r="2" spans="1:15">
      <c r="A2" s="1">
        <v>8306</v>
      </c>
      <c r="B2" t="s">
        <v>47</v>
      </c>
      <c r="C2" t="s">
        <v>102</v>
      </c>
      <c r="D2" s="2">
        <v>2</v>
      </c>
      <c r="E2" t="s">
        <v>68</v>
      </c>
      <c r="F2" t="s">
        <v>82</v>
      </c>
      <c r="G2" t="s">
        <v>83</v>
      </c>
      <c r="H2" t="s">
        <v>95</v>
      </c>
      <c r="I2" t="s">
        <v>122</v>
      </c>
      <c r="J2" t="s">
        <v>122</v>
      </c>
      <c r="K2" t="s">
        <v>122</v>
      </c>
      <c r="L2" t="s">
        <v>96</v>
      </c>
      <c r="M2" t="s">
        <v>96</v>
      </c>
      <c r="N2" t="str">
        <f>IF(AND(H2="SIM",E2&gt;0),"Pendência de Agenda",IF(AND(H2="NÃO",E2=0),"Sem Pendência",IF(AND(H2="Sim",E2=0),"Sem Pendência","")))</f>
        <v>Pendência de Agenda</v>
      </c>
      <c r="O2" t="str">
        <f>IF(AND(D2&gt;0,J2="Finalizado"),"Pendência de TACH",IF(AND(D2&gt;0,J2="Não Criado"),"Pendência de TACH",IF(AND(D2&gt;0,J2="Rascunho"),"Pendência de TACH",IF(AND(D2&gt;0,J2="NECESSÁRIO AJUSTAR"),"Pendência de TACH",IF(AND(D2&gt;0,J2="Aguardando Aprovação"),"Sem Pendência de TACH",IF(AND(D2&gt;0,J2="Aprovado"),"Sem Pendência de TACH",IF(AND(D2&gt;0,K2="Finalizado"),"Pendência de TACH",IF(AND(D2&gt;0,K2="Não Criado"),"Pendência de TACH",IF(AND(D2&gt;0,K2="Rascunho"),"Pendência de TACH",IF(AND(D2&gt;0,K2="NECESSÁRIO AJUSTAR"),"Pendência de TACH",IF(AND(D2&gt;0,K2="Aguardando Aprovação"),"Sem Pendência de TACH",IF(AND(D2&gt;0,K2="Aprovado"),"Sem Pendência de TACH",IF(AND(D2&gt;0,K2="Finalizado"),"Pendência de TACH",IF(AND(D2&gt;0,K2="Não Criado"),"Pendência de TACH",IF(AND(D2&gt;0,K2="Rascunho"),"Pendência de TACH")))))))))))))))</f>
        <v>Pendência de TACH</v>
      </c>
    </row>
    <row r="3" spans="1:15">
      <c r="A3" s="1">
        <v>90013836</v>
      </c>
      <c r="B3" t="s">
        <v>48</v>
      </c>
      <c r="C3" t="s">
        <v>103</v>
      </c>
      <c r="D3" s="2">
        <v>2</v>
      </c>
      <c r="E3" t="s">
        <v>68</v>
      </c>
      <c r="F3" t="s">
        <v>82</v>
      </c>
      <c r="G3" t="s">
        <v>83</v>
      </c>
      <c r="H3" t="s">
        <v>95</v>
      </c>
      <c r="I3" t="s">
        <v>123</v>
      </c>
      <c r="J3" t="s">
        <v>123</v>
      </c>
      <c r="K3" t="s">
        <v>123</v>
      </c>
      <c r="L3" t="s">
        <v>96</v>
      </c>
      <c r="M3" t="s">
        <v>96</v>
      </c>
      <c r="N3" t="str">
        <f t="shared" ref="N3:N24" si="0">IF(AND(H3="SIM",E3&gt;0),"Pendência de Agenda",IF(AND(H3="NÃO",E3=0),"Sem Pendência",IF(AND(H3="Sim",E3=0),"Sem Pendência","")))</f>
        <v>Pendência de Agenda</v>
      </c>
      <c r="O3" t="str">
        <f t="shared" ref="O3:O24" si="1">IF(AND(D3&gt;0,J3="Finalizado"),"Pendência de TACH",IF(AND(D3&gt;0,J3="Não Criado"),"Pendência de TACH",IF(AND(D3&gt;0,J3="Rascunho"),"Pendência de TACH",IF(AND(D3&gt;0,J3="NECESSÁRIO AJUSTAR"),"Pendência de TACH",IF(AND(D3&gt;0,J3="Aguardando Aprovação"),"Sem Pendência de TACH",IF(AND(D3&gt;0,J3="Aprovado"),"Sem Pendência de TACH",IF(AND(D3&gt;0,K3="Finalizado"),"Pendência de TACH",IF(AND(D3&gt;0,K3="Não Criado"),"Pendência de TACH",IF(AND(D3&gt;0,K3="Rascunho"),"Pendência de TACH",IF(AND(D3&gt;0,K3="NECESSÁRIO AJUSTAR"),"Pendência de TACH",IF(AND(D3&gt;0,K3="Aguardando Aprovação"),"Sem Pendência de TACH",IF(AND(D3&gt;0,K3="Aprovado"),"Sem Pendência de TACH",IF(AND(D3&gt;0,K3="Finalizado"),"Pendência de TACH",IF(AND(D3&gt;0,K3="Não Criado"),"Pendência de TACH",IF(AND(D3&gt;0,K3="Rascunho"),"Pendência de TACH")))))))))))))))</f>
        <v>Pendência de TACH</v>
      </c>
    </row>
    <row r="4" spans="1:15">
      <c r="A4" s="1">
        <v>90009703</v>
      </c>
      <c r="B4" t="s">
        <v>49</v>
      </c>
      <c r="C4" t="s">
        <v>104</v>
      </c>
      <c r="D4" s="2">
        <v>18</v>
      </c>
      <c r="E4" t="s">
        <v>70</v>
      </c>
      <c r="F4" t="s">
        <v>82</v>
      </c>
      <c r="G4" t="s">
        <v>85</v>
      </c>
      <c r="H4" t="s">
        <v>95</v>
      </c>
      <c r="I4" t="s">
        <v>124</v>
      </c>
      <c r="J4" t="s">
        <v>124</v>
      </c>
      <c r="K4" t="s">
        <v>124</v>
      </c>
      <c r="L4" t="s">
        <v>96</v>
      </c>
      <c r="M4" t="s">
        <v>96</v>
      </c>
      <c r="N4" t="str">
        <f t="shared" si="0"/>
        <v>Pendência de Agenda</v>
      </c>
      <c r="O4" t="str">
        <f t="shared" si="1"/>
        <v>Pendência de TACH</v>
      </c>
    </row>
    <row r="5" spans="1:15">
      <c r="A5" s="1">
        <v>90014229</v>
      </c>
      <c r="B5" t="s">
        <v>50</v>
      </c>
      <c r="C5" t="s">
        <v>105</v>
      </c>
      <c r="D5" s="2">
        <v>6</v>
      </c>
      <c r="E5" t="s">
        <v>71</v>
      </c>
      <c r="F5" t="s">
        <v>82</v>
      </c>
      <c r="G5" t="s">
        <v>86</v>
      </c>
      <c r="H5" t="s">
        <v>95</v>
      </c>
      <c r="I5" t="s">
        <v>122</v>
      </c>
      <c r="J5" t="s">
        <v>122</v>
      </c>
      <c r="K5" t="s">
        <v>122</v>
      </c>
      <c r="L5" t="s">
        <v>96</v>
      </c>
      <c r="M5" t="s">
        <v>96</v>
      </c>
      <c r="N5" t="str">
        <f t="shared" si="0"/>
        <v>Pendência de Agenda</v>
      </c>
      <c r="O5" t="str">
        <f t="shared" si="1"/>
        <v>Pendência de TACH</v>
      </c>
    </row>
    <row r="6" spans="1:15">
      <c r="A6" s="1">
        <v>90005226</v>
      </c>
      <c r="B6" t="s">
        <v>51</v>
      </c>
      <c r="C6" t="s">
        <v>106</v>
      </c>
      <c r="D6" s="2">
        <v>14</v>
      </c>
      <c r="E6" t="s">
        <v>73</v>
      </c>
      <c r="F6" t="s">
        <v>87</v>
      </c>
      <c r="G6" t="s">
        <v>88</v>
      </c>
      <c r="H6" t="s">
        <v>95</v>
      </c>
      <c r="I6" t="s">
        <v>125</v>
      </c>
      <c r="J6" t="s">
        <v>125</v>
      </c>
      <c r="K6" t="s">
        <v>125</v>
      </c>
      <c r="L6" t="s">
        <v>96</v>
      </c>
      <c r="M6" t="s">
        <v>96</v>
      </c>
      <c r="N6" t="str">
        <f t="shared" si="0"/>
        <v>Pendência de Agenda</v>
      </c>
      <c r="O6" t="str">
        <f t="shared" si="1"/>
        <v>Sem Pendência de TACH</v>
      </c>
    </row>
    <row r="7" spans="1:15">
      <c r="A7" s="1">
        <v>19800</v>
      </c>
      <c r="B7" t="s">
        <v>52</v>
      </c>
      <c r="C7" t="s">
        <v>107</v>
      </c>
      <c r="D7" s="2">
        <v>7</v>
      </c>
      <c r="E7" t="s">
        <v>74</v>
      </c>
      <c r="F7" t="s">
        <v>82</v>
      </c>
      <c r="G7" t="s">
        <v>83</v>
      </c>
      <c r="H7" t="s">
        <v>95</v>
      </c>
      <c r="I7" t="s">
        <v>126</v>
      </c>
      <c r="J7" t="s">
        <v>126</v>
      </c>
      <c r="K7" t="s">
        <v>126</v>
      </c>
      <c r="L7" t="s">
        <v>96</v>
      </c>
      <c r="M7" t="s">
        <v>96</v>
      </c>
      <c r="N7" t="str">
        <f t="shared" si="0"/>
        <v>Pendência de Agenda</v>
      </c>
      <c r="O7" t="str">
        <f t="shared" si="1"/>
        <v>Sem Pendência de TACH</v>
      </c>
    </row>
    <row r="8" spans="1:15">
      <c r="A8" s="1">
        <v>90013955</v>
      </c>
      <c r="B8" t="s">
        <v>53</v>
      </c>
      <c r="C8" t="s">
        <v>108</v>
      </c>
      <c r="D8" s="2">
        <v>3</v>
      </c>
      <c r="E8" t="s">
        <v>75</v>
      </c>
      <c r="F8" t="s">
        <v>82</v>
      </c>
      <c r="G8" t="s">
        <v>85</v>
      </c>
      <c r="H8" t="s">
        <v>95</v>
      </c>
      <c r="I8" t="s">
        <v>126</v>
      </c>
      <c r="J8" t="s">
        <v>126</v>
      </c>
      <c r="K8" t="s">
        <v>126</v>
      </c>
      <c r="L8" t="s">
        <v>96</v>
      </c>
      <c r="M8" t="s">
        <v>96</v>
      </c>
      <c r="N8" t="str">
        <f t="shared" si="0"/>
        <v>Pendência de Agenda</v>
      </c>
      <c r="O8" t="str">
        <f t="shared" si="1"/>
        <v>Sem Pendência de TACH</v>
      </c>
    </row>
    <row r="9" spans="1:15">
      <c r="A9" s="1">
        <v>90010315</v>
      </c>
      <c r="B9" t="s">
        <v>54</v>
      </c>
      <c r="C9" t="s">
        <v>109</v>
      </c>
      <c r="D9" s="2">
        <v>20</v>
      </c>
      <c r="E9" t="s">
        <v>72</v>
      </c>
      <c r="F9" t="s">
        <v>87</v>
      </c>
      <c r="G9" t="s">
        <v>88</v>
      </c>
      <c r="H9" t="s">
        <v>95</v>
      </c>
      <c r="I9" t="s">
        <v>122</v>
      </c>
      <c r="J9" t="s">
        <v>122</v>
      </c>
      <c r="K9" t="s">
        <v>122</v>
      </c>
      <c r="L9" t="s">
        <v>96</v>
      </c>
      <c r="M9" t="s">
        <v>96</v>
      </c>
      <c r="N9" t="str">
        <f t="shared" si="0"/>
        <v>Pendência de Agenda</v>
      </c>
      <c r="O9" t="str">
        <f t="shared" si="1"/>
        <v>Pendência de TACH</v>
      </c>
    </row>
    <row r="10" spans="1:15">
      <c r="A10" s="1">
        <v>90003306</v>
      </c>
      <c r="B10" t="s">
        <v>55</v>
      </c>
      <c r="C10" t="s">
        <v>110</v>
      </c>
      <c r="D10" s="2">
        <v>8</v>
      </c>
      <c r="E10" t="s">
        <v>76</v>
      </c>
      <c r="F10" t="s">
        <v>87</v>
      </c>
      <c r="G10" t="s">
        <v>88</v>
      </c>
      <c r="H10" t="s">
        <v>95</v>
      </c>
      <c r="I10" t="s">
        <v>122</v>
      </c>
      <c r="J10" t="s">
        <v>122</v>
      </c>
      <c r="K10" t="s">
        <v>122</v>
      </c>
      <c r="L10" t="s">
        <v>96</v>
      </c>
      <c r="M10" t="s">
        <v>96</v>
      </c>
      <c r="N10" t="str">
        <f t="shared" si="0"/>
        <v>Pendência de Agenda</v>
      </c>
      <c r="O10" t="str">
        <f t="shared" si="1"/>
        <v>Pendência de TACH</v>
      </c>
    </row>
    <row r="11" spans="1:15">
      <c r="A11" s="1">
        <v>90003308</v>
      </c>
      <c r="B11" t="s">
        <v>56</v>
      </c>
      <c r="C11" t="s">
        <v>110</v>
      </c>
      <c r="D11" s="2">
        <v>34</v>
      </c>
      <c r="E11" t="s">
        <v>77</v>
      </c>
      <c r="F11" t="s">
        <v>87</v>
      </c>
      <c r="G11" t="s">
        <v>88</v>
      </c>
      <c r="H11" t="s">
        <v>95</v>
      </c>
      <c r="I11" t="s">
        <v>123</v>
      </c>
      <c r="J11" t="s">
        <v>123</v>
      </c>
      <c r="K11" t="s">
        <v>125</v>
      </c>
      <c r="L11" t="s">
        <v>96</v>
      </c>
      <c r="M11" t="s">
        <v>96</v>
      </c>
      <c r="N11" t="str">
        <f t="shared" si="0"/>
        <v>Pendência de Agenda</v>
      </c>
      <c r="O11" t="str">
        <f t="shared" si="1"/>
        <v>Pendência de TACH</v>
      </c>
    </row>
    <row r="12" spans="1:15">
      <c r="A12" s="1">
        <v>90003039</v>
      </c>
      <c r="B12" t="s">
        <v>57</v>
      </c>
      <c r="C12" t="s">
        <v>111</v>
      </c>
      <c r="D12" s="2">
        <v>20</v>
      </c>
      <c r="E12" t="s">
        <v>68</v>
      </c>
      <c r="F12" t="s">
        <v>87</v>
      </c>
      <c r="G12" t="s">
        <v>88</v>
      </c>
      <c r="H12" t="s">
        <v>95</v>
      </c>
      <c r="I12" t="s">
        <v>125</v>
      </c>
      <c r="J12" t="s">
        <v>125</v>
      </c>
      <c r="K12" t="s">
        <v>125</v>
      </c>
      <c r="L12" t="s">
        <v>96</v>
      </c>
      <c r="M12" t="s">
        <v>96</v>
      </c>
      <c r="N12" t="str">
        <f t="shared" si="0"/>
        <v>Pendência de Agenda</v>
      </c>
      <c r="O12" t="str">
        <f t="shared" si="1"/>
        <v>Sem Pendência de TACH</v>
      </c>
    </row>
    <row r="13" spans="1:15">
      <c r="A13" s="1">
        <v>90013958</v>
      </c>
      <c r="B13" t="s">
        <v>58</v>
      </c>
      <c r="C13" t="s">
        <v>108</v>
      </c>
      <c r="D13" s="2">
        <v>2</v>
      </c>
      <c r="E13" t="s">
        <v>68</v>
      </c>
      <c r="F13" t="s">
        <v>82</v>
      </c>
      <c r="G13" t="s">
        <v>90</v>
      </c>
      <c r="H13" t="s">
        <v>95</v>
      </c>
      <c r="I13" t="s">
        <v>122</v>
      </c>
      <c r="J13" t="s">
        <v>122</v>
      </c>
      <c r="K13" t="s">
        <v>122</v>
      </c>
      <c r="L13" t="s">
        <v>96</v>
      </c>
      <c r="M13" t="s">
        <v>96</v>
      </c>
      <c r="N13" t="str">
        <f t="shared" si="0"/>
        <v>Pendência de Agenda</v>
      </c>
      <c r="O13" t="str">
        <f t="shared" si="1"/>
        <v>Pendência de TACH</v>
      </c>
    </row>
    <row r="14" spans="1:15">
      <c r="A14" s="1">
        <v>90002614</v>
      </c>
      <c r="B14" t="s">
        <v>59</v>
      </c>
      <c r="C14" t="s">
        <v>112</v>
      </c>
      <c r="D14" s="2">
        <v>2</v>
      </c>
      <c r="E14" t="s">
        <v>68</v>
      </c>
      <c r="F14" t="s">
        <v>82</v>
      </c>
      <c r="G14" t="s">
        <v>91</v>
      </c>
      <c r="H14" t="s">
        <v>95</v>
      </c>
      <c r="I14" t="s">
        <v>125</v>
      </c>
      <c r="J14" t="s">
        <v>125</v>
      </c>
      <c r="K14" t="s">
        <v>125</v>
      </c>
      <c r="L14" t="s">
        <v>96</v>
      </c>
      <c r="M14" t="s">
        <v>96</v>
      </c>
      <c r="N14" t="str">
        <f t="shared" si="0"/>
        <v>Pendência de Agenda</v>
      </c>
      <c r="O14" t="str">
        <f t="shared" si="1"/>
        <v>Sem Pendência de TACH</v>
      </c>
    </row>
    <row r="15" spans="1:15">
      <c r="A15" s="1">
        <v>90001409</v>
      </c>
      <c r="B15" t="s">
        <v>60</v>
      </c>
      <c r="C15" t="s">
        <v>113</v>
      </c>
      <c r="D15" s="2">
        <v>20</v>
      </c>
      <c r="E15" t="s">
        <v>72</v>
      </c>
      <c r="F15" t="s">
        <v>87</v>
      </c>
      <c r="G15" t="s">
        <v>88</v>
      </c>
      <c r="H15" t="s">
        <v>95</v>
      </c>
      <c r="I15" t="s">
        <v>122</v>
      </c>
      <c r="J15" t="s">
        <v>122</v>
      </c>
      <c r="K15" t="s">
        <v>122</v>
      </c>
      <c r="L15" t="s">
        <v>96</v>
      </c>
      <c r="M15" t="s">
        <v>96</v>
      </c>
      <c r="N15" t="str">
        <f t="shared" si="0"/>
        <v>Pendência de Agenda</v>
      </c>
      <c r="O15" t="str">
        <f t="shared" si="1"/>
        <v>Pendência de TACH</v>
      </c>
    </row>
    <row r="16" spans="1:15">
      <c r="A16" s="1">
        <v>90009989</v>
      </c>
      <c r="B16" t="s">
        <v>61</v>
      </c>
      <c r="C16" t="s">
        <v>114</v>
      </c>
      <c r="D16" s="2">
        <v>2</v>
      </c>
      <c r="E16" t="s">
        <v>68</v>
      </c>
      <c r="F16" t="s">
        <v>82</v>
      </c>
      <c r="G16" t="s">
        <v>84</v>
      </c>
      <c r="H16" t="s">
        <v>95</v>
      </c>
      <c r="I16" t="s">
        <v>125</v>
      </c>
      <c r="J16" t="s">
        <v>125</v>
      </c>
      <c r="K16" t="s">
        <v>125</v>
      </c>
      <c r="L16" t="s">
        <v>96</v>
      </c>
      <c r="M16" t="s">
        <v>96</v>
      </c>
      <c r="N16" t="str">
        <f t="shared" si="0"/>
        <v>Pendência de Agenda</v>
      </c>
      <c r="O16" t="str">
        <f t="shared" si="1"/>
        <v>Sem Pendência de TACH</v>
      </c>
    </row>
    <row r="17" spans="1:15">
      <c r="A17" s="1">
        <v>90012360</v>
      </c>
      <c r="B17" t="s">
        <v>62</v>
      </c>
      <c r="C17" t="s">
        <v>115</v>
      </c>
      <c r="D17" s="2">
        <v>16</v>
      </c>
      <c r="E17" t="s">
        <v>78</v>
      </c>
      <c r="F17" t="s">
        <v>92</v>
      </c>
      <c r="G17" t="s">
        <v>93</v>
      </c>
      <c r="H17" t="s">
        <v>95</v>
      </c>
      <c r="I17" t="s">
        <v>122</v>
      </c>
      <c r="J17" t="s">
        <v>122</v>
      </c>
      <c r="K17" t="s">
        <v>122</v>
      </c>
      <c r="L17" t="s">
        <v>96</v>
      </c>
      <c r="M17" t="s">
        <v>96</v>
      </c>
      <c r="N17" t="str">
        <f t="shared" si="0"/>
        <v>Pendência de Agenda</v>
      </c>
      <c r="O17" t="str">
        <f t="shared" si="1"/>
        <v>Pendência de TACH</v>
      </c>
    </row>
    <row r="18" spans="1:15">
      <c r="A18" s="1">
        <v>90004950</v>
      </c>
      <c r="B18" t="s">
        <v>63</v>
      </c>
      <c r="C18" t="s">
        <v>116</v>
      </c>
      <c r="D18" s="2">
        <v>5</v>
      </c>
      <c r="E18" t="s">
        <v>79</v>
      </c>
      <c r="F18" t="s">
        <v>82</v>
      </c>
      <c r="G18" t="s">
        <v>85</v>
      </c>
      <c r="H18" t="s">
        <v>95</v>
      </c>
      <c r="I18" t="s">
        <v>124</v>
      </c>
      <c r="J18" t="s">
        <v>124</v>
      </c>
      <c r="K18" t="s">
        <v>124</v>
      </c>
      <c r="L18" t="s">
        <v>96</v>
      </c>
      <c r="M18" t="s">
        <v>96</v>
      </c>
      <c r="N18" t="str">
        <f t="shared" si="0"/>
        <v>Pendência de Agenda</v>
      </c>
      <c r="O18" t="str">
        <f t="shared" si="1"/>
        <v>Pendência de TACH</v>
      </c>
    </row>
    <row r="19" spans="1:15">
      <c r="A19" s="1">
        <v>90010258</v>
      </c>
      <c r="B19" t="s">
        <v>64</v>
      </c>
      <c r="C19" t="s">
        <v>117</v>
      </c>
      <c r="D19" s="2">
        <v>12</v>
      </c>
      <c r="E19" t="s">
        <v>69</v>
      </c>
      <c r="F19" t="s">
        <v>82</v>
      </c>
      <c r="G19" t="s">
        <v>89</v>
      </c>
      <c r="H19" t="s">
        <v>95</v>
      </c>
      <c r="I19" t="s">
        <v>122</v>
      </c>
      <c r="J19" t="s">
        <v>122</v>
      </c>
      <c r="K19" t="s">
        <v>122</v>
      </c>
      <c r="L19" t="s">
        <v>96</v>
      </c>
      <c r="M19" t="s">
        <v>96</v>
      </c>
      <c r="N19" t="str">
        <f t="shared" si="0"/>
        <v>Pendência de Agenda</v>
      </c>
      <c r="O19" t="str">
        <f t="shared" si="1"/>
        <v>Pendência de TACH</v>
      </c>
    </row>
    <row r="20" spans="1:15">
      <c r="A20" s="1">
        <v>3363</v>
      </c>
      <c r="B20" t="s">
        <v>65</v>
      </c>
      <c r="C20" t="s">
        <v>118</v>
      </c>
      <c r="D20" s="2">
        <v>4</v>
      </c>
      <c r="E20" t="s">
        <v>80</v>
      </c>
      <c r="F20" t="s">
        <v>82</v>
      </c>
      <c r="G20" t="s">
        <v>83</v>
      </c>
      <c r="H20" t="s">
        <v>95</v>
      </c>
      <c r="I20" t="s">
        <v>125</v>
      </c>
      <c r="J20" t="s">
        <v>125</v>
      </c>
      <c r="K20" t="s">
        <v>125</v>
      </c>
      <c r="L20" t="s">
        <v>96</v>
      </c>
      <c r="M20" t="s">
        <v>96</v>
      </c>
      <c r="N20" t="str">
        <f t="shared" si="0"/>
        <v>Pendência de Agenda</v>
      </c>
      <c r="O20" t="str">
        <f t="shared" si="1"/>
        <v>Sem Pendência de TACH</v>
      </c>
    </row>
    <row r="21" spans="1:15">
      <c r="A21" s="1">
        <v>90010292</v>
      </c>
      <c r="B21" t="s">
        <v>66</v>
      </c>
      <c r="C21" t="s">
        <v>109</v>
      </c>
      <c r="D21" s="2">
        <v>8</v>
      </c>
      <c r="E21" t="s">
        <v>76</v>
      </c>
      <c r="F21" t="s">
        <v>87</v>
      </c>
      <c r="G21" t="s">
        <v>88</v>
      </c>
      <c r="H21" t="s">
        <v>95</v>
      </c>
      <c r="I21" t="s">
        <v>122</v>
      </c>
      <c r="J21" t="s">
        <v>122</v>
      </c>
      <c r="K21" t="s">
        <v>122</v>
      </c>
      <c r="L21" t="s">
        <v>96</v>
      </c>
      <c r="M21" t="s">
        <v>96</v>
      </c>
      <c r="N21" t="str">
        <f t="shared" si="0"/>
        <v>Pendência de Agenda</v>
      </c>
      <c r="O21" t="str">
        <f t="shared" si="1"/>
        <v>Pendência de TACH</v>
      </c>
    </row>
    <row r="22" spans="1:15">
      <c r="A22" s="1">
        <v>31303</v>
      </c>
      <c r="B22" t="s">
        <v>67</v>
      </c>
      <c r="C22" t="s">
        <v>119</v>
      </c>
      <c r="D22" s="2">
        <v>28</v>
      </c>
      <c r="E22" t="s">
        <v>81</v>
      </c>
      <c r="F22" t="s">
        <v>87</v>
      </c>
      <c r="G22" t="s">
        <v>88</v>
      </c>
      <c r="H22" t="s">
        <v>95</v>
      </c>
      <c r="I22" t="s">
        <v>122</v>
      </c>
      <c r="J22" t="s">
        <v>122</v>
      </c>
      <c r="K22" t="s">
        <v>122</v>
      </c>
      <c r="L22" t="s">
        <v>96</v>
      </c>
      <c r="M22" t="s">
        <v>96</v>
      </c>
      <c r="N22" t="str">
        <f t="shared" si="0"/>
        <v>Pendência de Agenda</v>
      </c>
      <c r="O22" t="str">
        <f t="shared" si="1"/>
        <v>Pendência de TACH</v>
      </c>
    </row>
    <row r="23" spans="1:15">
      <c r="A23">
        <v>90013903</v>
      </c>
      <c r="B23" t="s">
        <v>97</v>
      </c>
      <c r="C23" t="s">
        <v>120</v>
      </c>
      <c r="D23" s="2">
        <v>6</v>
      </c>
      <c r="E23" s="2">
        <v>0</v>
      </c>
      <c r="F23" s="10" t="s">
        <v>82</v>
      </c>
      <c r="G23" t="s">
        <v>99</v>
      </c>
      <c r="H23" t="s">
        <v>95</v>
      </c>
      <c r="I23" t="s">
        <v>122</v>
      </c>
      <c r="J23" t="s">
        <v>122</v>
      </c>
      <c r="K23" t="s">
        <v>122</v>
      </c>
      <c r="L23" t="s">
        <v>96</v>
      </c>
      <c r="M23" t="s">
        <v>96</v>
      </c>
      <c r="N23" t="str">
        <f t="shared" si="0"/>
        <v>Sem Pendência</v>
      </c>
      <c r="O23" t="str">
        <f t="shared" si="1"/>
        <v>Pendência de TACH</v>
      </c>
    </row>
    <row r="24" spans="1:15">
      <c r="A24">
        <v>4717</v>
      </c>
      <c r="B24" t="s">
        <v>98</v>
      </c>
      <c r="C24" t="s">
        <v>121</v>
      </c>
      <c r="D24" s="2">
        <v>28</v>
      </c>
      <c r="E24" s="2">
        <v>0</v>
      </c>
      <c r="F24" s="10" t="s">
        <v>82</v>
      </c>
      <c r="G24" t="s">
        <v>100</v>
      </c>
      <c r="H24" t="s">
        <v>101</v>
      </c>
      <c r="I24" t="s">
        <v>123</v>
      </c>
      <c r="J24" t="s">
        <v>123</v>
      </c>
      <c r="K24" t="s">
        <v>123</v>
      </c>
      <c r="L24" t="s">
        <v>96</v>
      </c>
      <c r="M24" t="s">
        <v>96</v>
      </c>
      <c r="N24" t="str">
        <f t="shared" si="0"/>
        <v>Sem Pendência</v>
      </c>
      <c r="O24" t="str">
        <f t="shared" si="1"/>
        <v>Pendência de TACH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6840-0DFB-45AC-B86E-5F3D6A81EDF8}">
  <dimension ref="A1:N58"/>
  <sheetViews>
    <sheetView zoomScale="55" zoomScaleNormal="55" workbookViewId="0">
      <selection activeCell="F22" sqref="F22"/>
    </sheetView>
  </sheetViews>
  <sheetFormatPr defaultRowHeight="15"/>
  <cols>
    <col min="1" max="1" width="11.85546875" bestFit="1" customWidth="1"/>
    <col min="2" max="2" width="53.85546875" customWidth="1"/>
    <col min="3" max="3" width="31.28515625" bestFit="1" customWidth="1"/>
    <col min="4" max="4" width="10" style="2" customWidth="1"/>
    <col min="5" max="5" width="23" bestFit="1" customWidth="1"/>
    <col min="6" max="6" width="52.28515625" customWidth="1"/>
    <col min="7" max="7" width="10.7109375" customWidth="1"/>
    <col min="8" max="8" width="17.140625" customWidth="1"/>
    <col min="9" max="9" width="16.5703125" customWidth="1"/>
    <col min="10" max="10" width="15.28515625" customWidth="1"/>
    <col min="11" max="11" width="14.42578125" customWidth="1"/>
    <col min="12" max="12" width="14.7109375" customWidth="1"/>
    <col min="13" max="13" width="21.28515625" bestFit="1" customWidth="1"/>
    <col min="14" max="14" width="23.5703125" bestFit="1" customWidth="1"/>
  </cols>
  <sheetData>
    <row r="1" spans="1:14">
      <c r="A1" t="s">
        <v>0</v>
      </c>
      <c r="B1" t="s">
        <v>1</v>
      </c>
      <c r="C1" t="s">
        <v>7</v>
      </c>
      <c r="D1" s="2" t="s">
        <v>2</v>
      </c>
      <c r="E1" t="s">
        <v>3</v>
      </c>
      <c r="F1" t="s">
        <v>4</v>
      </c>
      <c r="G1" t="s">
        <v>8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5</v>
      </c>
      <c r="N1" t="s">
        <v>6</v>
      </c>
    </row>
    <row r="2" spans="1:14">
      <c r="A2" s="1">
        <v>8306</v>
      </c>
      <c r="B2" t="s">
        <v>47</v>
      </c>
      <c r="C2" s="2">
        <v>2</v>
      </c>
      <c r="D2" t="str">
        <f>_xlfn.XLOOKUP(Table14[[#This Row],[Matricula]],[1]Sheet1!$A:$A,[1]Sheet1!$C:$C,1,0)</f>
        <v>2</v>
      </c>
      <c r="E2" t="s">
        <v>82</v>
      </c>
      <c r="F2" t="s">
        <v>83</v>
      </c>
      <c r="G2" t="s">
        <v>95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t="str">
        <f>IF(AND(G2="SIM",D2&gt;0),"Pendência de Agenda",IF(AND(#REF!="NÃO",D2=0),"Sem Pendência",IF(AND(#REF!="Sim",D2=0),"Sem Pendência","")))</f>
        <v>Pendência de Agenda</v>
      </c>
      <c r="N2" t="str" cm="1">
        <f t="array" ref="N2">IF(AND(C2&gt;0,I2="Finalizado"),"Pendência de TACH",IF(AND(C2&gt;0,I2="Não Criado"),"Pendência de TACH",IF(AND(C2&gt;0,I2="Rascunho"),"Pendência de TACH",IF(AND(C2&gt;0,I2="NECESSÁRIO AJUSTAR"),"Pendência de TACH",IF(AND(C2&gt;0,I2="Aguardando Aprovação"),"Sem 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Aprovação"),"Sem 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Aprovação"),"Sem 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Aprovação"),"Sem Pendência de TACH",IF(AND(C2&gt;0,L2="Aprovado"),"Sem Pendência de TACH"))))))))))))))))))))))))</f>
        <v>Pendência de TACH</v>
      </c>
    </row>
    <row r="3" spans="1:14">
      <c r="A3" s="1">
        <v>90013836</v>
      </c>
      <c r="B3" t="s">
        <v>48</v>
      </c>
      <c r="C3" s="2">
        <v>2</v>
      </c>
      <c r="D3" t="str">
        <f>_xlfn.XLOOKUP(Table14[[#This Row],[Matricula]],[1]Sheet1!$A:$A,[1]Sheet1!$C:$C,1,0)</f>
        <v>2</v>
      </c>
      <c r="E3" t="s">
        <v>82</v>
      </c>
      <c r="F3" t="s">
        <v>83</v>
      </c>
      <c r="G3" t="s">
        <v>95</v>
      </c>
      <c r="H3" t="s">
        <v>123</v>
      </c>
      <c r="I3" t="s">
        <v>123</v>
      </c>
      <c r="J3" t="s">
        <v>123</v>
      </c>
      <c r="K3" t="s">
        <v>123</v>
      </c>
      <c r="L3" t="s">
        <v>123</v>
      </c>
      <c r="M3" t="str">
        <f t="shared" ref="M3:M19" si="0">IF(AND(G3="SIM",D3&gt;0),"Pendência de Agenda",IF(AND(G3="NÃO",D3=0),"Sem Pendência",IF(AND(G3="Sim",D3=0),"Sem Pendência","")))</f>
        <v>Pendência de Agenda</v>
      </c>
      <c r="N3" t="str" cm="1">
        <f t="array" ref="N3">IF(AND(C3&gt;0,I3="Finalizado"),"Pendência de TACH",IF(AND(C3&gt;0,I3="Não Criado"),"Pendência de TACH",IF(AND(C3&gt;0,I3="Rascunho"),"Pendência de TACH",IF(AND(C3&gt;0,I3="NECESSÁRIO AJUSTAR"),"Pendência de TACH",IF(AND(C3&gt;0,I3="Aguardando Aprovação"),"Sem Pendência de TACH",IF(AND(C3&gt;0,I3="Aprovado"),"Sem Pendência de TACH",IF(AND(C3&gt;0,J3="Finalizado"),"Pendência de TACH",IF(AND(C3&gt;0,J3="Não Criado"),"Pendência de TACH",IF(AND(C3&gt;0,J3="Rascunho"),"Pendência de TACH",IF(AND(C3&gt;0,J3="NECESSÁRIO AJUSTAR"),"Pendência de TACH",IF(AND(C3&gt;0,J3="Aguardando Aprovação"),"Sem Pendência de TACH",IF(AND(C3&gt;0,J3="Aprovado"),"Sem Pendência de TACH",IF(AND(C3&gt;0,K3="Finalizado"),"Pendência de TACH",IF(AND(C3&gt;0,K3="Não Criado"),"Pendência de TACH",IF(AND(C3&gt;0,K3="Rascunho"),"Pendência de TACH",IF(AND(C3&gt;0,K3="NECESSÁRIO AJUSTAR"),"Pendência de TACH",IF(AND(C3&gt;0,K3="Aguardando Aprovação"),"Sem Pendência de TACH",IF(AND(C3&gt;0,K3="Aprovado"),"Sem Pendência de TACH",IF(AND(C3&gt;0,KL="Finalizado"),"Pendência de TACH",IF(AND(C3&gt;0,KL="Não Criado"),"Pendência de TACH",IF(AND(C3&gt;0,KL="Rascunho"),"Pendência de TACH",IF(AND(C3&gt;0,L3="NECESSÁRIO AJUSTAR"),"Pendência de TACH",IF(AND(C3&gt;0,L3="Aguardando Aprovação"),"Sem Pendência de TACH",IF(AND(C3&gt;0,L3="Aprovado"),"Sem Pendência de TACH"))))))))))))))))))))))))</f>
        <v>Pendência de TACH</v>
      </c>
    </row>
    <row r="4" spans="1:14" ht="13.5" customHeight="1">
      <c r="A4" s="1">
        <v>90009703</v>
      </c>
      <c r="B4" t="s">
        <v>49</v>
      </c>
      <c r="C4" s="2">
        <v>18</v>
      </c>
      <c r="D4" t="str">
        <f>_xlfn.XLOOKUP(Table14[[#This Row],[Matricula]],[1]Sheet1!$A:$A,[1]Sheet1!$C:$C,1,0)</f>
        <v>18</v>
      </c>
      <c r="E4" t="s">
        <v>82</v>
      </c>
      <c r="F4" t="s">
        <v>85</v>
      </c>
      <c r="G4" t="s">
        <v>95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tr">
        <f t="shared" si="0"/>
        <v>Pendência de Agenda</v>
      </c>
      <c r="N4" t="str" cm="1">
        <f t="array" ref="N4">IF(AND(C4&gt;0,I4="Finalizado"),"Pendência de TACH",IF(AND(C4&gt;0,I4="Não Criado"),"Pendência de TACH",IF(AND(C4&gt;0,I4="Rascunho"),"Pendência de TACH",IF(AND(C4&gt;0,I4="NECESSÁRIO AJUSTAR"),"Pendência de TACH",IF(AND(C4&gt;0,I4="Aguardando Aprovação"),"Sem Pendência de TACH",IF(AND(C4&gt;0,I4="Aprovado"),"Sem Pendência de TACH",IF(AND(C4&gt;0,J4="Finalizado"),"Pendência de TACH",IF(AND(C4&gt;0,J4="Não Criado"),"Pendência de TACH",IF(AND(C4&gt;0,J4="Rascunho"),"Pendência de TACH",IF(AND(C4&gt;0,J4="NECESSÁRIO AJUSTAR"),"Pendência de TACH",IF(AND(C4&gt;0,J4="Aguardando Aprovação"),"Sem Pendência de TACH",IF(AND(C4&gt;0,J4="Aprovado"),"Sem Pendência de TACH",IF(AND(C4&gt;0,K4="Finalizado"),"Pendência de TACH",IF(AND(C4&gt;0,K4="Não Criado"),"Pendência de TACH",IF(AND(C4&gt;0,K4="Rascunho"),"Pendência de TACH",IF(AND(C4&gt;0,K4="NECESSÁRIO AJUSTAR"),"Pendência de TACH",IF(AND(C4&gt;0,K4="Aguardando Aprovação"),"Sem Pendência de TACH",IF(AND(C4&gt;0,K4="Aprovado"),"Sem Pendência de TACH",IF(AND(C4&gt;0,KL="Finalizado"),"Pendência de TACH",IF(AND(C4&gt;0,KL="Não Criado"),"Pendência de TACH",IF(AND(C4&gt;0,KL="Rascunho"),"Pendência de TACH",IF(AND(C4&gt;0,L4="NECESSÁRIO AJUSTAR"),"Pendência de TACH",IF(AND(C4&gt;0,L4="Aguardando Aprovação"),"Sem Pendência de TACH",IF(AND(C4&gt;0,L4="Aprovado"),"Sem Pendência de TACH"))))))))))))))))))))))))</f>
        <v>Pendência de TACH</v>
      </c>
    </row>
    <row r="5" spans="1:14">
      <c r="A5" s="1">
        <v>90005226</v>
      </c>
      <c r="B5" t="s">
        <v>51</v>
      </c>
      <c r="C5" s="2">
        <v>14</v>
      </c>
      <c r="D5" t="str">
        <f>_xlfn.XLOOKUP(Table14[[#This Row],[Matricula]],[1]Sheet1!$A:$A,[1]Sheet1!$C:$C,1,0)</f>
        <v>14</v>
      </c>
      <c r="E5" t="s">
        <v>87</v>
      </c>
      <c r="F5" t="s">
        <v>88</v>
      </c>
      <c r="G5" t="s">
        <v>95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tr">
        <f t="shared" si="0"/>
        <v>Pendência de Agenda</v>
      </c>
      <c r="N5" t="str" cm="1">
        <f t="array" ref="N5">IF(AND(C5&gt;0,I5="Finalizado"),"Pendência de TACH",IF(AND(C5&gt;0,I5="Não Criado"),"Pendência de TACH",IF(AND(C5&gt;0,I5="Rascunho"),"Pendência de TACH",IF(AND(C5&gt;0,I5="NECESSÁRIO AJUSTAR"),"Pendência de TACH",IF(AND(C5&gt;0,I5="Aguardando Aprovação"),"Sem Pendência de TACH",IF(AND(C5&gt;0,I5="Aprovado"),"Sem Pendência de TACH",IF(AND(C5&gt;0,J5="Finalizado"),"Pendência de TACH",IF(AND(C5&gt;0,J5="Não Criado"),"Pendência de TACH",IF(AND(C5&gt;0,J5="Rascunho"),"Pendência de TACH",IF(AND(C5&gt;0,J5="NECESSÁRIO AJUSTAR"),"Pendência de TACH",IF(AND(C5&gt;0,J5="Aguardando Aprovação"),"Sem Pendência de TACH",IF(AND(C5&gt;0,J5="Aprovado"),"Sem Pendência de TACH",IF(AND(C5&gt;0,K5="Finalizado"),"Pendência de TACH",IF(AND(C5&gt;0,K5="Não Criado"),"Pendência de TACH",IF(AND(C5&gt;0,K5="Rascunho"),"Pendência de TACH",IF(AND(C5&gt;0,K5="NECESSÁRIO AJUSTAR"),"Pendência de TACH",IF(AND(C5&gt;0,K5="Aguardando Aprovação"),"Sem Pendência de TACH",IF(AND(C5&gt;0,K5="Aprovado"),"Sem Pendência de TACH",IF(AND(C5&gt;0,KL="Finalizado"),"Pendência de TACH",IF(AND(C5&gt;0,KL="Não Criado"),"Pendência de TACH",IF(AND(C5&gt;0,KL="Rascunho"),"Pendência de TACH",IF(AND(C5&gt;0,L5="NECESSÁRIO AJUSTAR"),"Pendência de TACH",IF(AND(C5&gt;0,L5="Aguardando Aprovação"),"Sem Pendência de TACH",IF(AND(C5&gt;0,L5="Aprovado"),"Sem Pendência de TACH"))))))))))))))))))))))))</f>
        <v>Sem Pendência de TACH</v>
      </c>
    </row>
    <row r="6" spans="1:14">
      <c r="A6" s="1">
        <v>90013955</v>
      </c>
      <c r="B6" t="s">
        <v>53</v>
      </c>
      <c r="C6" s="2">
        <v>3</v>
      </c>
      <c r="D6" t="str">
        <f>_xlfn.XLOOKUP(Table14[[#This Row],[Matricula]],[1]Sheet1!$A:$A,[1]Sheet1!$C:$C,1,0)</f>
        <v>3</v>
      </c>
      <c r="E6" t="s">
        <v>82</v>
      </c>
      <c r="F6" t="s">
        <v>85</v>
      </c>
      <c r="G6" t="s">
        <v>95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tr">
        <f t="shared" si="0"/>
        <v>Pendência de Agenda</v>
      </c>
      <c r="N6" t="str" cm="1">
        <f t="array" ref="N6">IF(AND(C6&gt;0,I6="Finalizado"),"Pendência de TACH",IF(AND(C6&gt;0,I6="Não Criado"),"Pendência de TACH",IF(AND(C6&gt;0,I6="Rascunho"),"Pendência de TACH",IF(AND(C6&gt;0,I6="NECESSÁRIO AJUSTAR"),"Pendência de TACH",IF(AND(C6&gt;0,I6="Aguardando Aprovação"),"Sem Pendência de TACH",IF(AND(C6&gt;0,I6="Aprovado"),"Sem Pendência de TACH",IF(AND(C6&gt;0,J6="Finalizado"),"Pendência de TACH",IF(AND(C6&gt;0,J6="Não Criado"),"Pendência de TACH",IF(AND(C6&gt;0,J6="Rascunho"),"Pendência de TACH",IF(AND(C6&gt;0,J6="NECESSÁRIO AJUSTAR"),"Pendência de TACH",IF(AND(C6&gt;0,J6="Aguardando Aprovação"),"Sem Pendência de TACH",IF(AND(C6&gt;0,J6="Aprovado"),"Sem Pendência de TACH",IF(AND(C6&gt;0,K6="Finalizado"),"Pendência de TACH",IF(AND(C6&gt;0,K6="Não Criado"),"Pendência de TACH",IF(AND(C6&gt;0,K6="Rascunho"),"Pendência de TACH",IF(AND(C6&gt;0,K6="NECESSÁRIO AJUSTAR"),"Pendência de TACH",IF(AND(C6&gt;0,K6="Aguardando Aprovação"),"Sem Pendência de TACH",IF(AND(C6&gt;0,K6="Aprovado"),"Sem Pendência de TACH",IF(AND(C6&gt;0,KL="Finalizado"),"Pendência de TACH",IF(AND(C6&gt;0,KL="Não Criado"),"Pendência de TACH",IF(AND(C6&gt;0,KL="Rascunho"),"Pendência de TACH",IF(AND(C6&gt;0,L6="NECESSÁRIO AJUSTAR"),"Pendência de TACH",IF(AND(C6&gt;0,L6="Aguardando Aprovação"),"Sem Pendência de TACH",IF(AND(C6&gt;0,L6="Aprovado"),"Sem Pendência de TACH"))))))))))))))))))))))))</f>
        <v>Sem Pendência de TACH</v>
      </c>
    </row>
    <row r="7" spans="1:14">
      <c r="A7" s="1">
        <v>90010315</v>
      </c>
      <c r="B7" t="s">
        <v>54</v>
      </c>
      <c r="C7" s="2">
        <v>20</v>
      </c>
      <c r="D7" t="str">
        <f>_xlfn.XLOOKUP(Table14[[#This Row],[Matricula]],[1]Sheet1!$A:$A,[1]Sheet1!$C:$C,1,0)</f>
        <v>20</v>
      </c>
      <c r="E7" t="s">
        <v>87</v>
      </c>
      <c r="F7" t="s">
        <v>88</v>
      </c>
      <c r="G7" t="s">
        <v>95</v>
      </c>
      <c r="H7" t="s">
        <v>122</v>
      </c>
      <c r="I7" t="s">
        <v>126</v>
      </c>
      <c r="J7" t="s">
        <v>126</v>
      </c>
      <c r="K7" t="s">
        <v>125</v>
      </c>
      <c r="L7" t="s">
        <v>125</v>
      </c>
      <c r="M7" t="str">
        <f t="shared" si="0"/>
        <v>Pendência de Agenda</v>
      </c>
      <c r="N7" t="str" cm="1">
        <f t="array" ref="N7">IF(AND(C7&gt;0,I7="Finalizado"),"Pendência de TACH",IF(AND(C7&gt;0,I7="Não Criado"),"Pendência de TACH",IF(AND(C7&gt;0,I7="Rascunho"),"Pendência de TACH",IF(AND(C7&gt;0,I7="NECESSÁRIO AJUSTAR"),"Pendência de TACH",IF(AND(C7&gt;0,I7="Aguardando Aprovação"),"Sem Pendência de TACH",IF(AND(C7&gt;0,I7="Aprovado"),"Sem Pendência de TACH",IF(AND(C7&gt;0,J7="Finalizado"),"Pendência de TACH",IF(AND(C7&gt;0,J7="Não Criado"),"Pendência de TACH",IF(AND(C7&gt;0,J7="Rascunho"),"Pendência de TACH",IF(AND(C7&gt;0,J7="NECESSÁRIO AJUSTAR"),"Pendência de TACH",IF(AND(C7&gt;0,J7="Aguardando Aprovação"),"Sem Pendência de TACH",IF(AND(C7&gt;0,J7="Aprovado"),"Sem Pendência de TACH",IF(AND(C7&gt;0,K7="Finalizado"),"Pendência de TACH",IF(AND(C7&gt;0,K7="Não Criado"),"Pendência de TACH",IF(AND(C7&gt;0,K7="Rascunho"),"Pendência de TACH",IF(AND(C7&gt;0,K7="NECESSÁRIO AJUSTAR"),"Pendência de TACH",IF(AND(C7&gt;0,K7="Aguardando Aprovação"),"Sem Pendência de TACH",IF(AND(C7&gt;0,K7="Aprovado"),"Sem Pendência de TACH",IF(AND(C7&gt;0,KL="Finalizado"),"Pendência de TACH",IF(AND(C7&gt;0,KL="Não Criado"),"Pendência de TACH",IF(AND(C7&gt;0,KL="Rascunho"),"Pendência de TACH",IF(AND(C7&gt;0,L7="NECESSÁRIO AJUSTAR"),"Pendência de TACH",IF(AND(C7&gt;0,L7="Aguardando Aprovação"),"Sem Pendência de TACH",IF(AND(C7&gt;0,L7="Aprovado"),"Sem Pendência de TACH"))))))))))))))))))))))))</f>
        <v>Sem Pendência de TACH</v>
      </c>
    </row>
    <row r="8" spans="1:14">
      <c r="A8" s="1">
        <v>90003306</v>
      </c>
      <c r="B8" t="s">
        <v>55</v>
      </c>
      <c r="C8" s="2">
        <v>8</v>
      </c>
      <c r="D8" t="str">
        <f>_xlfn.XLOOKUP(Table14[[#This Row],[Matricula]],[1]Sheet1!$A:$A,[1]Sheet1!$C:$C,1,0)</f>
        <v>8</v>
      </c>
      <c r="E8" t="s">
        <v>87</v>
      </c>
      <c r="F8" t="s">
        <v>88</v>
      </c>
      <c r="G8" t="s">
        <v>95</v>
      </c>
      <c r="H8" t="s">
        <v>122</v>
      </c>
      <c r="I8" t="s">
        <v>122</v>
      </c>
      <c r="J8" t="s">
        <v>122</v>
      </c>
      <c r="K8" t="s">
        <v>122</v>
      </c>
      <c r="L8" t="s">
        <v>122</v>
      </c>
      <c r="M8" t="str">
        <f t="shared" si="0"/>
        <v>Pendência de Agenda</v>
      </c>
      <c r="N8" t="str" cm="1">
        <f t="array" ref="N8">IF(AND(C8&gt;0,I8="Finalizado"),"Pendência de TACH",IF(AND(C8&gt;0,I8="Não Criado"),"Pendência de TACH",IF(AND(C8&gt;0,I8="Rascunho"),"Pendência de TACH",IF(AND(C8&gt;0,I8="NECESSÁRIO AJUSTAR"),"Pendência de TACH",IF(AND(C8&gt;0,I8="Aguardando Aprovação"),"Sem Pendência de TACH",IF(AND(C8&gt;0,I8="Aprovado"),"Sem Pendência de TACH",IF(AND(C8&gt;0,J8="Finalizado"),"Pendência de TACH",IF(AND(C8&gt;0,J8="Não Criado"),"Pendência de TACH",IF(AND(C8&gt;0,J8="Rascunho"),"Pendência de TACH",IF(AND(C8&gt;0,J8="NECESSÁRIO AJUSTAR"),"Pendência de TACH",IF(AND(C8&gt;0,J8="Aguardando Aprovação"),"Sem Pendência de TACH",IF(AND(C8&gt;0,J8="Aprovado"),"Sem Pendência de TACH",IF(AND(C8&gt;0,K8="Finalizado"),"Pendência de TACH",IF(AND(C8&gt;0,K8="Não Criado"),"Pendência de TACH",IF(AND(C8&gt;0,K8="Rascunho"),"Pendência de TACH",IF(AND(C8&gt;0,K8="NECESSÁRIO AJUSTAR"),"Pendência de TACH",IF(AND(C8&gt;0,K8="Aguardando Aprovação"),"Sem Pendência de TACH",IF(AND(C8&gt;0,K8="Aprovado"),"Sem Pendência de TACH",IF(AND(C8&gt;0,KL="Finalizado"),"Pendência de TACH",IF(AND(C8&gt;0,KL="Não Criado"),"Pendência de TACH",IF(AND(C8&gt;0,KL="Rascunho"),"Pendência de TACH",IF(AND(C8&gt;0,L8="NECESSÁRIO AJUSTAR"),"Pendência de TACH",IF(AND(C8&gt;0,L8="Aguardando Aprovação"),"Sem Pendência de TACH",IF(AND(C8&gt;0,L8="Aprovado"),"Sem Pendência de TACH"))))))))))))))))))))))))</f>
        <v>Pendência de TACH</v>
      </c>
    </row>
    <row r="9" spans="1:14">
      <c r="A9" s="1">
        <v>23702</v>
      </c>
      <c r="B9" t="s">
        <v>127</v>
      </c>
      <c r="C9" s="2">
        <v>22</v>
      </c>
      <c r="D9" t="str">
        <f>_xlfn.XLOOKUP(Table14[[#This Row],[Matricula]],[1]Sheet1!$A:$A,[1]Sheet1!$C:$C,1,0)</f>
        <v>22</v>
      </c>
      <c r="E9" t="s">
        <v>82</v>
      </c>
      <c r="F9" t="s">
        <v>129</v>
      </c>
      <c r="G9" t="s">
        <v>95</v>
      </c>
      <c r="H9" t="s">
        <v>123</v>
      </c>
      <c r="I9" t="s">
        <v>123</v>
      </c>
      <c r="J9" t="s">
        <v>123</v>
      </c>
      <c r="K9" t="s">
        <v>123</v>
      </c>
      <c r="L9" t="s">
        <v>126</v>
      </c>
      <c r="M9" t="str">
        <f t="shared" si="0"/>
        <v>Pendência de Agenda</v>
      </c>
      <c r="N9" t="str" cm="1">
        <f t="array" ref="N9">IF(AND(C9&gt;0,I9="Finalizado"),"Pendência de TACH",IF(AND(C9&gt;0,I9="Não Criado"),"Pendência de TACH",IF(AND(C9&gt;0,I9="Rascunho"),"Pendência de TACH",IF(AND(C9&gt;0,I9="NECESSÁRIO AJUSTAR"),"Pendência de TACH",IF(AND(C9&gt;0,I9="Aguardando Aprovação"),"Sem Pendência de TACH",IF(AND(C9&gt;0,I9="Aprovado"),"Sem Pendência de TACH",IF(AND(C9&gt;0,J9="Finalizado"),"Pendência de TACH",IF(AND(C9&gt;0,J9="Não Criado"),"Pendência de TACH",IF(AND(C9&gt;0,J9="Rascunho"),"Pendência de TACH",IF(AND(C9&gt;0,J9="NECESSÁRIO AJUSTAR"),"Pendência de TACH",IF(AND(C9&gt;0,J9="Aguardando Aprovação"),"Sem Pendência de TACH",IF(AND(C9&gt;0,J9="Aprovado"),"Sem Pendência de TACH",IF(AND(C9&gt;0,K9="Finalizado"),"Pendência de TACH",IF(AND(C9&gt;0,K9="Não Criado"),"Pendência de TACH",IF(AND(C9&gt;0,K9="Rascunho"),"Pendência de TACH",IF(AND(C9&gt;0,K9="NECESSÁRIO AJUSTAR"),"Pendência de TACH",IF(AND(C9&gt;0,K9="Aguardando Aprovação"),"Sem Pendência de TACH",IF(AND(C9&gt;0,K9="Aprovado"),"Sem Pendência de TACH",IF(AND(C9&gt;0,KL="Finalizado"),"Pendência de TACH",IF(AND(C9&gt;0,KL="Não Criado"),"Pendência de TACH",IF(AND(C9&gt;0,KL="Rascunho"),"Pendência de TACH",IF(AND(C9&gt;0,L9="NECESSÁRIO AJUSTAR"),"Pendência de TACH",IF(AND(C9&gt;0,L9="Aguardando Aprovação"),"Sem Pendência de TACH",IF(AND(C9&gt;0,L9="Aprovado"),"Sem Pendência de TACH"))))))))))))))))))))))))</f>
        <v>Pendência de TACH</v>
      </c>
    </row>
    <row r="10" spans="1:14">
      <c r="A10" s="1">
        <v>90013958</v>
      </c>
      <c r="B10" t="s">
        <v>58</v>
      </c>
      <c r="C10" s="2">
        <v>2</v>
      </c>
      <c r="D10" t="str">
        <f>_xlfn.XLOOKUP(Table14[[#This Row],[Matricula]],[1]Sheet1!$A:$A,[1]Sheet1!$C:$C,1,0)</f>
        <v>2</v>
      </c>
      <c r="E10" t="s">
        <v>82</v>
      </c>
      <c r="F10" t="s">
        <v>90</v>
      </c>
      <c r="G10" t="s">
        <v>95</v>
      </c>
      <c r="H10" t="s">
        <v>122</v>
      </c>
      <c r="I10" t="s">
        <v>122</v>
      </c>
      <c r="J10" t="s">
        <v>122</v>
      </c>
      <c r="K10" t="s">
        <v>122</v>
      </c>
      <c r="L10" t="s">
        <v>122</v>
      </c>
      <c r="M10" t="str">
        <f t="shared" si="0"/>
        <v>Pendência de Agenda</v>
      </c>
      <c r="N10" t="str" cm="1">
        <f t="array" ref="N10">IF(AND(C10&gt;0,I10="Finalizado"),"Pendência de TACH",IF(AND(C10&gt;0,I10="Não Criado"),"Pendência de TACH",IF(AND(C10&gt;0,I10="Rascunho"),"Pendência de TACH",IF(AND(C10&gt;0,I10="NECESSÁRIO AJUSTAR"),"Pendência de TACH",IF(AND(C10&gt;0,I10="Aguardando Aprovação"),"Sem Pendência de TACH",IF(AND(C10&gt;0,I10="Aprovado"),"Sem Pendência de TACH",IF(AND(C10&gt;0,J10="Finalizado"),"Pendência de TACH",IF(AND(C10&gt;0,J10="Não Criado"),"Pendência de TACH",IF(AND(C10&gt;0,J10="Rascunho"),"Pendência de TACH",IF(AND(C10&gt;0,J10="NECESSÁRIO AJUSTAR"),"Pendência de TACH",IF(AND(C10&gt;0,J10="Aguardando Aprovação"),"Sem Pendência de TACH",IF(AND(C10&gt;0,J10="Aprovado"),"Sem Pendência de TACH",IF(AND(C10&gt;0,K10="Finalizado"),"Pendência de TACH",IF(AND(C10&gt;0,K10="Não Criado"),"Pendência de TACH",IF(AND(C10&gt;0,K10="Rascunho"),"Pendência de TACH",IF(AND(C10&gt;0,K10="NECESSÁRIO AJUSTAR"),"Pendência de TACH",IF(AND(C10&gt;0,K10="Aguardando Aprovação"),"Sem Pendência de TACH",IF(AND(C10&gt;0,K10="Aprovado"),"Sem Pendência de TACH",IF(AND(C10&gt;0,KL="Finalizado"),"Pendência de TACH",IF(AND(C10&gt;0,KL="Não Criado"),"Pendência de TACH",IF(AND(C10&gt;0,KL="Rascunho"),"Pendência de TACH",IF(AND(C10&gt;0,L10="NECESSÁRIO AJUSTAR"),"Pendência de TACH",IF(AND(C10&gt;0,L10="Aguardando Aprovação"),"Sem Pendência de TACH",IF(AND(C10&gt;0,L10="Aprovado"),"Sem Pendência de TACH"))))))))))))))))))))))))</f>
        <v>Pendência de TACH</v>
      </c>
    </row>
    <row r="11" spans="1:14">
      <c r="A11" s="1">
        <v>90005652</v>
      </c>
      <c r="B11" t="s">
        <v>128</v>
      </c>
      <c r="C11" s="2">
        <v>36</v>
      </c>
      <c r="D11" t="str">
        <f>_xlfn.XLOOKUP(Table14[[#This Row],[Matricula]],[1]Sheet1!$A:$A,[1]Sheet1!$C:$C,1,0)</f>
        <v>3</v>
      </c>
      <c r="E11" t="s">
        <v>82</v>
      </c>
      <c r="F11" t="s">
        <v>130</v>
      </c>
      <c r="G11" t="s">
        <v>95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tr">
        <f t="shared" si="0"/>
        <v>Pendência de Agenda</v>
      </c>
      <c r="N11" t="str" cm="1">
        <f t="array" ref="N11">IF(AND(C11&gt;0,I11="Finalizado"),"Pendência de TACH",IF(AND(C11&gt;0,I11="Não Criado"),"Pendência de TACH",IF(AND(C11&gt;0,I11="Rascunho"),"Pendência de TACH",IF(AND(C11&gt;0,I11="NECESSÁRIO AJUSTAR"),"Pendência de TACH",IF(AND(C11&gt;0,I11="Aguardando Aprovação"),"Sem Pendência de TACH",IF(AND(C11&gt;0,I11="Aprovado"),"Sem Pendência de TACH",IF(AND(C11&gt;0,J11="Finalizado"),"Pendência de TACH",IF(AND(C11&gt;0,J11="Não Criado"),"Pendência de TACH",IF(AND(C11&gt;0,J11="Rascunho"),"Pendência de TACH",IF(AND(C11&gt;0,J11="NECESSÁRIO AJUSTAR"),"Pendência de TACH",IF(AND(C11&gt;0,J11="Aguardando Aprovação"),"Sem Pendência de TACH",IF(AND(C11&gt;0,J11="Aprovado"),"Sem Pendência de TACH",IF(AND(C11&gt;0,K11="Finalizado"),"Pendência de TACH",IF(AND(C11&gt;0,K11="Não Criado"),"Pendência de TACH",IF(AND(C11&gt;0,K11="Rascunho"),"Pendência de TACH",IF(AND(C11&gt;0,K11="NECESSÁRIO AJUSTAR"),"Pendência de TACH",IF(AND(C11&gt;0,K11="Aguardando Aprovação"),"Sem Pendência de TACH",IF(AND(C11&gt;0,K11="Aprovado"),"Sem Pendência de TACH",IF(AND(C11&gt;0,KL="Finalizado"),"Pendência de TACH",IF(AND(C11&gt;0,KL="Não Criado"),"Pendência de TACH",IF(AND(C11&gt;0,KL="Rascunho"),"Pendência de TACH",IF(AND(C11&gt;0,L11="NECESSÁRIO AJUSTAR"),"Pendência de TACH",IF(AND(C11&gt;0,L11="Aguardando Aprovação"),"Sem Pendência de TACH",IF(AND(C11&gt;0,L11="Aprovado"),"Sem Pendência de TACH"))))))))))))))))))))))))</f>
        <v>Sem Pendência de TACH</v>
      </c>
    </row>
    <row r="12" spans="1:14">
      <c r="A12" s="1">
        <v>90001409</v>
      </c>
      <c r="B12" t="s">
        <v>60</v>
      </c>
      <c r="C12" s="2">
        <v>20</v>
      </c>
      <c r="D12" t="str">
        <f>_xlfn.XLOOKUP(Table14[[#This Row],[Matricula]],[1]Sheet1!$A:$A,[1]Sheet1!$C:$C,1,0)</f>
        <v>20</v>
      </c>
      <c r="E12" t="s">
        <v>87</v>
      </c>
      <c r="F12" t="s">
        <v>88</v>
      </c>
      <c r="G12" t="s">
        <v>95</v>
      </c>
      <c r="H12" t="s">
        <v>122</v>
      </c>
      <c r="I12" t="s">
        <v>122</v>
      </c>
      <c r="J12" t="s">
        <v>122</v>
      </c>
      <c r="K12" t="s">
        <v>122</v>
      </c>
      <c r="L12" t="s">
        <v>122</v>
      </c>
      <c r="M12" t="str">
        <f t="shared" si="0"/>
        <v>Pendência de Agenda</v>
      </c>
      <c r="N12" t="str" cm="1">
        <f t="array" ref="N12">IF(AND(C12&gt;0,I12="Finalizado"),"Pendência de TACH",IF(AND(C12&gt;0,I12="Não Criado"),"Pendência de TACH",IF(AND(C12&gt;0,I12="Rascunho"),"Pendência de TACH",IF(AND(C12&gt;0,I12="NECESSÁRIO AJUSTAR"),"Pendência de TACH",IF(AND(C12&gt;0,I12="Aguardando Aprovação"),"Sem Pendência de TACH",IF(AND(C12&gt;0,I12="Aprovado"),"Sem Pendência de TACH",IF(AND(C12&gt;0,J12="Finalizado"),"Pendência de TACH",IF(AND(C12&gt;0,J12="Não Criado"),"Pendência de TACH",IF(AND(C12&gt;0,J12="Rascunho"),"Pendência de TACH",IF(AND(C12&gt;0,J12="NECESSÁRIO AJUSTAR"),"Pendência de TACH",IF(AND(C12&gt;0,J12="Aguardando Aprovação"),"Sem Pendência de TACH",IF(AND(C12&gt;0,J12="Aprovado"),"Sem Pendência de TACH",IF(AND(C12&gt;0,K12="Finalizado"),"Pendência de TACH",IF(AND(C12&gt;0,K12="Não Criado"),"Pendência de TACH",IF(AND(C12&gt;0,K12="Rascunho"),"Pendência de TACH",IF(AND(C12&gt;0,K12="NECESSÁRIO AJUSTAR"),"Pendência de TACH",IF(AND(C12&gt;0,K12="Aguardando Aprovação"),"Sem Pendência de TACH",IF(AND(C12&gt;0,K12="Aprovado"),"Sem Pendência de TACH",IF(AND(C12&gt;0,KL="Finalizado"),"Pendência de TACH",IF(AND(C12&gt;0,KL="Não Criado"),"Pendência de TACH",IF(AND(C12&gt;0,KL="Rascunho"),"Pendência de TACH",IF(AND(C12&gt;0,L12="NECESSÁRIO AJUSTAR"),"Pendência de TACH",IF(AND(C12&gt;0,L12="Aguardando Aprovação"),"Sem Pendência de TACH",IF(AND(C12&gt;0,L12="Aprovado"),"Sem Pendência de TACH"))))))))))))))))))))))))</f>
        <v>Pendência de TACH</v>
      </c>
    </row>
    <row r="13" spans="1:14">
      <c r="A13" s="1">
        <v>90009989</v>
      </c>
      <c r="B13" t="s">
        <v>61</v>
      </c>
      <c r="C13" s="2">
        <v>2</v>
      </c>
      <c r="D13" t="str">
        <f>_xlfn.XLOOKUP(Table14[[#This Row],[Matricula]],[1]Sheet1!$A:$A,[1]Sheet1!$C:$C,1,0)</f>
        <v>2</v>
      </c>
      <c r="E13" t="s">
        <v>82</v>
      </c>
      <c r="F13" t="s">
        <v>84</v>
      </c>
      <c r="G13" t="s">
        <v>95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tr">
        <f t="shared" si="0"/>
        <v>Pendência de Agenda</v>
      </c>
      <c r="N13" t="str" cm="1">
        <f t="array" ref="N13">IF(AND(C13&gt;0,I13="Finalizado"),"Pendência de TACH",IF(AND(C13&gt;0,I13="Não Criado"),"Pendência de TACH",IF(AND(C13&gt;0,I13="Rascunho"),"Pendência de TACH",IF(AND(C13&gt;0,I13="NECESSÁRIO AJUSTAR"),"Pendência de TACH",IF(AND(C13&gt;0,I13="Aguardando Aprovação"),"Sem Pendência de TACH",IF(AND(C13&gt;0,I13="Aprovado"),"Sem Pendência de TACH",IF(AND(C13&gt;0,J13="Finalizado"),"Pendência de TACH",IF(AND(C13&gt;0,J13="Não Criado"),"Pendência de TACH",IF(AND(C13&gt;0,J13="Rascunho"),"Pendência de TACH",IF(AND(C13&gt;0,J13="NECESSÁRIO AJUSTAR"),"Pendência de TACH",IF(AND(C13&gt;0,J13="Aguardando Aprovação"),"Sem Pendência de TACH",IF(AND(C13&gt;0,J13="Aprovado"),"Sem Pendência de TACH",IF(AND(C13&gt;0,K13="Finalizado"),"Pendência de TACH",IF(AND(C13&gt;0,K13="Não Criado"),"Pendência de TACH",IF(AND(C13&gt;0,K13="Rascunho"),"Pendência de TACH",IF(AND(C13&gt;0,K13="NECESSÁRIO AJUSTAR"),"Pendência de TACH",IF(AND(C13&gt;0,K13="Aguardando Aprovação"),"Sem Pendência de TACH",IF(AND(C13&gt;0,K13="Aprovado"),"Sem Pendência de TACH",IF(AND(C13&gt;0,KL="Finalizado"),"Pendência de TACH",IF(AND(C13&gt;0,KL="Não Criado"),"Pendência de TACH",IF(AND(C13&gt;0,KL="Rascunho"),"Pendência de TACH",IF(AND(C13&gt;0,L13="NECESSÁRIO AJUSTAR"),"Pendência de TACH",IF(AND(C13&gt;0,L13="Aguardando Aprovação"),"Sem Pendência de TACH",IF(AND(C13&gt;0,L13="Aprovado"),"Sem Pendência de TACH"))))))))))))))))))))))))</f>
        <v>Sem Pendência de TACH</v>
      </c>
    </row>
    <row r="14" spans="1:14">
      <c r="A14" s="1">
        <v>90012360</v>
      </c>
      <c r="B14" t="s">
        <v>62</v>
      </c>
      <c r="C14" s="2">
        <v>16</v>
      </c>
      <c r="D14" t="str">
        <f>_xlfn.XLOOKUP(Table14[[#This Row],[Matricula]],[1]Sheet1!$A:$A,[1]Sheet1!$C:$C,1,0)</f>
        <v>16</v>
      </c>
      <c r="E14" t="s">
        <v>92</v>
      </c>
      <c r="F14" t="s">
        <v>93</v>
      </c>
      <c r="G14" t="s">
        <v>95</v>
      </c>
      <c r="H14" t="s">
        <v>122</v>
      </c>
      <c r="I14" t="s">
        <v>122</v>
      </c>
      <c r="J14" t="s">
        <v>122</v>
      </c>
      <c r="K14" t="s">
        <v>122</v>
      </c>
      <c r="L14" t="s">
        <v>122</v>
      </c>
      <c r="M14" t="str">
        <f t="shared" si="0"/>
        <v>Pendência de Agenda</v>
      </c>
      <c r="N14" t="str" cm="1">
        <f t="array" ref="N14">IF(AND(C14&gt;0,I14="Finalizado"),"Pendência de TACH",IF(AND(C14&gt;0,I14="Não Criado"),"Pendência de TACH",IF(AND(C14&gt;0,I14="Rascunho"),"Pendência de TACH",IF(AND(C14&gt;0,I14="NECESSÁRIO AJUSTAR"),"Pendência de TACH",IF(AND(C14&gt;0,I14="Aguardando Aprovação"),"Sem Pendência de TACH",IF(AND(C14&gt;0,I14="Aprovado"),"Sem Pendência de TACH",IF(AND(C14&gt;0,J14="Finalizado"),"Pendência de TACH",IF(AND(C14&gt;0,J14="Não Criado"),"Pendência de TACH",IF(AND(C14&gt;0,J14="Rascunho"),"Pendência de TACH",IF(AND(C14&gt;0,J14="NECESSÁRIO AJUSTAR"),"Pendência de TACH",IF(AND(C14&gt;0,J14="Aguardando Aprovação"),"Sem Pendência de TACH",IF(AND(C14&gt;0,J14="Aprovado"),"Sem Pendência de TACH",IF(AND(C14&gt;0,K14="Finalizado"),"Pendência de TACH",IF(AND(C14&gt;0,K14="Não Criado"),"Pendência de TACH",IF(AND(C14&gt;0,K14="Rascunho"),"Pendência de TACH",IF(AND(C14&gt;0,K14="NECESSÁRIO AJUSTAR"),"Pendência de TACH",IF(AND(C14&gt;0,K14="Aguardando Aprovação"),"Sem Pendência de TACH",IF(AND(C14&gt;0,K14="Aprovado"),"Sem Pendência de TACH",IF(AND(C14&gt;0,KL="Finalizado"),"Pendência de TACH",IF(AND(C14&gt;0,KL="Não Criado"),"Pendência de TACH",IF(AND(C14&gt;0,KL="Rascunho"),"Pendência de TACH",IF(AND(C14&gt;0,L14="NECESSÁRIO AJUSTAR"),"Pendência de TACH",IF(AND(C14&gt;0,L14="Aguardando Aprovação"),"Sem Pendência de TACH",IF(AND(C14&gt;0,L14="Aprovado"),"Sem Pendência de TACH"))))))))))))))))))))))))</f>
        <v>Pendência de TACH</v>
      </c>
    </row>
    <row r="15" spans="1:14">
      <c r="A15" s="1">
        <v>90004950</v>
      </c>
      <c r="B15" t="s">
        <v>63</v>
      </c>
      <c r="C15" s="2">
        <v>5</v>
      </c>
      <c r="D15" t="str">
        <f>_xlfn.XLOOKUP(Table14[[#This Row],[Matricula]],[1]Sheet1!$A:$A,[1]Sheet1!$C:$C,1,0)</f>
        <v>5</v>
      </c>
      <c r="E15" t="s">
        <v>82</v>
      </c>
      <c r="F15" t="s">
        <v>85</v>
      </c>
      <c r="G15" t="s">
        <v>95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tr">
        <f t="shared" si="0"/>
        <v>Pendência de Agenda</v>
      </c>
      <c r="N15" t="str" cm="1">
        <f t="array" ref="N15">IF(AND(C15&gt;0,I15="Finalizado"),"Pendência de TACH",IF(AND(C15&gt;0,I15="Não Criado"),"Pendência de TACH",IF(AND(C15&gt;0,I15="Rascunho"),"Pendência de TACH",IF(AND(C15&gt;0,I15="NECESSÁRIO AJUSTAR"),"Pendência de TACH",IF(AND(C15&gt;0,I15="Aguardando Aprovação"),"Sem Pendência de TACH",IF(AND(C15&gt;0,I15="Aprovado"),"Sem Pendência de TACH",IF(AND(C15&gt;0,J15="Finalizado"),"Pendência de TACH",IF(AND(C15&gt;0,J15="Não Criado"),"Pendência de TACH",IF(AND(C15&gt;0,J15="Rascunho"),"Pendência de TACH",IF(AND(C15&gt;0,J15="NECESSÁRIO AJUSTAR"),"Pendência de TACH",IF(AND(C15&gt;0,J15="Aguardando Aprovação"),"Sem Pendência de TACH",IF(AND(C15&gt;0,J15="Aprovado"),"Sem Pendência de TACH",IF(AND(C15&gt;0,K15="Finalizado"),"Pendência de TACH",IF(AND(C15&gt;0,K15="Não Criado"),"Pendência de TACH",IF(AND(C15&gt;0,K15="Rascunho"),"Pendência de TACH",IF(AND(C15&gt;0,K15="NECESSÁRIO AJUSTAR"),"Pendência de TACH",IF(AND(C15&gt;0,K15="Aguardando Aprovação"),"Sem Pendência de TACH",IF(AND(C15&gt;0,K15="Aprovado"),"Sem Pendência de TACH",IF(AND(C15&gt;0,KL="Finalizado"),"Pendência de TACH",IF(AND(C15&gt;0,KL="Não Criado"),"Pendência de TACH",IF(AND(C15&gt;0,KL="Rascunho"),"Pendência de TACH",IF(AND(C15&gt;0,L15="NECESSÁRIO AJUSTAR"),"Pendência de TACH",IF(AND(C15&gt;0,L15="Aguardando Aprovação"),"Sem Pendência de TACH",IF(AND(C15&gt;0,L15="Aprovado"),"Sem Pendência de TACH"))))))))))))))))))))))))</f>
        <v>Pendência de TACH</v>
      </c>
    </row>
    <row r="16" spans="1:14">
      <c r="A16" s="1">
        <v>90010258</v>
      </c>
      <c r="B16" t="s">
        <v>64</v>
      </c>
      <c r="C16" s="2">
        <v>12</v>
      </c>
      <c r="D16" t="str">
        <f>_xlfn.XLOOKUP(Table14[[#This Row],[Matricula]],[1]Sheet1!$A:$A,[1]Sheet1!$C:$C,1,0)</f>
        <v>12</v>
      </c>
      <c r="E16" t="s">
        <v>82</v>
      </c>
      <c r="F16" t="s">
        <v>89</v>
      </c>
      <c r="G16" t="s">
        <v>95</v>
      </c>
      <c r="H16" t="s">
        <v>122</v>
      </c>
      <c r="I16" t="s">
        <v>122</v>
      </c>
      <c r="J16" t="s">
        <v>122</v>
      </c>
      <c r="K16" t="s">
        <v>126</v>
      </c>
      <c r="L16" t="s">
        <v>126</v>
      </c>
      <c r="M16" t="str">
        <f t="shared" si="0"/>
        <v>Pendência de Agenda</v>
      </c>
      <c r="N16" t="str" cm="1">
        <f t="array" ref="N16">IF(AND(C16&gt;0,I16="Finalizado"),"Pendência de TACH",IF(AND(C16&gt;0,I16="Não Criado"),"Pendência de TACH",IF(AND(C16&gt;0,I16="Rascunho"),"Pendência de TACH",IF(AND(C16&gt;0,I16="NECESSÁRIO AJUSTAR"),"Pendência de TACH",IF(AND(C16&gt;0,I16="Aguardando Aprovação"),"Sem Pendência de TACH",IF(AND(C16&gt;0,I16="Aprovado"),"Sem Pendência de TACH",IF(AND(C16&gt;0,J16="Finalizado"),"Pendência de TACH",IF(AND(C16&gt;0,J16="Não Criado"),"Pendência de TACH",IF(AND(C16&gt;0,J16="Rascunho"),"Pendência de TACH",IF(AND(C16&gt;0,J16="NECESSÁRIO AJUSTAR"),"Pendência de TACH",IF(AND(C16&gt;0,J16="Aguardando Aprovação"),"Sem Pendência de TACH",IF(AND(C16&gt;0,J16="Aprovado"),"Sem Pendência de TACH",IF(AND(C16&gt;0,K16="Finalizado"),"Pendência de TACH",IF(AND(C16&gt;0,K16="Não Criado"),"Pendência de TACH",IF(AND(C16&gt;0,K16="Rascunho"),"Pendência de TACH",IF(AND(C16&gt;0,K16="NECESSÁRIO AJUSTAR"),"Pendência de TACH",IF(AND(C16&gt;0,K16="Aguardando Aprovação"),"Sem Pendência de TACH",IF(AND(C16&gt;0,K16="Aprovado"),"Sem Pendência de TACH",IF(AND(C16&gt;0,KL="Finalizado"),"Pendência de TACH",IF(AND(C16&gt;0,KL="Não Criado"),"Pendência de TACH",IF(AND(C16&gt;0,KL="Rascunho"),"Pendência de TACH",IF(AND(C16&gt;0,L16="NECESSÁRIO AJUSTAR"),"Pendência de TACH",IF(AND(C16&gt;0,L16="Aguardando Aprovação"),"Sem Pendência de TACH",IF(AND(C16&gt;0,L16="Aprovado"),"Sem Pendência de TACH"))))))))))))))))))))))))</f>
        <v>Pendência de TACH</v>
      </c>
    </row>
    <row r="17" spans="1:14">
      <c r="A17" s="1">
        <v>3363</v>
      </c>
      <c r="B17" t="s">
        <v>65</v>
      </c>
      <c r="C17" s="2">
        <v>4</v>
      </c>
      <c r="D17" t="str">
        <f>_xlfn.XLOOKUP(Table14[[#This Row],[Matricula]],[1]Sheet1!$A:$A,[1]Sheet1!$C:$C,1,0)</f>
        <v>4</v>
      </c>
      <c r="E17" t="s">
        <v>82</v>
      </c>
      <c r="F17" t="s">
        <v>83</v>
      </c>
      <c r="G17" t="s">
        <v>95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tr">
        <f t="shared" si="0"/>
        <v>Pendência de Agenda</v>
      </c>
      <c r="N17" t="str" cm="1">
        <f t="array" ref="N17">IF(AND(C17&gt;0,I17="Finalizado"),"Pendência de TACH",IF(AND(C17&gt;0,I17="Não Criado"),"Pendência de TACH",IF(AND(C17&gt;0,I17="Rascunho"),"Pendência de TACH",IF(AND(C17&gt;0,I17="NECESSÁRIO AJUSTAR"),"Pendência de TACH",IF(AND(C17&gt;0,I17="Aguardando Aprovação"),"Sem Pendência de TACH",IF(AND(C17&gt;0,I17="Aprovado"),"Sem Pendência de TACH",IF(AND(C17&gt;0,J17="Finalizado"),"Pendência de TACH",IF(AND(C17&gt;0,J17="Não Criado"),"Pendência de TACH",IF(AND(C17&gt;0,J17="Rascunho"),"Pendência de TACH",IF(AND(C17&gt;0,J17="NECESSÁRIO AJUSTAR"),"Pendência de TACH",IF(AND(C17&gt;0,J17="Aguardando Aprovação"),"Sem Pendência de TACH",IF(AND(C17&gt;0,J17="Aprovado"),"Sem Pendência de TACH",IF(AND(C17&gt;0,K17="Finalizado"),"Pendência de TACH",IF(AND(C17&gt;0,K17="Não Criado"),"Pendência de TACH",IF(AND(C17&gt;0,K17="Rascunho"),"Pendência de TACH",IF(AND(C17&gt;0,K17="NECESSÁRIO AJUSTAR"),"Pendência de TACH",IF(AND(C17&gt;0,K17="Aguardando Aprovação"),"Sem Pendência de TACH",IF(AND(C17&gt;0,K17="Aprovado"),"Sem Pendência de TACH",IF(AND(C17&gt;0,KL="Finalizado"),"Pendência de TACH",IF(AND(C17&gt;0,KL="Não Criado"),"Pendência de TACH",IF(AND(C17&gt;0,KL="Rascunho"),"Pendência de TACH",IF(AND(C17&gt;0,L17="NECESSÁRIO AJUSTAR"),"Pendência de TACH",IF(AND(C17&gt;0,L17="Aguardando Aprovação"),"Sem Pendência de TACH",IF(AND(C17&gt;0,L17="Aprovado"),"Sem Pendência de TACH"))))))))))))))))))))))))</f>
        <v>Sem Pendência de TACH</v>
      </c>
    </row>
    <row r="18" spans="1:14">
      <c r="A18" s="1">
        <v>90010292</v>
      </c>
      <c r="B18" t="s">
        <v>66</v>
      </c>
      <c r="C18" s="2">
        <v>8</v>
      </c>
      <c r="D18" t="str">
        <f>_xlfn.XLOOKUP(Table14[[#This Row],[Matricula]],[1]Sheet1!$A:$A,[1]Sheet1!$C:$C,1,0)</f>
        <v>8</v>
      </c>
      <c r="E18" t="s">
        <v>87</v>
      </c>
      <c r="F18" t="s">
        <v>88</v>
      </c>
      <c r="G18" t="s">
        <v>95</v>
      </c>
      <c r="H18" t="s">
        <v>122</v>
      </c>
      <c r="I18" t="s">
        <v>122</v>
      </c>
      <c r="J18" t="s">
        <v>122</v>
      </c>
      <c r="K18" t="s">
        <v>122</v>
      </c>
      <c r="L18" t="s">
        <v>122</v>
      </c>
      <c r="M18" t="str">
        <f t="shared" si="0"/>
        <v>Pendência de Agenda</v>
      </c>
      <c r="N18" t="str" cm="1">
        <f t="array" ref="N18">IF(AND(C18&gt;0,I18="Finalizado"),"Pendência de TACH",IF(AND(C18&gt;0,I18="Não Criado"),"Pendência de TACH",IF(AND(C18&gt;0,I18="Rascunho"),"Pendência de TACH",IF(AND(C18&gt;0,I18="NECESSÁRIO AJUSTAR"),"Pendência de TACH",IF(AND(C18&gt;0,I18="Aguardando Aprovação"),"Sem Pendência de TACH",IF(AND(C18&gt;0,I18="Aprovado"),"Sem Pendência de TACH",IF(AND(C18&gt;0,J18="Finalizado"),"Pendência de TACH",IF(AND(C18&gt;0,J18="Não Criado"),"Pendência de TACH",IF(AND(C18&gt;0,J18="Rascunho"),"Pendência de TACH",IF(AND(C18&gt;0,J18="NECESSÁRIO AJUSTAR"),"Pendência de TACH",IF(AND(C18&gt;0,J18="Aguardando Aprovação"),"Sem Pendência de TACH",IF(AND(C18&gt;0,J18="Aprovado"),"Sem Pendência de TACH",IF(AND(C18&gt;0,K18="Finalizado"),"Pendência de TACH",IF(AND(C18&gt;0,K18="Não Criado"),"Pendência de TACH",IF(AND(C18&gt;0,K18="Rascunho"),"Pendência de TACH",IF(AND(C18&gt;0,K18="NECESSÁRIO AJUSTAR"),"Pendência de TACH",IF(AND(C18&gt;0,K18="Aguardando Aprovação"),"Sem Pendência de TACH",IF(AND(C18&gt;0,K18="Aprovado"),"Sem Pendência de TACH",IF(AND(C18&gt;0,KL="Finalizado"),"Pendência de TACH",IF(AND(C18&gt;0,KL="Não Criado"),"Pendência de TACH",IF(AND(C18&gt;0,KL="Rascunho"),"Pendência de TACH",IF(AND(C18&gt;0,L18="NECESSÁRIO AJUSTAR"),"Pendência de TACH",IF(AND(C18&gt;0,L18="Aguardando Aprovação"),"Sem Pendência de TACH",IF(AND(C18&gt;0,L18="Aprovado"),"Sem Pendência de TACH"))))))))))))))))))))))))</f>
        <v>Pendência de TACH</v>
      </c>
    </row>
    <row r="19" spans="1:14">
      <c r="A19" s="1">
        <v>31303</v>
      </c>
      <c r="B19" t="s">
        <v>67</v>
      </c>
      <c r="C19" s="2">
        <v>28</v>
      </c>
      <c r="D19" t="str">
        <f>_xlfn.XLOOKUP(Table14[[#This Row],[Matricula]],[1]Sheet1!$A:$A,[1]Sheet1!$C:$C,1,0)</f>
        <v>28</v>
      </c>
      <c r="E19" t="s">
        <v>87</v>
      </c>
      <c r="F19" t="s">
        <v>88</v>
      </c>
      <c r="G19" t="s">
        <v>95</v>
      </c>
      <c r="H19" t="s">
        <v>122</v>
      </c>
      <c r="I19" t="s">
        <v>122</v>
      </c>
      <c r="J19" t="s">
        <v>122</v>
      </c>
      <c r="K19" t="s">
        <v>122</v>
      </c>
      <c r="L19" t="s">
        <v>122</v>
      </c>
      <c r="M19" t="str">
        <f t="shared" si="0"/>
        <v>Pendência de Agenda</v>
      </c>
      <c r="N19" t="str" cm="1">
        <f t="array" ref="N19">IF(AND(C19&gt;0,I19="Finalizado"),"Pendência de TACH",IF(AND(C19&gt;0,I19="Não Criado"),"Pendência de TACH",IF(AND(C19&gt;0,I19="Rascunho"),"Pendência de TACH",IF(AND(C19&gt;0,I19="NECESSÁRIO AJUSTAR"),"Pendência de TACH",IF(AND(C19&gt;0,I19="Aguardando Aprovação"),"Sem Pendência de TACH",IF(AND(C19&gt;0,I19="Aprovado"),"Sem Pendência de TACH",IF(AND(C19&gt;0,J19="Finalizado"),"Pendência de TACH",IF(AND(C19&gt;0,J19="Não Criado"),"Pendência de TACH",IF(AND(C19&gt;0,J19="Rascunho"),"Pendência de TACH",IF(AND(C19&gt;0,J19="NECESSÁRIO AJUSTAR"),"Pendência de TACH",IF(AND(C19&gt;0,J19="Aguardando Aprovação"),"Sem Pendência de TACH",IF(AND(C19&gt;0,J19="Aprovado"),"Sem Pendência de TACH",IF(AND(C19&gt;0,K19="Finalizado"),"Pendência de TACH",IF(AND(C19&gt;0,K19="Não Criado"),"Pendência de TACH",IF(AND(C19&gt;0,K19="Rascunho"),"Pendência de TACH",IF(AND(C19&gt;0,K19="NECESSÁRIO AJUSTAR"),"Pendência de TACH",IF(AND(C19&gt;0,K19="Aguardando Aprovação"),"Sem Pendência de TACH",IF(AND(C19&gt;0,K19="Aprovado"),"Sem Pendência de TACH",IF(AND(C19&gt;0,KL="Finalizado"),"Pendência de TACH",IF(AND(C19&gt;0,KL="Não Criado"),"Pendência de TACH",IF(AND(C19&gt;0,KL="Rascunho"),"Pendência de TACH",IF(AND(C19&gt;0,L19="NECESSÁRIO AJUSTAR"),"Pendência de TACH",IF(AND(C19&gt;0,L19="Aguardando Aprovação"),"Sem Pendência de TACH",IF(AND(C19&gt;0,L19="Aprovado"),"Sem Pendência de TACH"))))))))))))))))))))))))</f>
        <v>Pendência de TACH</v>
      </c>
    </row>
    <row r="20" spans="1:14">
      <c r="A20">
        <v>90014322</v>
      </c>
      <c r="B20" t="s">
        <v>131</v>
      </c>
      <c r="C20" s="2">
        <v>12</v>
      </c>
      <c r="D20">
        <v>0</v>
      </c>
      <c r="E20" t="s">
        <v>82</v>
      </c>
      <c r="F20" t="s">
        <v>133</v>
      </c>
      <c r="G20" t="s">
        <v>95</v>
      </c>
      <c r="H20" t="s">
        <v>122</v>
      </c>
      <c r="I20" t="s">
        <v>122</v>
      </c>
      <c r="J20" t="s">
        <v>126</v>
      </c>
      <c r="K20" t="s">
        <v>125</v>
      </c>
      <c r="L20" t="s">
        <v>125</v>
      </c>
      <c r="M20" t="str">
        <f>IF(AND(G20="SIM",D20&gt;0),"Pendência de Agenda",IF(AND(G20="NÃO",D20=0),"Sem Pendência",IF(AND(G20="Sim",D20=0),"Sem Pendência","")))</f>
        <v>Sem Pendência</v>
      </c>
      <c r="N20" t="str" cm="1">
        <f t="array" ref="N20">IF(AND(C20&gt;0,I20="Finalizado"),"Pendência de TACH",IF(AND(C20&gt;0,I20="Não Criado"),"Pendência de TACH",IF(AND(C20&gt;0,I20="Rascunho"),"Pendência de TACH",IF(AND(C20&gt;0,I20="NECESSÁRIO AJUSTAR"),"Pendência de TACH",IF(AND(C20&gt;0,I20="Aguardando Aprovação"),"Sem Pendência de TACH",IF(AND(C20&gt;0,I20="Aprovado"),"Sem Pendência de TACH",IF(AND(C20&gt;0,J20="Finalizado"),"Pendência de TACH",IF(AND(C20&gt;0,J20="Não Criado"),"Pendência de TACH",IF(AND(C20&gt;0,J20="Rascunho"),"Pendência de TACH",IF(AND(C20&gt;0,J20="NECESSÁRIO AJUSTAR"),"Pendência de TACH",IF(AND(C20&gt;0,J20="Aguardando Aprovação"),"Sem Pendência de TACH",IF(AND(C20&gt;0,J20="Aprovado"),"Sem Pendência de TACH",IF(AND(C20&gt;0,K20="Finalizado"),"Pendência de TACH",IF(AND(C20&gt;0,K20="Não Criado"),"Pendência de TACH",IF(AND(C20&gt;0,K20="Rascunho"),"Pendência de TACH",IF(AND(C20&gt;0,K20="NECESSÁRIO AJUSTAR"),"Pendência de TACH",IF(AND(C20&gt;0,K20="Aguardando Aprovação"),"Sem Pendência de TACH",IF(AND(C20&gt;0,K20="Aprovado"),"Sem Pendência de TACH",IF(AND(C20&gt;0,KL="Finalizado"),"Pendência de TACH",IF(AND(C20&gt;0,KL="Não Criado"),"Pendência de TACH",IF(AND(C20&gt;0,KL="Rascunho"),"Pendência de TACH",IF(AND(C20&gt;0,L20="NECESSÁRIO AJUSTAR"),"Pendência de TACH",IF(AND(C20&gt;0,L20="Aguardando Aprovação"),"Sem Pendência de TACH",IF(AND(C20&gt;0,L20="Aprovado"),"Sem Pendência de TACH"))))))))))))))))))))))))</f>
        <v>Pendência de TACH</v>
      </c>
    </row>
    <row r="21" spans="1:14">
      <c r="A21">
        <v>90002589</v>
      </c>
      <c r="B21" t="s">
        <v>132</v>
      </c>
      <c r="C21" s="2">
        <v>28</v>
      </c>
      <c r="D21">
        <v>0</v>
      </c>
      <c r="E21" t="s">
        <v>82</v>
      </c>
      <c r="F21" t="s">
        <v>134</v>
      </c>
      <c r="G21" t="s">
        <v>101</v>
      </c>
      <c r="H21" t="s">
        <v>123</v>
      </c>
      <c r="I21" t="s">
        <v>123</v>
      </c>
      <c r="J21" t="s">
        <v>123</v>
      </c>
      <c r="K21" t="s">
        <v>123</v>
      </c>
      <c r="L21" t="s">
        <v>125</v>
      </c>
      <c r="M21" t="str">
        <f>IF(AND(G21="SIM",D21&gt;0),"Pendência de Agenda",IF(AND(G21="NÃO",D21=0),"Sem Pendência",IF(AND(G21="Sim",D21=0),"Sem Pendência","")))</f>
        <v>Sem Pendência</v>
      </c>
      <c r="N21" t="str" cm="1">
        <f t="array" ref="N21">IF(AND(C21&gt;0,I21="Finalizado"),"Pendência de TACH",IF(AND(C21&gt;0,I21="Não Criado"),"Pendência de TACH",IF(AND(C21&gt;0,I21="Rascunho"),"Pendência de TACH",IF(AND(C21&gt;0,I21="NECESSÁRIO AJUSTAR"),"Pendência de TACH",IF(AND(C21&gt;0,I21="Aguardando Aprovação"),"Sem Pendência de TACH",IF(AND(C21&gt;0,I21="Aprovado"),"Sem Pendência de TACH",IF(AND(C21&gt;0,J21="Finalizado"),"Pendência de TACH",IF(AND(C21&gt;0,J21="Não Criado"),"Pendência de TACH",IF(AND(C21&gt;0,J21="Rascunho"),"Pendência de TACH",IF(AND(C21&gt;0,J21="NECESSÁRIO AJUSTAR"),"Pendência de TACH",IF(AND(C21&gt;0,J21="Aguardando Aprovação"),"Sem Pendência de TACH",IF(AND(C21&gt;0,J21="Aprovado"),"Sem Pendência de TACH",IF(AND(C21&gt;0,K21="Finalizado"),"Pendência de TACH",IF(AND(C21&gt;0,K21="Não Criado"),"Pendência de TACH",IF(AND(C21&gt;0,K21="Rascunho"),"Pendência de TACH",IF(AND(C21&gt;0,K21="NECESSÁRIO AJUSTAR"),"Pendência de TACH",IF(AND(C21&gt;0,K21="Aguardando Aprovação"),"Sem Pendência de TACH",IF(AND(C21&gt;0,K21="Aprovado"),"Sem Pendência de TACH",IF(AND(C21&gt;0,KL="Finalizado"),"Pendência de TACH",IF(AND(C21&gt;0,KL="Não Criado"),"Pendência de TACH",IF(AND(C21&gt;0,KL="Rascunho"),"Pendência de TACH",IF(AND(C21&gt;0,L21="NECESSÁRIO AJUSTAR"),"Pendência de TACH",IF(AND(C21&gt;0,L21="Aguardando Aprovação"),"Sem Pendência de TACH",IF(AND(C21&gt;0,L21="Aprovado"),"Sem Pendência de TACH"))))))))))))))))))))))))</f>
        <v>Pendência de TACH</v>
      </c>
    </row>
    <row r="22" spans="1:14">
      <c r="A22">
        <v>4717</v>
      </c>
      <c r="B22" t="s">
        <v>98</v>
      </c>
      <c r="C22" s="2">
        <v>28</v>
      </c>
      <c r="D22">
        <v>0</v>
      </c>
      <c r="E22" t="s">
        <v>82</v>
      </c>
      <c r="F22" t="s">
        <v>100</v>
      </c>
      <c r="G22" t="s">
        <v>101</v>
      </c>
      <c r="H22" t="s">
        <v>123</v>
      </c>
      <c r="I22" t="s">
        <v>123</v>
      </c>
      <c r="J22" t="s">
        <v>123</v>
      </c>
      <c r="K22" t="s">
        <v>123</v>
      </c>
      <c r="L22" t="s">
        <v>125</v>
      </c>
      <c r="M22" t="str">
        <f>IF(AND(G22="SIM",D22&gt;0),"Pendência de Agenda",IF(AND(G22="NÃO",D22=0),"Sem Pendência",IF(AND(G22="Sim",D22=0),"Sem Pendência","")))</f>
        <v>Sem Pendência</v>
      </c>
      <c r="N22" t="str" cm="1">
        <f t="array" ref="N22">IF(AND(C22&gt;0,I22="Finalizado"),"Pendência de TACH",IF(AND(C22&gt;0,I22="Não Criado"),"Pendência de TACH",IF(AND(C22&gt;0,I22="Rascunho"),"Pendência de TACH",IF(AND(C22&gt;0,I22="NECESSÁRIO AJUSTAR"),"Pendência de TACH",IF(AND(C22&gt;0,I22="Aguardando Aprovação"),"Sem Pendência de TACH",IF(AND(C22&gt;0,I22="Aprovado"),"Sem Pendência de TACH",IF(AND(C22&gt;0,J22="Finalizado"),"Pendência de TACH",IF(AND(C22&gt;0,J22="Não Criado"),"Pendência de TACH",IF(AND(C22&gt;0,J22="Rascunho"),"Pendência de TACH",IF(AND(C22&gt;0,J22="NECESSÁRIO AJUSTAR"),"Pendência de TACH",IF(AND(C22&gt;0,J22="Aguardando Aprovação"),"Sem Pendência de TACH",IF(AND(C22&gt;0,J22="Aprovado"),"Sem Pendência de TACH",IF(AND(C22&gt;0,K22="Finalizado"),"Pendência de TACH",IF(AND(C22&gt;0,K22="Não Criado"),"Pendência de TACH",IF(AND(C22&gt;0,K22="Rascunho"),"Pendência de TACH",IF(AND(C22&gt;0,K22="NECESSÁRIO AJUSTAR"),"Pendência de TACH",IF(AND(C22&gt;0,K22="Aguardando Aprovação"),"Sem Pendência de TACH",IF(AND(C22&gt;0,K22="Aprovado"),"Sem Pendência de TACH",IF(AND(C22&gt;0,KL="Finalizado"),"Pendência de TACH",IF(AND(C22&gt;0,KL="Não Criado"),"Pendência de TACH",IF(AND(C22&gt;0,KL="Rascunho"),"Pendência de TACH",IF(AND(C22&gt;0,L22="NECESSÁRIO AJUSTAR"),"Pendência de TACH",IF(AND(C22&gt;0,L22="Aguardando Aprovação"),"Sem Pendência de TACH",IF(AND(C22&gt;0,L22="Aprovado"),"Sem Pendência de TACH"))))))))))))))))))))))))</f>
        <v>Pendência de TACH</v>
      </c>
    </row>
    <row r="23" spans="1:14">
      <c r="A23" s="1"/>
      <c r="C23" s="2"/>
      <c r="N23" t="e" cm="1">
        <f t="array" ref="N23">IF(AND(C23&gt;0,I23="Finalizado"),"Pendência de TACH",IF(AND(C23&gt;0,I23="Não Criado"),"Pendência de TACH",IF(AND(C23&gt;0,I23="Rascunho"),"Pendência de TACH",IF(AND(C23&gt;0,I23="NECESSÁRIO AJUSTAR"),"Pendência de TACH",IF(AND(C23&gt;0,I23="Aguardando Aprovação"),"Sem Pendência de TACH",IF(AND(C23&gt;0,I23="Aprovado"),"Sem Pendência de TACH",IF(AND(C23&gt;0,J23="Finalizado"),"Pendência de TACH",IF(AND(C23&gt;0,J23="Não Criado"),"Pendência de TACH",IF(AND(C23&gt;0,J23="Rascunho"),"Pendência de TACH",IF(AND(C23&gt;0,J23="NECESSÁRIO AJUSTAR"),"Pendência de TACH",IF(AND(C23&gt;0,J23="Aguardando Aprovação"),"Sem Pendência de TACH",IF(AND(C23&gt;0,J23="Aprovado"),"Sem Pendência de TACH",IF(AND(C23&gt;0,K23="Finalizado"),"Pendência de TACH",IF(AND(C23&gt;0,K23="Não Criado"),"Pendência de TACH",IF(AND(C23&gt;0,K23="Rascunho"),"Pendência de TACH",IF(AND(C23&gt;0,K23="NECESSÁRIO AJUSTAR"),"Pendência de TACH",IF(AND(C23&gt;0,K23="Aguardando Aprovação"),"Sem Pendência de TACH",IF(AND(C23&gt;0,K23="Aprovado"),"Sem Pendência de TACH",IF(AND(C23&gt;0,KL="Finalizado"),"Pendência de TACH",IF(AND(C23&gt;0,KL="Não Criado"),"Pendência de TACH",IF(AND(C23&gt;0,KL="Rascunho"),"Pendência de TACH",IF(AND(C23&gt;0,L23="NECESSÁRIO AJUSTAR"),"Pendência de TACH",IF(AND(C23&gt;0,L23="Aguardando Aprovação"),"Sem Pendência de TACH",IF(AND(C23&gt;0,L23="Aprovado"),"Sem Pendência de TACH"))))))))))))))))))))))))</f>
        <v>#NAME?</v>
      </c>
    </row>
    <row r="24" spans="1:14">
      <c r="A24" s="1"/>
      <c r="C24" s="2"/>
      <c r="N24" t="e" cm="1">
        <f t="array" ref="N24">IF(AND(C24&gt;0,I24="Finalizado"),"Pendência de TACH",IF(AND(C24&gt;0,I24="Não Criado"),"Pendência de TACH",IF(AND(C24&gt;0,I24="Rascunho"),"Pendência de TACH",IF(AND(C24&gt;0,I24="NECESSÁRIO AJUSTAR"),"Pendência de TACH",IF(AND(C24&gt;0,I24="Aguardando Aprovação"),"Sem Pendência de TACH",IF(AND(C24&gt;0,I24="Aprovado"),"Sem Pendência de TACH",IF(AND(C24&gt;0,J24="Finalizado"),"Pendência de TACH",IF(AND(C24&gt;0,J24="Não Criado"),"Pendência de TACH",IF(AND(C24&gt;0,J24="Rascunho"),"Pendência de TACH",IF(AND(C24&gt;0,J24="NECESSÁRIO AJUSTAR"),"Pendência de TACH",IF(AND(C24&gt;0,J24="Aguardando Aprovação"),"Sem Pendência de TACH",IF(AND(C24&gt;0,J24="Aprovado"),"Sem Pendência de TACH",IF(AND(C24&gt;0,K24="Finalizado"),"Pendência de TACH",IF(AND(C24&gt;0,K24="Não Criado"),"Pendência de TACH",IF(AND(C24&gt;0,K24="Rascunho"),"Pendência de TACH",IF(AND(C24&gt;0,K24="NECESSÁRIO AJUSTAR"),"Pendência de TACH",IF(AND(C24&gt;0,K24="Aguardando Aprovação"),"Sem Pendência de TACH",IF(AND(C24&gt;0,K24="Aprovado"),"Sem Pendência de TACH",IF(AND(C24&gt;0,KL="Finalizado"),"Pendência de TACH",IF(AND(C24&gt;0,KL="Não Criado"),"Pendência de TACH",IF(AND(C24&gt;0,KL="Rascunho"),"Pendência de TACH",IF(AND(C24&gt;0,L24="NECESSÁRIO AJUSTAR"),"Pendência de TACH",IF(AND(C24&gt;0,L24="Aguardando Aprovação"),"Sem Pendência de TACH",IF(AND(C24&gt;0,L24="Aprovado"),"Sem Pendência de TACH"))))))))))))))))))))))))</f>
        <v>#NAME?</v>
      </c>
    </row>
    <row r="25" spans="1:14">
      <c r="A25" s="1"/>
      <c r="C25" s="2"/>
      <c r="N25" t="e" cm="1">
        <f t="array" ref="N25">IF(AND(C25&gt;0,I25="Finalizado"),"Pendência de TACH",IF(AND(C25&gt;0,I25="Não Criado"),"Pendência de TACH",IF(AND(C25&gt;0,I25="Rascunho"),"Pendência de TACH",IF(AND(C25&gt;0,I25="NECESSÁRIO AJUSTAR"),"Pendência de TACH",IF(AND(C25&gt;0,I25="Aguardando Aprovação"),"Sem Pendência de TACH",IF(AND(C25&gt;0,I25="Aprovado"),"Sem Pendência de TACH",IF(AND(C25&gt;0,J25="Finalizado"),"Pendência de TACH",IF(AND(C25&gt;0,J25="Não Criado"),"Pendência de TACH",IF(AND(C25&gt;0,J25="Rascunho"),"Pendência de TACH",IF(AND(C25&gt;0,J25="NECESSÁRIO AJUSTAR"),"Pendência de TACH",IF(AND(C25&gt;0,J25="Aguardando Aprovação"),"Sem Pendência de TACH",IF(AND(C25&gt;0,J25="Aprovado"),"Sem Pendência de TACH",IF(AND(C25&gt;0,K25="Finalizado"),"Pendência de TACH",IF(AND(C25&gt;0,K25="Não Criado"),"Pendência de TACH",IF(AND(C25&gt;0,K25="Rascunho"),"Pendência de TACH",IF(AND(C25&gt;0,K25="NECESSÁRIO AJUSTAR"),"Pendência de TACH",IF(AND(C25&gt;0,K25="Aguardando Aprovação"),"Sem Pendência de TACH",IF(AND(C25&gt;0,K25="Aprovado"),"Sem Pendência de TACH",IF(AND(C25&gt;0,KL="Finalizado"),"Pendência de TACH",IF(AND(C25&gt;0,KL="Não Criado"),"Pendência de TACH",IF(AND(C25&gt;0,KL="Rascunho"),"Pendência de TACH",IF(AND(C25&gt;0,L25="NECESSÁRIO AJUSTAR"),"Pendência de TACH",IF(AND(C25&gt;0,L25="Aguardando Aprovação"),"Sem Pendência de TACH",IF(AND(C25&gt;0,L25="Aprovado"),"Sem Pendência de TACH"))))))))))))))))))))))))</f>
        <v>#NAME?</v>
      </c>
    </row>
    <row r="26" spans="1:14">
      <c r="A26" s="1"/>
      <c r="C26" s="2"/>
      <c r="N26" t="e" cm="1">
        <f t="array" ref="N26">IF(AND(C26&gt;0,I26="Finalizado"),"Pendência de TACH",IF(AND(C26&gt;0,I26="Não Criado"),"Pendência de TACH",IF(AND(C26&gt;0,I26="Rascunho"),"Pendência de TACH",IF(AND(C26&gt;0,I26="NECESSÁRIO AJUSTAR"),"Pendência de TACH",IF(AND(C26&gt;0,I26="Aguardando Aprovação"),"Sem Pendência de TACH",IF(AND(C26&gt;0,I26="Aprovado"),"Sem Pendência de TACH",IF(AND(C26&gt;0,J26="Finalizado"),"Pendência de TACH",IF(AND(C26&gt;0,J26="Não Criado"),"Pendência de TACH",IF(AND(C26&gt;0,J26="Rascunho"),"Pendência de TACH",IF(AND(C26&gt;0,J26="NECESSÁRIO AJUSTAR"),"Pendência de TACH",IF(AND(C26&gt;0,J26="Aguardando Aprovação"),"Sem Pendência de TACH",IF(AND(C26&gt;0,J26="Aprovado"),"Sem Pendência de TACH",IF(AND(C26&gt;0,K26="Finalizado"),"Pendência de TACH",IF(AND(C26&gt;0,K26="Não Criado"),"Pendência de TACH",IF(AND(C26&gt;0,K26="Rascunho"),"Pendência de TACH",IF(AND(C26&gt;0,K26="NECESSÁRIO AJUSTAR"),"Pendência de TACH",IF(AND(C26&gt;0,K26="Aguardando Aprovação"),"Sem Pendência de TACH",IF(AND(C26&gt;0,K26="Aprovado"),"Sem Pendência de TACH",IF(AND(C26&gt;0,KL="Finalizado"),"Pendência de TACH",IF(AND(C26&gt;0,KL="Não Criado"),"Pendência de TACH",IF(AND(C26&gt;0,KL="Rascunho"),"Pendência de TACH",IF(AND(C26&gt;0,L26="NECESSÁRIO AJUSTAR"),"Pendência de TACH",IF(AND(C26&gt;0,L26="Aguardando Aprovação"),"Sem Pendência de TACH",IF(AND(C26&gt;0,L26="Aprovado"),"Sem Pendência de TACH"))))))))))))))))))))))))</f>
        <v>#NAME?</v>
      </c>
    </row>
    <row r="27" spans="1:14">
      <c r="A27" s="1"/>
      <c r="C27" s="2"/>
      <c r="N27" t="e" cm="1">
        <f t="array" ref="N27">IF(AND(C27&gt;0,I27="Finalizado"),"Pendência de TACH",IF(AND(C27&gt;0,I27="Não Criado"),"Pendência de TACH",IF(AND(C27&gt;0,I27="Rascunho"),"Pendência de TACH",IF(AND(C27&gt;0,I27="NECESSÁRIO AJUSTAR"),"Pendência de TACH",IF(AND(C27&gt;0,I27="Aguardando Aprovação"),"Sem Pendência de TACH",IF(AND(C27&gt;0,I27="Aprovado"),"Sem Pendência de TACH",IF(AND(C27&gt;0,J27="Finalizado"),"Pendência de TACH",IF(AND(C27&gt;0,J27="Não Criado"),"Pendência de TACH",IF(AND(C27&gt;0,J27="Rascunho"),"Pendência de TACH",IF(AND(C27&gt;0,J27="NECESSÁRIO AJUSTAR"),"Pendência de TACH",IF(AND(C27&gt;0,J27="Aguardando Aprovação"),"Sem Pendência de TACH",IF(AND(C27&gt;0,J27="Aprovado"),"Sem Pendência de TACH",IF(AND(C27&gt;0,K27="Finalizado"),"Pendência de TACH",IF(AND(C27&gt;0,K27="Não Criado"),"Pendência de TACH",IF(AND(C27&gt;0,K27="Rascunho"),"Pendência de TACH",IF(AND(C27&gt;0,K27="NECESSÁRIO AJUSTAR"),"Pendência de TACH",IF(AND(C27&gt;0,K27="Aguardando Aprovação"),"Sem Pendência de TACH",IF(AND(C27&gt;0,K27="Aprovado"),"Sem Pendência de TACH",IF(AND(C27&gt;0,KL="Finalizado"),"Pendência de TACH",IF(AND(C27&gt;0,KL="Não Criado"),"Pendência de TACH",IF(AND(C27&gt;0,KL="Rascunho"),"Pendência de TACH",IF(AND(C27&gt;0,L27="NECESSÁRIO AJUSTAR"),"Pendência de TACH",IF(AND(C27&gt;0,L27="Aguardando Aprovação"),"Sem Pendência de TACH",IF(AND(C27&gt;0,L27="Aprovado"),"Sem Pendência de TACH"))))))))))))))))))))))))</f>
        <v>#NAME?</v>
      </c>
    </row>
    <row r="28" spans="1:14">
      <c r="A28" s="1"/>
      <c r="C28" s="2"/>
      <c r="N28" t="e" cm="1">
        <f t="array" ref="N28">IF(AND(C28&gt;0,I28="Finalizado"),"Pendência de TACH",IF(AND(C28&gt;0,I28="Não Criado"),"Pendência de TACH",IF(AND(C28&gt;0,I28="Rascunho"),"Pendência de TACH",IF(AND(C28&gt;0,I28="NECESSÁRIO AJUSTAR"),"Pendência de TACH",IF(AND(C28&gt;0,I28="Aguardando Aprovação"),"Sem Pendência de TACH",IF(AND(C28&gt;0,I28="Aprovado"),"Sem Pendência de TACH",IF(AND(C28&gt;0,J28="Finalizado"),"Pendência de TACH",IF(AND(C28&gt;0,J28="Não Criado"),"Pendência de TACH",IF(AND(C28&gt;0,J28="Rascunho"),"Pendência de TACH",IF(AND(C28&gt;0,J28="NECESSÁRIO AJUSTAR"),"Pendência de TACH",IF(AND(C28&gt;0,J28="Aguardando Aprovação"),"Sem Pendência de TACH",IF(AND(C28&gt;0,J28="Aprovado"),"Sem Pendência de TACH",IF(AND(C28&gt;0,K28="Finalizado"),"Pendência de TACH",IF(AND(C28&gt;0,K28="Não Criado"),"Pendência de TACH",IF(AND(C28&gt;0,K28="Rascunho"),"Pendência de TACH",IF(AND(C28&gt;0,K28="NECESSÁRIO AJUSTAR"),"Pendência de TACH",IF(AND(C28&gt;0,K28="Aguardando Aprovação"),"Sem Pendência de TACH",IF(AND(C28&gt;0,K28="Aprovado"),"Sem Pendência de TACH",IF(AND(C28&gt;0,KL="Finalizado"),"Pendência de TACH",IF(AND(C28&gt;0,KL="Não Criado"),"Pendência de TACH",IF(AND(C28&gt;0,KL="Rascunho"),"Pendência de TACH",IF(AND(C28&gt;0,L28="NECESSÁRIO AJUSTAR"),"Pendência de TACH",IF(AND(C28&gt;0,L28="Aguardando Aprovação"),"Sem Pendência de TACH",IF(AND(C28&gt;0,L28="Aprovado"),"Sem Pendência de TACH"))))))))))))))))))))))))</f>
        <v>#NAME?</v>
      </c>
    </row>
    <row r="29" spans="1:14">
      <c r="A29" s="1"/>
      <c r="C29" s="2"/>
      <c r="N29" t="e" cm="1">
        <f t="array" ref="N29">IF(AND(C29&gt;0,I29="Finalizado"),"Pendência de TACH",IF(AND(C29&gt;0,I29="Não Criado"),"Pendência de TACH",IF(AND(C29&gt;0,I29="Rascunho"),"Pendência de TACH",IF(AND(C29&gt;0,I29="NECESSÁRIO AJUSTAR"),"Pendência de TACH",IF(AND(C29&gt;0,I29="Aguardando Aprovação"),"Sem Pendência de TACH",IF(AND(C29&gt;0,I29="Aprovado"),"Sem Pendência de TACH",IF(AND(C29&gt;0,J29="Finalizado"),"Pendência de TACH",IF(AND(C29&gt;0,J29="Não Criado"),"Pendência de TACH",IF(AND(C29&gt;0,J29="Rascunho"),"Pendência de TACH",IF(AND(C29&gt;0,J29="NECESSÁRIO AJUSTAR"),"Pendência de TACH",IF(AND(C29&gt;0,J29="Aguardando Aprovação"),"Sem Pendência de TACH",IF(AND(C29&gt;0,J29="Aprovado"),"Sem Pendência de TACH",IF(AND(C29&gt;0,K29="Finalizado"),"Pendência de TACH",IF(AND(C29&gt;0,K29="Não Criado"),"Pendência de TACH",IF(AND(C29&gt;0,K29="Rascunho"),"Pendência de TACH",IF(AND(C29&gt;0,K29="NECESSÁRIO AJUSTAR"),"Pendência de TACH",IF(AND(C29&gt;0,K29="Aguardando Aprovação"),"Sem Pendência de TACH",IF(AND(C29&gt;0,K29="Aprovado"),"Sem Pendência de TACH",IF(AND(C29&gt;0,KL="Finalizado"),"Pendência de TACH",IF(AND(C29&gt;0,KL="Não Criado"),"Pendência de TACH",IF(AND(C29&gt;0,KL="Rascunho"),"Pendência de TACH",IF(AND(C29&gt;0,L29="NECESSÁRIO AJUSTAR"),"Pendência de TACH",IF(AND(C29&gt;0,L29="Aguardando Aprovação"),"Sem Pendência de TACH",IF(AND(C29&gt;0,L29="Aprovado"),"Sem Pendência de TACH"))))))))))))))))))))))))</f>
        <v>#NAME?</v>
      </c>
    </row>
    <row r="30" spans="1:14">
      <c r="C30" s="2"/>
      <c r="N30" t="e" cm="1">
        <f t="array" ref="N30">IF(AND(C30&gt;0,I30="Finalizado"),"Pendência de TACH",IF(AND(C30&gt;0,I30="Não Criado"),"Pendência de TACH",IF(AND(C30&gt;0,I30="Rascunho"),"Pendência de TACH",IF(AND(C30&gt;0,I30="NECESSÁRIO AJUSTAR"),"Pendência de TACH",IF(AND(C30&gt;0,I30="Aguardando Aprovação"),"Sem Pendência de TACH",IF(AND(C30&gt;0,I30="Aprovado"),"Sem Pendência de TACH",IF(AND(C30&gt;0,J30="Finalizado"),"Pendência de TACH",IF(AND(C30&gt;0,J30="Não Criado"),"Pendência de TACH",IF(AND(C30&gt;0,J30="Rascunho"),"Pendência de TACH",IF(AND(C30&gt;0,J30="NECESSÁRIO AJUSTAR"),"Pendência de TACH",IF(AND(C30&gt;0,J30="Aguardando Aprovação"),"Sem Pendência de TACH",IF(AND(C30&gt;0,J30="Aprovado"),"Sem Pendência de TACH",IF(AND(C30&gt;0,K30="Finalizado"),"Pendência de TACH",IF(AND(C30&gt;0,K30="Não Criado"),"Pendência de TACH",IF(AND(C30&gt;0,K30="Rascunho"),"Pendência de TACH",IF(AND(C30&gt;0,K30="NECESSÁRIO AJUSTAR"),"Pendência de TACH",IF(AND(C30&gt;0,K30="Aguardando Aprovação"),"Sem Pendência de TACH",IF(AND(C30&gt;0,K30="Aprovado"),"Sem Pendência de TACH",IF(AND(C30&gt;0,KL="Finalizado"),"Pendência de TACH",IF(AND(C30&gt;0,KL="Não Criado"),"Pendência de TACH",IF(AND(C30&gt;0,KL="Rascunho"),"Pendência de TACH",IF(AND(C30&gt;0,L30="NECESSÁRIO AJUSTAR"),"Pendência de TACH",IF(AND(C30&gt;0,L30="Aguardando Aprovação"),"Sem Pendência de TACH",IF(AND(C30&gt;0,L30="Aprovado"),"Sem Pendência de TACH"))))))))))))))))))))))))</f>
        <v>#NAME?</v>
      </c>
    </row>
    <row r="31" spans="1:14">
      <c r="C31" s="2"/>
      <c r="N31" t="e" cm="1">
        <f t="array" ref="N31">IF(AND(C31&gt;0,I31="Finalizado"),"Pendência de TACH",IF(AND(C31&gt;0,I31="Não Criado"),"Pendência de TACH",IF(AND(C31&gt;0,I31="Rascunho"),"Pendência de TACH",IF(AND(C31&gt;0,I31="NECESSÁRIO AJUSTAR"),"Pendência de TACH",IF(AND(C31&gt;0,I31="Aguardando Aprovação"),"Sem Pendência de TACH",IF(AND(C31&gt;0,I31="Aprovado"),"Sem Pendência de TACH",IF(AND(C31&gt;0,J31="Finalizado"),"Pendência de TACH",IF(AND(C31&gt;0,J31="Não Criado"),"Pendência de TACH",IF(AND(C31&gt;0,J31="Rascunho"),"Pendência de TACH",IF(AND(C31&gt;0,J31="NECESSÁRIO AJUSTAR"),"Pendência de TACH",IF(AND(C31&gt;0,J31="Aguardando Aprovação"),"Sem Pendência de TACH",IF(AND(C31&gt;0,J31="Aprovado"),"Sem Pendência de TACH",IF(AND(C31&gt;0,K31="Finalizado"),"Pendência de TACH",IF(AND(C31&gt;0,K31="Não Criado"),"Pendência de TACH",IF(AND(C31&gt;0,K31="Rascunho"),"Pendência de TACH",IF(AND(C31&gt;0,K31="NECESSÁRIO AJUSTAR"),"Pendência de TACH",IF(AND(C31&gt;0,K31="Aguardando Aprovação"),"Sem Pendência de TACH",IF(AND(C31&gt;0,K31="Aprovado"),"Sem Pendência de TACH",IF(AND(C31&gt;0,KL="Finalizado"),"Pendência de TACH",IF(AND(C31&gt;0,KL="Não Criado"),"Pendência de TACH",IF(AND(C31&gt;0,KL="Rascunho"),"Pendência de TACH",IF(AND(C31&gt;0,L31="NECESSÁRIO AJUSTAR"),"Pendência de TACH",IF(AND(C31&gt;0,L31="Aguardando Aprovação"),"Sem Pendência de TACH",IF(AND(C31&gt;0,L31="Aprovado"),"Sem Pendência de TACH"))))))))))))))))))))))))</f>
        <v>#NAME?</v>
      </c>
    </row>
    <row r="32" spans="1:14">
      <c r="C32" s="2"/>
      <c r="N32" t="e" cm="1">
        <f t="array" ref="N32">IF(AND(C32&gt;0,I32="Finalizado"),"Pendência de TACH",IF(AND(C32&gt;0,I32="Não Criado"),"Pendência de TACH",IF(AND(C32&gt;0,I32="Rascunho"),"Pendência de TACH",IF(AND(C32&gt;0,I32="NECESSÁRIO AJUSTAR"),"Pendência de TACH",IF(AND(C32&gt;0,I32="Aguardando Aprovação"),"Sem Pendência de TACH",IF(AND(C32&gt;0,I32="Aprovado"),"Sem Pendência de TACH",IF(AND(C32&gt;0,J32="Finalizado"),"Pendência de TACH",IF(AND(C32&gt;0,J32="Não Criado"),"Pendência de TACH",IF(AND(C32&gt;0,J32="Rascunho"),"Pendência de TACH",IF(AND(C32&gt;0,J32="NECESSÁRIO AJUSTAR"),"Pendência de TACH",IF(AND(C32&gt;0,J32="Aguardando Aprovação"),"Sem Pendência de TACH",IF(AND(C32&gt;0,J32="Aprovado"),"Sem Pendência de TACH",IF(AND(C32&gt;0,K32="Finalizado"),"Pendência de TACH",IF(AND(C32&gt;0,K32="Não Criado"),"Pendência de TACH",IF(AND(C32&gt;0,K32="Rascunho"),"Pendência de TACH",IF(AND(C32&gt;0,K32="NECESSÁRIO AJUSTAR"),"Pendência de TACH",IF(AND(C32&gt;0,K32="Aguardando Aprovação"),"Sem Pendência de TACH",IF(AND(C32&gt;0,K32="Aprovado"),"Sem Pendência de TACH",IF(AND(C32&gt;0,KL="Finalizado"),"Pendência de TACH",IF(AND(C32&gt;0,KL="Não Criado"),"Pendência de TACH",IF(AND(C32&gt;0,KL="Rascunho"),"Pendência de TACH",IF(AND(C32&gt;0,L32="NECESSÁRIO AJUSTAR"),"Pendência de TACH",IF(AND(C32&gt;0,L32="Aguardando Aprovação"),"Sem Pendência de TACH",IF(AND(C32&gt;0,L32="Aprovado"),"Sem Pendência de TACH"))))))))))))))))))))))))</f>
        <v>#NAME?</v>
      </c>
    </row>
    <row r="33" spans="3:14">
      <c r="C33" s="2"/>
      <c r="N33" t="e" cm="1">
        <f t="array" ref="N33">IF(AND(C33&gt;0,I33="Finalizado"),"Pendência de TACH",IF(AND(C33&gt;0,I33="Não Criado"),"Pendência de TACH",IF(AND(C33&gt;0,I33="Rascunho"),"Pendência de TACH",IF(AND(C33&gt;0,I33="NECESSÁRIO AJUSTAR"),"Pendência de TACH",IF(AND(C33&gt;0,I33="Aguardando Aprovação"),"Sem Pendência de TACH",IF(AND(C33&gt;0,I33="Aprovado"),"Sem Pendência de TACH",IF(AND(C33&gt;0,J33="Finalizado"),"Pendência de TACH",IF(AND(C33&gt;0,J33="Não Criado"),"Pendência de TACH",IF(AND(C33&gt;0,J33="Rascunho"),"Pendência de TACH",IF(AND(C33&gt;0,J33="NECESSÁRIO AJUSTAR"),"Pendência de TACH",IF(AND(C33&gt;0,J33="Aguardando Aprovação"),"Sem Pendência de TACH",IF(AND(C33&gt;0,J33="Aprovado"),"Sem Pendência de TACH",IF(AND(C33&gt;0,K33="Finalizado"),"Pendência de TACH",IF(AND(C33&gt;0,K33="Não Criado"),"Pendência de TACH",IF(AND(C33&gt;0,K33="Rascunho"),"Pendência de TACH",IF(AND(C33&gt;0,K33="NECESSÁRIO AJUSTAR"),"Pendência de TACH",IF(AND(C33&gt;0,K33="Aguardando Aprovação"),"Sem Pendência de TACH",IF(AND(C33&gt;0,K33="Aprovado"),"Sem Pendência de TACH",IF(AND(C33&gt;0,KL="Finalizado"),"Pendência de TACH",IF(AND(C33&gt;0,KL="Não Criado"),"Pendência de TACH",IF(AND(C33&gt;0,KL="Rascunho"),"Pendência de TACH",IF(AND(C33&gt;0,L33="NECESSÁRIO AJUSTAR"),"Pendência de TACH",IF(AND(C33&gt;0,L33="Aguardando Aprovação"),"Sem Pendência de TACH",IF(AND(C33&gt;0,L33="Aprovado"),"Sem Pendência de TACH"))))))))))))))))))))))))</f>
        <v>#NAME?</v>
      </c>
    </row>
    <row r="34" spans="3:14">
      <c r="C34" s="2"/>
      <c r="N34" t="e" cm="1">
        <f t="array" ref="N34">IF(AND(C34&gt;0,I34="Finalizado"),"Pendência de TACH",IF(AND(C34&gt;0,I34="Não Criado"),"Pendência de TACH",IF(AND(C34&gt;0,I34="Rascunho"),"Pendência de TACH",IF(AND(C34&gt;0,I34="NECESSÁRIO AJUSTAR"),"Pendência de TACH",IF(AND(C34&gt;0,I34="Aguardando Aprovação"),"Sem Pendência de TACH",IF(AND(C34&gt;0,I34="Aprovado"),"Sem Pendência de TACH",IF(AND(C34&gt;0,J34="Finalizado"),"Pendência de TACH",IF(AND(C34&gt;0,J34="Não Criado"),"Pendência de TACH",IF(AND(C34&gt;0,J34="Rascunho"),"Pendência de TACH",IF(AND(C34&gt;0,J34="NECESSÁRIO AJUSTAR"),"Pendência de TACH",IF(AND(C34&gt;0,J34="Aguardando Aprovação"),"Sem Pendência de TACH",IF(AND(C34&gt;0,J34="Aprovado"),"Sem Pendência de TACH",IF(AND(C34&gt;0,K34="Finalizado"),"Pendência de TACH",IF(AND(C34&gt;0,K34="Não Criado"),"Pendência de TACH",IF(AND(C34&gt;0,K34="Rascunho"),"Pendência de TACH",IF(AND(C34&gt;0,K34="NECESSÁRIO AJUSTAR"),"Pendência de TACH",IF(AND(C34&gt;0,K34="Aguardando Aprovação"),"Sem Pendência de TACH",IF(AND(C34&gt;0,K34="Aprovado"),"Sem Pendência de TACH",IF(AND(C34&gt;0,KL="Finalizado"),"Pendência de TACH",IF(AND(C34&gt;0,KL="Não Criado"),"Pendência de TACH",IF(AND(C34&gt;0,KL="Rascunho"),"Pendência de TACH",IF(AND(C34&gt;0,L34="NECESSÁRIO AJUSTAR"),"Pendência de TACH",IF(AND(C34&gt;0,L34="Aguardando Aprovação"),"Sem Pendência de TACH",IF(AND(C34&gt;0,L34="Aprovado"),"Sem Pendência de TACH"))))))))))))))))))))))))</f>
        <v>#NAME?</v>
      </c>
    </row>
    <row r="35" spans="3:14">
      <c r="C35" s="2"/>
      <c r="N35" t="e" cm="1">
        <f t="array" ref="N35">IF(AND(C35&gt;0,I35="Finalizado"),"Pendência de TACH",IF(AND(C35&gt;0,I35="Não Criado"),"Pendência de TACH",IF(AND(C35&gt;0,I35="Rascunho"),"Pendência de TACH",IF(AND(C35&gt;0,I35="NECESSÁRIO AJUSTAR"),"Pendência de TACH",IF(AND(C35&gt;0,I35="Aguardando Aprovação"),"Sem Pendência de TACH",IF(AND(C35&gt;0,I35="Aprovado"),"Sem Pendência de TACH",IF(AND(C35&gt;0,J35="Finalizado"),"Pendência de TACH",IF(AND(C35&gt;0,J35="Não Criado"),"Pendência de TACH",IF(AND(C35&gt;0,J35="Rascunho"),"Pendência de TACH",IF(AND(C35&gt;0,J35="NECESSÁRIO AJUSTAR"),"Pendência de TACH",IF(AND(C35&gt;0,J35="Aguardando Aprovação"),"Sem Pendência de TACH",IF(AND(C35&gt;0,J35="Aprovado"),"Sem Pendência de TACH",IF(AND(C35&gt;0,K35="Finalizado"),"Pendência de TACH",IF(AND(C35&gt;0,K35="Não Criado"),"Pendência de TACH",IF(AND(C35&gt;0,K35="Rascunho"),"Pendência de TACH",IF(AND(C35&gt;0,K35="NECESSÁRIO AJUSTAR"),"Pendência de TACH",IF(AND(C35&gt;0,K35="Aguardando Aprovação"),"Sem Pendência de TACH",IF(AND(C35&gt;0,K35="Aprovado"),"Sem Pendência de TACH",IF(AND(C35&gt;0,KL="Finalizado"),"Pendência de TACH",IF(AND(C35&gt;0,KL="Não Criado"),"Pendência de TACH",IF(AND(C35&gt;0,KL="Rascunho"),"Pendência de TACH",IF(AND(C35&gt;0,L35="NECESSÁRIO AJUSTAR"),"Pendência de TACH",IF(AND(C35&gt;0,L35="Aguardando Aprovação"),"Sem Pendência de TACH",IF(AND(C35&gt;0,L35="Aprovado"),"Sem Pendência de TACH"))))))))))))))))))))))))</f>
        <v>#NAME?</v>
      </c>
    </row>
    <row r="36" spans="3:14">
      <c r="C36" s="2"/>
      <c r="N36" t="e" cm="1">
        <f t="array" ref="N36">IF(AND(C36&gt;0,I36="Finalizado"),"Pendência de TACH",IF(AND(C36&gt;0,I36="Não Criado"),"Pendência de TACH",IF(AND(C36&gt;0,I36="Rascunho"),"Pendência de TACH",IF(AND(C36&gt;0,I36="NECESSÁRIO AJUSTAR"),"Pendência de TACH",IF(AND(C36&gt;0,I36="Aguardando Aprovação"),"Sem Pendência de TACH",IF(AND(C36&gt;0,I36="Aprovado"),"Sem Pendência de TACH",IF(AND(C36&gt;0,J36="Finalizado"),"Pendência de TACH",IF(AND(C36&gt;0,J36="Não Criado"),"Pendência de TACH",IF(AND(C36&gt;0,J36="Rascunho"),"Pendência de TACH",IF(AND(C36&gt;0,J36="NECESSÁRIO AJUSTAR"),"Pendência de TACH",IF(AND(C36&gt;0,J36="Aguardando Aprovação"),"Sem Pendência de TACH",IF(AND(C36&gt;0,J36="Aprovado"),"Sem Pendência de TACH",IF(AND(C36&gt;0,K36="Finalizado"),"Pendência de TACH",IF(AND(C36&gt;0,K36="Não Criado"),"Pendência de TACH",IF(AND(C36&gt;0,K36="Rascunho"),"Pendência de TACH",IF(AND(C36&gt;0,K36="NECESSÁRIO AJUSTAR"),"Pendência de TACH",IF(AND(C36&gt;0,K36="Aguardando Aprovação"),"Sem Pendência de TACH",IF(AND(C36&gt;0,K36="Aprovado"),"Sem Pendência de TACH",IF(AND(C36&gt;0,KL="Finalizado"),"Pendência de TACH",IF(AND(C36&gt;0,KL="Não Criado"),"Pendência de TACH",IF(AND(C36&gt;0,KL="Rascunho"),"Pendência de TACH",IF(AND(C36&gt;0,L36="NECESSÁRIO AJUSTAR"),"Pendência de TACH",IF(AND(C36&gt;0,L36="Aguardando Aprovação"),"Sem Pendência de TACH",IF(AND(C36&gt;0,L36="Aprovado"),"Sem Pendência de TACH"))))))))))))))))))))))))</f>
        <v>#NAME?</v>
      </c>
    </row>
    <row r="37" spans="3:14">
      <c r="C37" s="2"/>
      <c r="N37" t="e" cm="1">
        <f t="array" ref="N37">IF(AND(C37&gt;0,I37="Finalizado"),"Pendência de TACH",IF(AND(C37&gt;0,I37="Não Criado"),"Pendência de TACH",IF(AND(C37&gt;0,I37="Rascunho"),"Pendência de TACH",IF(AND(C37&gt;0,I37="NECESSÁRIO AJUSTAR"),"Pendência de TACH",IF(AND(C37&gt;0,I37="Aguardando Aprovação"),"Sem Pendência de TACH",IF(AND(C37&gt;0,I37="Aprovado"),"Sem Pendência de TACH",IF(AND(C37&gt;0,J37="Finalizado"),"Pendência de TACH",IF(AND(C37&gt;0,J37="Não Criado"),"Pendência de TACH",IF(AND(C37&gt;0,J37="Rascunho"),"Pendência de TACH",IF(AND(C37&gt;0,J37="NECESSÁRIO AJUSTAR"),"Pendência de TACH",IF(AND(C37&gt;0,J37="Aguardando Aprovação"),"Sem Pendência de TACH",IF(AND(C37&gt;0,J37="Aprovado"),"Sem Pendência de TACH",IF(AND(C37&gt;0,K37="Finalizado"),"Pendência de TACH",IF(AND(C37&gt;0,K37="Não Criado"),"Pendência de TACH",IF(AND(C37&gt;0,K37="Rascunho"),"Pendência de TACH",IF(AND(C37&gt;0,K37="NECESSÁRIO AJUSTAR"),"Pendência de TACH",IF(AND(C37&gt;0,K37="Aguardando Aprovação"),"Sem Pendência de TACH",IF(AND(C37&gt;0,K37="Aprovado"),"Sem Pendência de TACH",IF(AND(C37&gt;0,KL="Finalizado"),"Pendência de TACH",IF(AND(C37&gt;0,KL="Não Criado"),"Pendência de TACH",IF(AND(C37&gt;0,KL="Rascunho"),"Pendência de TACH",IF(AND(C37&gt;0,L37="NECESSÁRIO AJUSTAR"),"Pendência de TACH",IF(AND(C37&gt;0,L37="Aguardando Aprovação"),"Sem Pendência de TACH",IF(AND(C37&gt;0,L37="Aprovado"),"Sem Pendência de TACH"))))))))))))))))))))))))</f>
        <v>#NAME?</v>
      </c>
    </row>
    <row r="38" spans="3:14">
      <c r="C38" s="2"/>
      <c r="N38" t="e" cm="1">
        <f t="array" ref="N38">IF(AND(C38&gt;0,I38="Finalizado"),"Pendência de TACH",IF(AND(C38&gt;0,I38="Não Criado"),"Pendência de TACH",IF(AND(C38&gt;0,I38="Rascunho"),"Pendência de TACH",IF(AND(C38&gt;0,I38="NECESSÁRIO AJUSTAR"),"Pendência de TACH",IF(AND(C38&gt;0,I38="Aguardando Aprovação"),"Sem Pendência de TACH",IF(AND(C38&gt;0,I38="Aprovado"),"Sem Pendência de TACH",IF(AND(C38&gt;0,J38="Finalizado"),"Pendência de TACH",IF(AND(C38&gt;0,J38="Não Criado"),"Pendência de TACH",IF(AND(C38&gt;0,J38="Rascunho"),"Pendência de TACH",IF(AND(C38&gt;0,J38="NECESSÁRIO AJUSTAR"),"Pendência de TACH",IF(AND(C38&gt;0,J38="Aguardando Aprovação"),"Sem Pendência de TACH",IF(AND(C38&gt;0,J38="Aprovado"),"Sem Pendência de TACH",IF(AND(C38&gt;0,K38="Finalizado"),"Pendência de TACH",IF(AND(C38&gt;0,K38="Não Criado"),"Pendência de TACH",IF(AND(C38&gt;0,K38="Rascunho"),"Pendência de TACH",IF(AND(C38&gt;0,K38="NECESSÁRIO AJUSTAR"),"Pendência de TACH",IF(AND(C38&gt;0,K38="Aguardando Aprovação"),"Sem Pendência de TACH",IF(AND(C38&gt;0,K38="Aprovado"),"Sem Pendência de TACH",IF(AND(C38&gt;0,KL="Finalizado"),"Pendência de TACH",IF(AND(C38&gt;0,KL="Não Criado"),"Pendência de TACH",IF(AND(C38&gt;0,KL="Rascunho"),"Pendência de TACH",IF(AND(C38&gt;0,L38="NECESSÁRIO AJUSTAR"),"Pendência de TACH",IF(AND(C38&gt;0,L38="Aguardando Aprovação"),"Sem Pendência de TACH",IF(AND(C38&gt;0,L38="Aprovado"),"Sem Pendência de TACH"))))))))))))))))))))))))</f>
        <v>#NAME?</v>
      </c>
    </row>
    <row r="39" spans="3:14">
      <c r="C39" s="2"/>
      <c r="N39" t="e" cm="1">
        <f t="array" ref="N39">IF(AND(C39&gt;0,I39="Finalizado"),"Pendência de TACH",IF(AND(C39&gt;0,I39="Não Criado"),"Pendência de TACH",IF(AND(C39&gt;0,I39="Rascunho"),"Pendência de TACH",IF(AND(C39&gt;0,I39="NECESSÁRIO AJUSTAR"),"Pendência de TACH",IF(AND(C39&gt;0,I39="Aguardando Aprovação"),"Sem Pendência de TACH",IF(AND(C39&gt;0,I39="Aprovado"),"Sem Pendência de TACH",IF(AND(C39&gt;0,J39="Finalizado"),"Pendência de TACH",IF(AND(C39&gt;0,J39="Não Criado"),"Pendência de TACH",IF(AND(C39&gt;0,J39="Rascunho"),"Pendência de TACH",IF(AND(C39&gt;0,J39="NECESSÁRIO AJUSTAR"),"Pendência de TACH",IF(AND(C39&gt;0,J39="Aguardando Aprovação"),"Sem Pendência de TACH",IF(AND(C39&gt;0,J39="Aprovado"),"Sem Pendência de TACH",IF(AND(C39&gt;0,K39="Finalizado"),"Pendência de TACH",IF(AND(C39&gt;0,K39="Não Criado"),"Pendência de TACH",IF(AND(C39&gt;0,K39="Rascunho"),"Pendência de TACH",IF(AND(C39&gt;0,K39="NECESSÁRIO AJUSTAR"),"Pendência de TACH",IF(AND(C39&gt;0,K39="Aguardando Aprovação"),"Sem Pendência de TACH",IF(AND(C39&gt;0,K39="Aprovado"),"Sem Pendência de TACH",IF(AND(C39&gt;0,KL="Finalizado"),"Pendência de TACH",IF(AND(C39&gt;0,KL="Não Criado"),"Pendência de TACH",IF(AND(C39&gt;0,KL="Rascunho"),"Pendência de TACH",IF(AND(C39&gt;0,L39="NECESSÁRIO AJUSTAR"),"Pendência de TACH",IF(AND(C39&gt;0,L39="Aguardando Aprovação"),"Sem Pendência de TACH",IF(AND(C39&gt;0,L39="Aprovado"),"Sem Pendência de TACH"))))))))))))))))))))))))</f>
        <v>#NAME?</v>
      </c>
    </row>
    <row r="40" spans="3:14">
      <c r="C40" s="2"/>
      <c r="N40" t="e" cm="1">
        <f t="array" ref="N40">IF(AND(C40&gt;0,I40="Finalizado"),"Pendência de TACH",IF(AND(C40&gt;0,I40="Não Criado"),"Pendência de TACH",IF(AND(C40&gt;0,I40="Rascunho"),"Pendência de TACH",IF(AND(C40&gt;0,I40="NECESSÁRIO AJUSTAR"),"Pendência de TACH",IF(AND(C40&gt;0,I40="Aguardando Aprovação"),"Sem Pendência de TACH",IF(AND(C40&gt;0,I40="Aprovado"),"Sem Pendência de TACH",IF(AND(C40&gt;0,J40="Finalizado"),"Pendência de TACH",IF(AND(C40&gt;0,J40="Não Criado"),"Pendência de TACH",IF(AND(C40&gt;0,J40="Rascunho"),"Pendência de TACH",IF(AND(C40&gt;0,J40="NECESSÁRIO AJUSTAR"),"Pendência de TACH",IF(AND(C40&gt;0,J40="Aguardando Aprovação"),"Sem Pendência de TACH",IF(AND(C40&gt;0,J40="Aprovado"),"Sem Pendência de TACH",IF(AND(C40&gt;0,K40="Finalizado"),"Pendência de TACH",IF(AND(C40&gt;0,K40="Não Criado"),"Pendência de TACH",IF(AND(C40&gt;0,K40="Rascunho"),"Pendência de TACH",IF(AND(C40&gt;0,K40="NECESSÁRIO AJUSTAR"),"Pendência de TACH",IF(AND(C40&gt;0,K40="Aguardando Aprovação"),"Sem Pendência de TACH",IF(AND(C40&gt;0,K40="Aprovado"),"Sem Pendência de TACH",IF(AND(C40&gt;0,KL="Finalizado"),"Pendência de TACH",IF(AND(C40&gt;0,KL="Não Criado"),"Pendência de TACH",IF(AND(C40&gt;0,KL="Rascunho"),"Pendência de TACH",IF(AND(C40&gt;0,L40="NECESSÁRIO AJUSTAR"),"Pendência de TACH",IF(AND(C40&gt;0,L40="Aguardando Aprovação"),"Sem Pendência de TACH",IF(AND(C40&gt;0,L40="Aprovado"),"Sem Pendência de TACH"))))))))))))))))))))))))</f>
        <v>#NAME?</v>
      </c>
    </row>
    <row r="41" spans="3:14">
      <c r="C41" s="2"/>
      <c r="N41" t="e" cm="1">
        <f t="array" ref="N41">IF(AND(C41&gt;0,I41="Finalizado"),"Pendência de TACH",IF(AND(C41&gt;0,I41="Não Criado"),"Pendência de TACH",IF(AND(C41&gt;0,I41="Rascunho"),"Pendência de TACH",IF(AND(C41&gt;0,I41="NECESSÁRIO AJUSTAR"),"Pendência de TACH",IF(AND(C41&gt;0,I41="Aguardando Aprovação"),"Sem Pendência de TACH",IF(AND(C41&gt;0,I41="Aprovado"),"Sem Pendência de TACH",IF(AND(C41&gt;0,J41="Finalizado"),"Pendência de TACH",IF(AND(C41&gt;0,J41="Não Criado"),"Pendência de TACH",IF(AND(C41&gt;0,J41="Rascunho"),"Pendência de TACH",IF(AND(C41&gt;0,J41="NECESSÁRIO AJUSTAR"),"Pendência de TACH",IF(AND(C41&gt;0,J41="Aguardando Aprovação"),"Sem Pendência de TACH",IF(AND(C41&gt;0,J41="Aprovado"),"Sem Pendência de TACH",IF(AND(C41&gt;0,K41="Finalizado"),"Pendência de TACH",IF(AND(C41&gt;0,K41="Não Criado"),"Pendência de TACH",IF(AND(C41&gt;0,K41="Rascunho"),"Pendência de TACH",IF(AND(C41&gt;0,K41="NECESSÁRIO AJUSTAR"),"Pendência de TACH",IF(AND(C41&gt;0,K41="Aguardando Aprovação"),"Sem Pendência de TACH",IF(AND(C41&gt;0,K41="Aprovado"),"Sem Pendência de TACH",IF(AND(C41&gt;0,KL="Finalizado"),"Pendência de TACH",IF(AND(C41&gt;0,KL="Não Criado"),"Pendência de TACH",IF(AND(C41&gt;0,KL="Rascunho"),"Pendência de TACH",IF(AND(C41&gt;0,L41="NECESSÁRIO AJUSTAR"),"Pendência de TACH",IF(AND(C41&gt;0,L41="Aguardando Aprovação"),"Sem Pendência de TACH",IF(AND(C41&gt;0,L41="Aprovado"),"Sem Pendência de TACH"))))))))))))))))))))))))</f>
        <v>#NAME?</v>
      </c>
    </row>
    <row r="42" spans="3:14">
      <c r="C42" s="2"/>
      <c r="N42" t="e" cm="1">
        <f t="array" ref="N42">IF(AND(C42&gt;0,I42="Finalizado"),"Pendência de TACH",IF(AND(C42&gt;0,I42="Não Criado"),"Pendência de TACH",IF(AND(C42&gt;0,I42="Rascunho"),"Pendência de TACH",IF(AND(C42&gt;0,I42="NECESSÁRIO AJUSTAR"),"Pendência de TACH",IF(AND(C42&gt;0,I42="Aguardando Aprovação"),"Sem Pendência de TACH",IF(AND(C42&gt;0,I42="Aprovado"),"Sem Pendência de TACH",IF(AND(C42&gt;0,J42="Finalizado"),"Pendência de TACH",IF(AND(C42&gt;0,J42="Não Criado"),"Pendência de TACH",IF(AND(C42&gt;0,J42="Rascunho"),"Pendência de TACH",IF(AND(C42&gt;0,J42="NECESSÁRIO AJUSTAR"),"Pendência de TACH",IF(AND(C42&gt;0,J42="Aguardando Aprovação"),"Sem Pendência de TACH",IF(AND(C42&gt;0,J42="Aprovado"),"Sem Pendência de TACH",IF(AND(C42&gt;0,K42="Finalizado"),"Pendência de TACH",IF(AND(C42&gt;0,K42="Não Criado"),"Pendência de TACH",IF(AND(C42&gt;0,K42="Rascunho"),"Pendência de TACH",IF(AND(C42&gt;0,K42="NECESSÁRIO AJUSTAR"),"Pendência de TACH",IF(AND(C42&gt;0,K42="Aguardando Aprovação"),"Sem Pendência de TACH",IF(AND(C42&gt;0,K42="Aprovado"),"Sem Pendência de TACH",IF(AND(C42&gt;0,KL="Finalizado"),"Pendência de TACH",IF(AND(C42&gt;0,KL="Não Criado"),"Pendência de TACH",IF(AND(C42&gt;0,KL="Rascunho"),"Pendência de TACH",IF(AND(C42&gt;0,L42="NECESSÁRIO AJUSTAR"),"Pendência de TACH",IF(AND(C42&gt;0,L42="Aguardando Aprovação"),"Sem Pendência de TACH",IF(AND(C42&gt;0,L42="Aprovado"),"Sem Pendência de TACH"))))))))))))))))))))))))</f>
        <v>#NAME?</v>
      </c>
    </row>
    <row r="43" spans="3:14">
      <c r="C43" s="2"/>
      <c r="N43" t="e" cm="1">
        <f t="array" ref="N43">IF(AND(C43&gt;0,I43="Finalizado"),"Pendência de TACH",IF(AND(C43&gt;0,I43="Não Criado"),"Pendência de TACH",IF(AND(C43&gt;0,I43="Rascunho"),"Pendência de TACH",IF(AND(C43&gt;0,I43="NECESSÁRIO AJUSTAR"),"Pendência de TACH",IF(AND(C43&gt;0,I43="Aguardando Aprovação"),"Sem Pendência de TACH",IF(AND(C43&gt;0,I43="Aprovado"),"Sem Pendência de TACH",IF(AND(C43&gt;0,J43="Finalizado"),"Pendência de TACH",IF(AND(C43&gt;0,J43="Não Criado"),"Pendência de TACH",IF(AND(C43&gt;0,J43="Rascunho"),"Pendência de TACH",IF(AND(C43&gt;0,J43="NECESSÁRIO AJUSTAR"),"Pendência de TACH",IF(AND(C43&gt;0,J43="Aguardando Aprovação"),"Sem Pendência de TACH",IF(AND(C43&gt;0,J43="Aprovado"),"Sem Pendência de TACH",IF(AND(C43&gt;0,K43="Finalizado"),"Pendência de TACH",IF(AND(C43&gt;0,K43="Não Criado"),"Pendência de TACH",IF(AND(C43&gt;0,K43="Rascunho"),"Pendência de TACH",IF(AND(C43&gt;0,K43="NECESSÁRIO AJUSTAR"),"Pendência de TACH",IF(AND(C43&gt;0,K43="Aguardando Aprovação"),"Sem Pendência de TACH",IF(AND(C43&gt;0,K43="Aprovado"),"Sem Pendência de TACH",IF(AND(C43&gt;0,KL="Finalizado"),"Pendência de TACH",IF(AND(C43&gt;0,KL="Não Criado"),"Pendência de TACH",IF(AND(C43&gt;0,KL="Rascunho"),"Pendência de TACH",IF(AND(C43&gt;0,L43="NECESSÁRIO AJUSTAR"),"Pendência de TACH",IF(AND(C43&gt;0,L43="Aguardando Aprovação"),"Sem Pendência de TACH",IF(AND(C43&gt;0,L43="Aprovado"),"Sem Pendência de TACH"))))))))))))))))))))))))</f>
        <v>#NAME?</v>
      </c>
    </row>
    <row r="44" spans="3:14">
      <c r="C44" s="2"/>
      <c r="N44" t="e" cm="1">
        <f t="array" ref="N44">IF(AND(C44&gt;0,I44="Finalizado"),"Pendência de TACH",IF(AND(C44&gt;0,I44="Não Criado"),"Pendência de TACH",IF(AND(C44&gt;0,I44="Rascunho"),"Pendência de TACH",IF(AND(C44&gt;0,I44="NECESSÁRIO AJUSTAR"),"Pendência de TACH",IF(AND(C44&gt;0,I44="Aguardando Aprovação"),"Sem Pendência de TACH",IF(AND(C44&gt;0,I44="Aprovado"),"Sem Pendência de TACH",IF(AND(C44&gt;0,J44="Finalizado"),"Pendência de TACH",IF(AND(C44&gt;0,J44="Não Criado"),"Pendência de TACH",IF(AND(C44&gt;0,J44="Rascunho"),"Pendência de TACH",IF(AND(C44&gt;0,J44="NECESSÁRIO AJUSTAR"),"Pendência de TACH",IF(AND(C44&gt;0,J44="Aguardando Aprovação"),"Sem Pendência de TACH",IF(AND(C44&gt;0,J44="Aprovado"),"Sem Pendência de TACH",IF(AND(C44&gt;0,K44="Finalizado"),"Pendência de TACH",IF(AND(C44&gt;0,K44="Não Criado"),"Pendência de TACH",IF(AND(C44&gt;0,K44="Rascunho"),"Pendência de TACH",IF(AND(C44&gt;0,K44="NECESSÁRIO AJUSTAR"),"Pendência de TACH",IF(AND(C44&gt;0,K44="Aguardando Aprovação"),"Sem Pendência de TACH",IF(AND(C44&gt;0,K44="Aprovado"),"Sem Pendência de TACH",IF(AND(C44&gt;0,KL="Finalizado"),"Pendência de TACH",IF(AND(C44&gt;0,KL="Não Criado"),"Pendência de TACH",IF(AND(C44&gt;0,KL="Rascunho"),"Pendência de TACH",IF(AND(C44&gt;0,L44="NECESSÁRIO AJUSTAR"),"Pendência de TACH",IF(AND(C44&gt;0,L44="Aguardando Aprovação"),"Sem Pendência de TACH",IF(AND(C44&gt;0,L44="Aprovado"),"Sem Pendência de TACH"))))))))))))))))))))))))</f>
        <v>#NAME?</v>
      </c>
    </row>
    <row r="45" spans="3:14">
      <c r="C45" s="2"/>
      <c r="N45" t="e" cm="1">
        <f t="array" ref="N45">IF(AND(C45&gt;0,I45="Finalizado"),"Pendência de TACH",IF(AND(C45&gt;0,I45="Não Criado"),"Pendência de TACH",IF(AND(C45&gt;0,I45="Rascunho"),"Pendência de TACH",IF(AND(C45&gt;0,I45="NECESSÁRIO AJUSTAR"),"Pendência de TACH",IF(AND(C45&gt;0,I45="Aguardando Aprovação"),"Sem Pendência de TACH",IF(AND(C45&gt;0,I45="Aprovado"),"Sem Pendência de TACH",IF(AND(C45&gt;0,J45="Finalizado"),"Pendência de TACH",IF(AND(C45&gt;0,J45="Não Criado"),"Pendência de TACH",IF(AND(C45&gt;0,J45="Rascunho"),"Pendência de TACH",IF(AND(C45&gt;0,J45="NECESSÁRIO AJUSTAR"),"Pendência de TACH",IF(AND(C45&gt;0,J45="Aguardando Aprovação"),"Sem Pendência de TACH",IF(AND(C45&gt;0,J45="Aprovado"),"Sem Pendência de TACH",IF(AND(C45&gt;0,K45="Finalizado"),"Pendência de TACH",IF(AND(C45&gt;0,K45="Não Criado"),"Pendência de TACH",IF(AND(C45&gt;0,K45="Rascunho"),"Pendência de TACH",IF(AND(C45&gt;0,K45="NECESSÁRIO AJUSTAR"),"Pendência de TACH",IF(AND(C45&gt;0,K45="Aguardando Aprovação"),"Sem Pendência de TACH",IF(AND(C45&gt;0,K45="Aprovado"),"Sem Pendência de TACH",IF(AND(C45&gt;0,KL="Finalizado"),"Pendência de TACH",IF(AND(C45&gt;0,KL="Não Criado"),"Pendência de TACH",IF(AND(C45&gt;0,KL="Rascunho"),"Pendência de TACH",IF(AND(C45&gt;0,L45="NECESSÁRIO AJUSTAR"),"Pendência de TACH",IF(AND(C45&gt;0,L45="Aguardando Aprovação"),"Sem Pendência de TACH",IF(AND(C45&gt;0,L45="Aprovado"),"Sem Pendência de TACH"))))))))))))))))))))))))</f>
        <v>#NAME?</v>
      </c>
    </row>
    <row r="46" spans="3:14">
      <c r="C46" s="2"/>
      <c r="N46" t="e" cm="1">
        <f t="array" ref="N46">IF(AND(C46&gt;0,I46="Finalizado"),"Pendência de TACH",IF(AND(C46&gt;0,I46="Não Criado"),"Pendência de TACH",IF(AND(C46&gt;0,I46="Rascunho"),"Pendência de TACH",IF(AND(C46&gt;0,I46="NECESSÁRIO AJUSTAR"),"Pendência de TACH",IF(AND(C46&gt;0,I46="Aguardando Aprovação"),"Sem Pendência de TACH",IF(AND(C46&gt;0,I46="Aprovado"),"Sem Pendência de TACH",IF(AND(C46&gt;0,J46="Finalizado"),"Pendência de TACH",IF(AND(C46&gt;0,J46="Não Criado"),"Pendência de TACH",IF(AND(C46&gt;0,J46="Rascunho"),"Pendência de TACH",IF(AND(C46&gt;0,J46="NECESSÁRIO AJUSTAR"),"Pendência de TACH",IF(AND(C46&gt;0,J46="Aguardando Aprovação"),"Sem Pendência de TACH",IF(AND(C46&gt;0,J46="Aprovado"),"Sem Pendência de TACH",IF(AND(C46&gt;0,K46="Finalizado"),"Pendência de TACH",IF(AND(C46&gt;0,K46="Não Criado"),"Pendência de TACH",IF(AND(C46&gt;0,K46="Rascunho"),"Pendência de TACH",IF(AND(C46&gt;0,K46="NECESSÁRIO AJUSTAR"),"Pendência de TACH",IF(AND(C46&gt;0,K46="Aguardando Aprovação"),"Sem Pendência de TACH",IF(AND(C46&gt;0,K46="Aprovado"),"Sem Pendência de TACH",IF(AND(C46&gt;0,KL="Finalizado"),"Pendência de TACH",IF(AND(C46&gt;0,KL="Não Criado"),"Pendência de TACH",IF(AND(C46&gt;0,KL="Rascunho"),"Pendência de TACH",IF(AND(C46&gt;0,L46="NECESSÁRIO AJUSTAR"),"Pendência de TACH",IF(AND(C46&gt;0,L46="Aguardando Aprovação"),"Sem Pendência de TACH",IF(AND(C46&gt;0,L46="Aprovado"),"Sem Pendência de TACH"))))))))))))))))))))))))</f>
        <v>#NAME?</v>
      </c>
    </row>
    <row r="47" spans="3:14">
      <c r="C47" s="2"/>
      <c r="N47" t="e" cm="1">
        <f t="array" ref="N47">IF(AND(C47&gt;0,I47="Finalizado"),"Pendência de TACH",IF(AND(C47&gt;0,I47="Não Criado"),"Pendência de TACH",IF(AND(C47&gt;0,I47="Rascunho"),"Pendência de TACH",IF(AND(C47&gt;0,I47="NECESSÁRIO AJUSTAR"),"Pendência de TACH",IF(AND(C47&gt;0,I47="Aguardando Aprovação"),"Sem Pendência de TACH",IF(AND(C47&gt;0,I47="Aprovado"),"Sem Pendência de TACH",IF(AND(C47&gt;0,J47="Finalizado"),"Pendência de TACH",IF(AND(C47&gt;0,J47="Não Criado"),"Pendência de TACH",IF(AND(C47&gt;0,J47="Rascunho"),"Pendência de TACH",IF(AND(C47&gt;0,J47="NECESSÁRIO AJUSTAR"),"Pendência de TACH",IF(AND(C47&gt;0,J47="Aguardando Aprovação"),"Sem Pendência de TACH",IF(AND(C47&gt;0,J47="Aprovado"),"Sem Pendência de TACH",IF(AND(C47&gt;0,K47="Finalizado"),"Pendência de TACH",IF(AND(C47&gt;0,K47="Não Criado"),"Pendência de TACH",IF(AND(C47&gt;0,K47="Rascunho"),"Pendência de TACH",IF(AND(C47&gt;0,K47="NECESSÁRIO AJUSTAR"),"Pendência de TACH",IF(AND(C47&gt;0,K47="Aguardando Aprovação"),"Sem Pendência de TACH",IF(AND(C47&gt;0,K47="Aprovado"),"Sem Pendência de TACH",IF(AND(C47&gt;0,KL="Finalizado"),"Pendência de TACH",IF(AND(C47&gt;0,KL="Não Criado"),"Pendência de TACH",IF(AND(C47&gt;0,KL="Rascunho"),"Pendência de TACH",IF(AND(C47&gt;0,L47="NECESSÁRIO AJUSTAR"),"Pendência de TACH",IF(AND(C47&gt;0,L47="Aguardando Aprovação"),"Sem Pendência de TACH",IF(AND(C47&gt;0,L47="Aprovado"),"Sem Pendência de TACH"))))))))))))))))))))))))</f>
        <v>#NAME?</v>
      </c>
    </row>
    <row r="48" spans="3:14">
      <c r="C48" s="2"/>
      <c r="N48" t="e" cm="1">
        <f t="array" ref="N48">IF(AND(C48&gt;0,I48="Finalizado"),"Pendência de TACH",IF(AND(C48&gt;0,I48="Não Criado"),"Pendência de TACH",IF(AND(C48&gt;0,I48="Rascunho"),"Pendência de TACH",IF(AND(C48&gt;0,I48="NECESSÁRIO AJUSTAR"),"Pendência de TACH",IF(AND(C48&gt;0,I48="Aguardando Aprovação"),"Sem Pendência de TACH",IF(AND(C48&gt;0,I48="Aprovado"),"Sem Pendência de TACH",IF(AND(C48&gt;0,J48="Finalizado"),"Pendência de TACH",IF(AND(C48&gt;0,J48="Não Criado"),"Pendência de TACH",IF(AND(C48&gt;0,J48="Rascunho"),"Pendência de TACH",IF(AND(C48&gt;0,J48="NECESSÁRIO AJUSTAR"),"Pendência de TACH",IF(AND(C48&gt;0,J48="Aguardando Aprovação"),"Sem Pendência de TACH",IF(AND(C48&gt;0,J48="Aprovado"),"Sem Pendência de TACH",IF(AND(C48&gt;0,K48="Finalizado"),"Pendência de TACH",IF(AND(C48&gt;0,K48="Não Criado"),"Pendência de TACH",IF(AND(C48&gt;0,K48="Rascunho"),"Pendência de TACH",IF(AND(C48&gt;0,K48="NECESSÁRIO AJUSTAR"),"Pendência de TACH",IF(AND(C48&gt;0,K48="Aguardando Aprovação"),"Sem Pendência de TACH",IF(AND(C48&gt;0,K48="Aprovado"),"Sem Pendência de TACH",IF(AND(C48&gt;0,KL="Finalizado"),"Pendência de TACH",IF(AND(C48&gt;0,KL="Não Criado"),"Pendência de TACH",IF(AND(C48&gt;0,KL="Rascunho"),"Pendência de TACH",IF(AND(C48&gt;0,L48="NECESSÁRIO AJUSTAR"),"Pendência de TACH",IF(AND(C48&gt;0,L48="Aguardando Aprovação"),"Sem Pendência de TACH",IF(AND(C48&gt;0,L48="Aprovado"),"Sem Pendência de TACH"))))))))))))))))))))))))</f>
        <v>#NAME?</v>
      </c>
    </row>
    <row r="49" spans="3:14">
      <c r="C49" s="2"/>
      <c r="N49" t="e" cm="1">
        <f t="array" ref="N49">IF(AND(C49&gt;0,I49="Finalizado"),"Pendência de TACH",IF(AND(C49&gt;0,I49="Não Criado"),"Pendência de TACH",IF(AND(C49&gt;0,I49="Rascunho"),"Pendência de TACH",IF(AND(C49&gt;0,I49="NECESSÁRIO AJUSTAR"),"Pendência de TACH",IF(AND(C49&gt;0,I49="Aguardando Aprovação"),"Sem Pendência de TACH",IF(AND(C49&gt;0,I49="Aprovado"),"Sem Pendência de TACH",IF(AND(C49&gt;0,J49="Finalizado"),"Pendência de TACH",IF(AND(C49&gt;0,J49="Não Criado"),"Pendência de TACH",IF(AND(C49&gt;0,J49="Rascunho"),"Pendência de TACH",IF(AND(C49&gt;0,J49="NECESSÁRIO AJUSTAR"),"Pendência de TACH",IF(AND(C49&gt;0,J49="Aguardando Aprovação"),"Sem Pendência de TACH",IF(AND(C49&gt;0,J49="Aprovado"),"Sem Pendência de TACH",IF(AND(C49&gt;0,K49="Finalizado"),"Pendência de TACH",IF(AND(C49&gt;0,K49="Não Criado"),"Pendência de TACH",IF(AND(C49&gt;0,K49="Rascunho"),"Pendência de TACH",IF(AND(C49&gt;0,K49="NECESSÁRIO AJUSTAR"),"Pendência de TACH",IF(AND(C49&gt;0,K49="Aguardando Aprovação"),"Sem Pendência de TACH",IF(AND(C49&gt;0,K49="Aprovado"),"Sem Pendência de TACH",IF(AND(C49&gt;0,KL="Finalizado"),"Pendência de TACH",IF(AND(C49&gt;0,KL="Não Criado"),"Pendência de TACH",IF(AND(C49&gt;0,KL="Rascunho"),"Pendência de TACH",IF(AND(C49&gt;0,L49="NECESSÁRIO AJUSTAR"),"Pendência de TACH",IF(AND(C49&gt;0,L49="Aguardando Aprovação"),"Sem Pendência de TACH",IF(AND(C49&gt;0,L49="Aprovado"),"Sem Pendência de TACH"))))))))))))))))))))))))</f>
        <v>#NAME?</v>
      </c>
    </row>
    <row r="50" spans="3:14">
      <c r="C50" s="2"/>
      <c r="N50" t="e" cm="1">
        <f t="array" ref="N50">IF(AND(C50&gt;0,I50="Finalizado"),"Pendência de TACH",IF(AND(C50&gt;0,I50="Não Criado"),"Pendência de TACH",IF(AND(C50&gt;0,I50="Rascunho"),"Pendência de TACH",IF(AND(C50&gt;0,I50="NECESSÁRIO AJUSTAR"),"Pendência de TACH",IF(AND(C50&gt;0,I50="Aguardando Aprovação"),"Sem Pendência de TACH",IF(AND(C50&gt;0,I50="Aprovado"),"Sem Pendência de TACH",IF(AND(C50&gt;0,J50="Finalizado"),"Pendência de TACH",IF(AND(C50&gt;0,J50="Não Criado"),"Pendência de TACH",IF(AND(C50&gt;0,J50="Rascunho"),"Pendência de TACH",IF(AND(C50&gt;0,J50="NECESSÁRIO AJUSTAR"),"Pendência de TACH",IF(AND(C50&gt;0,J50="Aguardando Aprovação"),"Sem Pendência de TACH",IF(AND(C50&gt;0,J50="Aprovado"),"Sem Pendência de TACH",IF(AND(C50&gt;0,K50="Finalizado"),"Pendência de TACH",IF(AND(C50&gt;0,K50="Não Criado"),"Pendência de TACH",IF(AND(C50&gt;0,K50="Rascunho"),"Pendência de TACH",IF(AND(C50&gt;0,K50="NECESSÁRIO AJUSTAR"),"Pendência de TACH",IF(AND(C50&gt;0,K50="Aguardando Aprovação"),"Sem Pendência de TACH",IF(AND(C50&gt;0,K50="Aprovado"),"Sem Pendência de TACH",IF(AND(C50&gt;0,KL="Finalizado"),"Pendência de TACH",IF(AND(C50&gt;0,KL="Não Criado"),"Pendência de TACH",IF(AND(C50&gt;0,KL="Rascunho"),"Pendência de TACH",IF(AND(C50&gt;0,L50="NECESSÁRIO AJUSTAR"),"Pendência de TACH",IF(AND(C50&gt;0,L50="Aguardando Aprovação"),"Sem Pendência de TACH",IF(AND(C50&gt;0,L50="Aprovado"),"Sem Pendência de TACH"))))))))))))))))))))))))</f>
        <v>#NAME?</v>
      </c>
    </row>
    <row r="51" spans="3:14">
      <c r="C51" s="2"/>
      <c r="N51" t="e" cm="1">
        <f t="array" ref="N51">IF(AND(C51&gt;0,I51="Finalizado"),"Pendência de TACH",IF(AND(C51&gt;0,I51="Não Criado"),"Pendência de TACH",IF(AND(C51&gt;0,I51="Rascunho"),"Pendência de TACH",IF(AND(C51&gt;0,I51="NECESSÁRIO AJUSTAR"),"Pendência de TACH",IF(AND(C51&gt;0,I51="Aguardando Aprovação"),"Sem Pendência de TACH",IF(AND(C51&gt;0,I51="Aprovado"),"Sem Pendência de TACH",IF(AND(C51&gt;0,J51="Finalizado"),"Pendência de TACH",IF(AND(C51&gt;0,J51="Não Criado"),"Pendência de TACH",IF(AND(C51&gt;0,J51="Rascunho"),"Pendência de TACH",IF(AND(C51&gt;0,J51="NECESSÁRIO AJUSTAR"),"Pendência de TACH",IF(AND(C51&gt;0,J51="Aguardando Aprovação"),"Sem Pendência de TACH",IF(AND(C51&gt;0,J51="Aprovado"),"Sem Pendência de TACH",IF(AND(C51&gt;0,K51="Finalizado"),"Pendência de TACH",IF(AND(C51&gt;0,K51="Não Criado"),"Pendência de TACH",IF(AND(C51&gt;0,K51="Rascunho"),"Pendência de TACH",IF(AND(C51&gt;0,K51="NECESSÁRIO AJUSTAR"),"Pendência de TACH",IF(AND(C51&gt;0,K51="Aguardando Aprovação"),"Sem Pendência de TACH",IF(AND(C51&gt;0,K51="Aprovado"),"Sem Pendência de TACH",IF(AND(C51&gt;0,KL="Finalizado"),"Pendência de TACH",IF(AND(C51&gt;0,KL="Não Criado"),"Pendência de TACH",IF(AND(C51&gt;0,KL="Rascunho"),"Pendência de TACH",IF(AND(C51&gt;0,L51="NECESSÁRIO AJUSTAR"),"Pendência de TACH",IF(AND(C51&gt;0,L51="Aguardando Aprovação"),"Sem Pendência de TACH",IF(AND(C51&gt;0,L51="Aprovado"),"Sem Pendência de TACH"))))))))))))))))))))))))</f>
        <v>#NAME?</v>
      </c>
    </row>
    <row r="52" spans="3:14">
      <c r="C52" s="2"/>
      <c r="N52" t="e" cm="1">
        <f t="array" ref="N52">IF(AND(C52&gt;0,I52="Finalizado"),"Pendência de TACH",IF(AND(C52&gt;0,I52="Não Criado"),"Pendência de TACH",IF(AND(C52&gt;0,I52="Rascunho"),"Pendência de TACH",IF(AND(C52&gt;0,I52="NECESSÁRIO AJUSTAR"),"Pendência de TACH",IF(AND(C52&gt;0,I52="Aguardando Aprovação"),"Sem Pendência de TACH",IF(AND(C52&gt;0,I52="Aprovado"),"Sem Pendência de TACH",IF(AND(C52&gt;0,J52="Finalizado"),"Pendência de TACH",IF(AND(C52&gt;0,J52="Não Criado"),"Pendência de TACH",IF(AND(C52&gt;0,J52="Rascunho"),"Pendência de TACH",IF(AND(C52&gt;0,J52="NECESSÁRIO AJUSTAR"),"Pendência de TACH",IF(AND(C52&gt;0,J52="Aguardando Aprovação"),"Sem Pendência de TACH",IF(AND(C52&gt;0,J52="Aprovado"),"Sem Pendência de TACH",IF(AND(C52&gt;0,K52="Finalizado"),"Pendência de TACH",IF(AND(C52&gt;0,K52="Não Criado"),"Pendência de TACH",IF(AND(C52&gt;0,K52="Rascunho"),"Pendência de TACH",IF(AND(C52&gt;0,K52="NECESSÁRIO AJUSTAR"),"Pendência de TACH",IF(AND(C52&gt;0,K52="Aguardando Aprovação"),"Sem Pendência de TACH",IF(AND(C52&gt;0,K52="Aprovado"),"Sem Pendência de TACH",IF(AND(C52&gt;0,KL="Finalizado"),"Pendência de TACH",IF(AND(C52&gt;0,KL="Não Criado"),"Pendência de TACH",IF(AND(C52&gt;0,KL="Rascunho"),"Pendência de TACH",IF(AND(C52&gt;0,L52="NECESSÁRIO AJUSTAR"),"Pendência de TACH",IF(AND(C52&gt;0,L52="Aguardando Aprovação"),"Sem Pendência de TACH",IF(AND(C52&gt;0,L52="Aprovado"),"Sem Pendência de TACH"))))))))))))))))))))))))</f>
        <v>#NAME?</v>
      </c>
    </row>
    <row r="53" spans="3:14">
      <c r="C53" s="2"/>
      <c r="N53" t="e" cm="1">
        <f t="array" ref="N53">IF(AND(C53&gt;0,I53="Finalizado"),"Pendência de TACH",IF(AND(C53&gt;0,I53="Não Criado"),"Pendência de TACH",IF(AND(C53&gt;0,I53="Rascunho"),"Pendência de TACH",IF(AND(C53&gt;0,I53="NECESSÁRIO AJUSTAR"),"Pendência de TACH",IF(AND(C53&gt;0,I53="Aguardando Aprovação"),"Sem Pendência de TACH",IF(AND(C53&gt;0,I53="Aprovado"),"Sem Pendência de TACH",IF(AND(C53&gt;0,J53="Finalizado"),"Pendência de TACH",IF(AND(C53&gt;0,J53="Não Criado"),"Pendência de TACH",IF(AND(C53&gt;0,J53="Rascunho"),"Pendência de TACH",IF(AND(C53&gt;0,J53="NECESSÁRIO AJUSTAR"),"Pendência de TACH",IF(AND(C53&gt;0,J53="Aguardando Aprovação"),"Sem Pendência de TACH",IF(AND(C53&gt;0,J53="Aprovado"),"Sem Pendência de TACH",IF(AND(C53&gt;0,K53="Finalizado"),"Pendência de TACH",IF(AND(C53&gt;0,K53="Não Criado"),"Pendência de TACH",IF(AND(C53&gt;0,K53="Rascunho"),"Pendência de TACH",IF(AND(C53&gt;0,K53="NECESSÁRIO AJUSTAR"),"Pendência de TACH",IF(AND(C53&gt;0,K53="Aguardando Aprovação"),"Sem Pendência de TACH",IF(AND(C53&gt;0,K53="Aprovado"),"Sem Pendência de TACH",IF(AND(C53&gt;0,KL="Finalizado"),"Pendência de TACH",IF(AND(C53&gt;0,KL="Não Criado"),"Pendência de TACH",IF(AND(C53&gt;0,KL="Rascunho"),"Pendência de TACH",IF(AND(C53&gt;0,L53="NECESSÁRIO AJUSTAR"),"Pendência de TACH",IF(AND(C53&gt;0,L53="Aguardando Aprovação"),"Sem Pendência de TACH",IF(AND(C53&gt;0,L53="Aprovado"),"Sem Pendência de TACH"))))))))))))))))))))))))</f>
        <v>#NAME?</v>
      </c>
    </row>
    <row r="54" spans="3:14">
      <c r="C54" s="2"/>
      <c r="N54" t="e" cm="1">
        <f t="array" ref="N54">IF(AND(C54&gt;0,I54="Finalizado"),"Pendência de TACH",IF(AND(C54&gt;0,I54="Não Criado"),"Pendência de TACH",IF(AND(C54&gt;0,I54="Rascunho"),"Pendência de TACH",IF(AND(C54&gt;0,I54="NECESSÁRIO AJUSTAR"),"Pendência de TACH",IF(AND(C54&gt;0,I54="Aguardando Aprovação"),"Sem Pendência de TACH",IF(AND(C54&gt;0,I54="Aprovado"),"Sem Pendência de TACH",IF(AND(C54&gt;0,J54="Finalizado"),"Pendência de TACH",IF(AND(C54&gt;0,J54="Não Criado"),"Pendência de TACH",IF(AND(C54&gt;0,J54="Rascunho"),"Pendência de TACH",IF(AND(C54&gt;0,J54="NECESSÁRIO AJUSTAR"),"Pendência de TACH",IF(AND(C54&gt;0,J54="Aguardando Aprovação"),"Sem Pendência de TACH",IF(AND(C54&gt;0,J54="Aprovado"),"Sem Pendência de TACH",IF(AND(C54&gt;0,K54="Finalizado"),"Pendência de TACH",IF(AND(C54&gt;0,K54="Não Criado"),"Pendência de TACH",IF(AND(C54&gt;0,K54="Rascunho"),"Pendência de TACH",IF(AND(C54&gt;0,K54="NECESSÁRIO AJUSTAR"),"Pendência de TACH",IF(AND(C54&gt;0,K54="Aguardando Aprovação"),"Sem Pendência de TACH",IF(AND(C54&gt;0,K54="Aprovado"),"Sem Pendência de TACH",IF(AND(C54&gt;0,KL="Finalizado"),"Pendência de TACH",IF(AND(C54&gt;0,KL="Não Criado"),"Pendência de TACH",IF(AND(C54&gt;0,KL="Rascunho"),"Pendência de TACH",IF(AND(C54&gt;0,L54="NECESSÁRIO AJUSTAR"),"Pendência de TACH",IF(AND(C54&gt;0,L54="Aguardando Aprovação"),"Sem Pendência de TACH",IF(AND(C54&gt;0,L54="Aprovado"),"Sem Pendência de TACH"))))))))))))))))))))))))</f>
        <v>#NAME?</v>
      </c>
    </row>
    <row r="55" spans="3:14">
      <c r="C55" s="2"/>
      <c r="N55" t="e" cm="1">
        <f t="array" ref="N55">IF(AND(C55&gt;0,I55="Finalizado"),"Pendência de TACH",IF(AND(C55&gt;0,I55="Não Criado"),"Pendência de TACH",IF(AND(C55&gt;0,I55="Rascunho"),"Pendência de TACH",IF(AND(C55&gt;0,I55="NECESSÁRIO AJUSTAR"),"Pendência de TACH",IF(AND(C55&gt;0,I55="Aguardando Aprovação"),"Sem Pendência de TACH",IF(AND(C55&gt;0,I55="Aprovado"),"Sem Pendência de TACH",IF(AND(C55&gt;0,J55="Finalizado"),"Pendência de TACH",IF(AND(C55&gt;0,J55="Não Criado"),"Pendência de TACH",IF(AND(C55&gt;0,J55="Rascunho"),"Pendência de TACH",IF(AND(C55&gt;0,J55="NECESSÁRIO AJUSTAR"),"Pendência de TACH",IF(AND(C55&gt;0,J55="Aguardando Aprovação"),"Sem Pendência de TACH",IF(AND(C55&gt;0,J55="Aprovado"),"Sem Pendência de TACH",IF(AND(C55&gt;0,K55="Finalizado"),"Pendência de TACH",IF(AND(C55&gt;0,K55="Não Criado"),"Pendência de TACH",IF(AND(C55&gt;0,K55="Rascunho"),"Pendência de TACH",IF(AND(C55&gt;0,K55="NECESSÁRIO AJUSTAR"),"Pendência de TACH",IF(AND(C55&gt;0,K55="Aguardando Aprovação"),"Sem Pendência de TACH",IF(AND(C55&gt;0,K55="Aprovado"),"Sem Pendência de TACH",IF(AND(C55&gt;0,KL="Finalizado"),"Pendência de TACH",IF(AND(C55&gt;0,KL="Não Criado"),"Pendência de TACH",IF(AND(C55&gt;0,KL="Rascunho"),"Pendência de TACH",IF(AND(C55&gt;0,L55="NECESSÁRIO AJUSTAR"),"Pendência de TACH",IF(AND(C55&gt;0,L55="Aguardando Aprovação"),"Sem Pendência de TACH",IF(AND(C55&gt;0,L55="Aprovado"),"Sem Pendência de TACH"))))))))))))))))))))))))</f>
        <v>#NAME?</v>
      </c>
    </row>
    <row r="56" spans="3:14">
      <c r="C56" s="2"/>
      <c r="N56" t="e" cm="1">
        <f t="array" ref="N56">IF(AND(C56&gt;0,I56="Finalizado"),"Pendência de TACH",IF(AND(C56&gt;0,I56="Não Criado"),"Pendência de TACH",IF(AND(C56&gt;0,I56="Rascunho"),"Pendência de TACH",IF(AND(C56&gt;0,I56="NECESSÁRIO AJUSTAR"),"Pendência de TACH",IF(AND(C56&gt;0,I56="Aguardando Aprovação"),"Sem Pendência de TACH",IF(AND(C56&gt;0,I56="Aprovado"),"Sem Pendência de TACH",IF(AND(C56&gt;0,J56="Finalizado"),"Pendência de TACH",IF(AND(C56&gt;0,J56="Não Criado"),"Pendência de TACH",IF(AND(C56&gt;0,J56="Rascunho"),"Pendência de TACH",IF(AND(C56&gt;0,J56="NECESSÁRIO AJUSTAR"),"Pendência de TACH",IF(AND(C56&gt;0,J56="Aguardando Aprovação"),"Sem Pendência de TACH",IF(AND(C56&gt;0,J56="Aprovado"),"Sem Pendência de TACH",IF(AND(C56&gt;0,K56="Finalizado"),"Pendência de TACH",IF(AND(C56&gt;0,K56="Não Criado"),"Pendência de TACH",IF(AND(C56&gt;0,K56="Rascunho"),"Pendência de TACH",IF(AND(C56&gt;0,K56="NECESSÁRIO AJUSTAR"),"Pendência de TACH",IF(AND(C56&gt;0,K56="Aguardando Aprovação"),"Sem Pendência de TACH",IF(AND(C56&gt;0,K56="Aprovado"),"Sem Pendência de TACH",IF(AND(C56&gt;0,KL="Finalizado"),"Pendência de TACH",IF(AND(C56&gt;0,KL="Não Criado"),"Pendência de TACH",IF(AND(C56&gt;0,KL="Rascunho"),"Pendência de TACH",IF(AND(C56&gt;0,L56="NECESSÁRIO AJUSTAR"),"Pendência de TACH",IF(AND(C56&gt;0,L56="Aguardando Aprovação"),"Sem Pendência de TACH",IF(AND(C56&gt;0,L56="Aprovado"),"Sem Pendência de TACH"))))))))))))))))))))))))</f>
        <v>#NAME?</v>
      </c>
    </row>
    <row r="57" spans="3:14">
      <c r="C57" s="2"/>
      <c r="N57" t="e" cm="1">
        <f t="array" ref="N57">IF(AND(C57&gt;0,I57="Finalizado"),"Pendência de TACH",IF(AND(C57&gt;0,I57="Não Criado"),"Pendência de TACH",IF(AND(C57&gt;0,I57="Rascunho"),"Pendência de TACH",IF(AND(C57&gt;0,I57="NECESSÁRIO AJUSTAR"),"Pendência de TACH",IF(AND(C57&gt;0,I57="Aguardando Aprovação"),"Sem Pendência de TACH",IF(AND(C57&gt;0,I57="Aprovado"),"Sem Pendência de TACH",IF(AND(C57&gt;0,J57="Finalizado"),"Pendência de TACH",IF(AND(C57&gt;0,J57="Não Criado"),"Pendência de TACH",IF(AND(C57&gt;0,J57="Rascunho"),"Pendência de TACH",IF(AND(C57&gt;0,J57="NECESSÁRIO AJUSTAR"),"Pendência de TACH",IF(AND(C57&gt;0,J57="Aguardando Aprovação"),"Sem Pendência de TACH",IF(AND(C57&gt;0,J57="Aprovado"),"Sem Pendência de TACH",IF(AND(C57&gt;0,K57="Finalizado"),"Pendência de TACH",IF(AND(C57&gt;0,K57="Não Criado"),"Pendência de TACH",IF(AND(C57&gt;0,K57="Rascunho"),"Pendência de TACH",IF(AND(C57&gt;0,K57="NECESSÁRIO AJUSTAR"),"Pendência de TACH",IF(AND(C57&gt;0,K57="Aguardando Aprovação"),"Sem Pendência de TACH",IF(AND(C57&gt;0,K57="Aprovado"),"Sem Pendência de TACH",IF(AND(C57&gt;0,KL="Finalizado"),"Pendência de TACH",IF(AND(C57&gt;0,KL="Não Criado"),"Pendência de TACH",IF(AND(C57&gt;0,KL="Rascunho"),"Pendência de TACH",IF(AND(C57&gt;0,L57="NECESSÁRIO AJUSTAR"),"Pendência de TACH",IF(AND(C57&gt;0,L57="Aguardando Aprovação"),"Sem Pendência de TACH",IF(AND(C57&gt;0,L57="Aprovado"),"Sem Pendência de TACH"))))))))))))))))))))))))</f>
        <v>#NAME?</v>
      </c>
    </row>
    <row r="58" spans="3:14">
      <c r="C58" s="2"/>
      <c r="N58" t="e" cm="1">
        <f t="array" ref="N58">IF(AND(C58&gt;0,I58="Finalizado"),"Pendência de TACH",IF(AND(C58&gt;0,I58="Não Criado"),"Pendência de TACH",IF(AND(C58&gt;0,I58="Rascunho"),"Pendência de TACH",IF(AND(C58&gt;0,I58="NECESSÁRIO AJUSTAR"),"Pendência de TACH",IF(AND(C58&gt;0,I58="Aguardando Aprovação"),"Sem Pendência de TACH",IF(AND(C58&gt;0,I58="Aprovado"),"Sem Pendência de TACH",IF(AND(C58&gt;0,J58="Finalizado"),"Pendência de TACH",IF(AND(C58&gt;0,J58="Não Criado"),"Pendência de TACH",IF(AND(C58&gt;0,J58="Rascunho"),"Pendência de TACH",IF(AND(C58&gt;0,J58="NECESSÁRIO AJUSTAR"),"Pendência de TACH",IF(AND(C58&gt;0,J58="Aguardando Aprovação"),"Sem Pendência de TACH",IF(AND(C58&gt;0,J58="Aprovado"),"Sem Pendência de TACH",IF(AND(C58&gt;0,K58="Finalizado"),"Pendência de TACH",IF(AND(C58&gt;0,K58="Não Criado"),"Pendência de TACH",IF(AND(C58&gt;0,K58="Rascunho"),"Pendência de TACH",IF(AND(C58&gt;0,K58="NECESSÁRIO AJUSTAR"),"Pendência de TACH",IF(AND(C58&gt;0,K58="Aguardando Aprovação"),"Sem Pendência de TACH",IF(AND(C58&gt;0,K58="Aprovado"),"Sem Pendência de TACH",IF(AND(C58&gt;0,KL="Finalizado"),"Pendência de TACH",IF(AND(C58&gt;0,KL="Não Criado"),"Pendência de TACH",IF(AND(C58&gt;0,KL="Rascunho"),"Pendência de TACH",IF(AND(C58&gt;0,L58="NECESSÁRIO AJUSTAR"),"Pendência de TACH",IF(AND(C58&gt;0,L58="Aguardando Aprovação"),"Sem Pendência de TACH",IF(AND(C58&gt;0,L58="Aprovado"),"Sem Pendência de TACH"))))))))))))))))))))))))</f>
        <v>#NAME?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840C-F8AE-4605-9E30-4B4B389F60EC}">
  <dimension ref="A1:N24"/>
  <sheetViews>
    <sheetView zoomScale="55" zoomScaleNormal="55" workbookViewId="0">
      <selection activeCell="A5" sqref="A5:XFD5"/>
    </sheetView>
  </sheetViews>
  <sheetFormatPr defaultRowHeight="15"/>
  <cols>
    <col min="1" max="1" width="11.85546875" bestFit="1" customWidth="1"/>
    <col min="2" max="2" width="45.7109375" customWidth="1"/>
    <col min="3" max="3" width="17.42578125" customWidth="1"/>
    <col min="4" max="4" width="10" customWidth="1"/>
    <col min="5" max="5" width="18.7109375" bestFit="1" customWidth="1"/>
    <col min="6" max="6" width="72.7109375" bestFit="1" customWidth="1"/>
    <col min="7" max="7" width="10.7109375" customWidth="1"/>
    <col min="8" max="8" width="17.140625" customWidth="1"/>
    <col min="9" max="9" width="16.5703125" customWidth="1"/>
    <col min="10" max="10" width="15.28515625" customWidth="1"/>
    <col min="11" max="11" width="14.42578125" customWidth="1"/>
    <col min="12" max="12" width="14.7109375" customWidth="1"/>
    <col min="13" max="13" width="19.5703125" bestFit="1" customWidth="1"/>
    <col min="14" max="14" width="17.42578125" bestFit="1" customWidth="1"/>
  </cols>
  <sheetData>
    <row r="1" spans="1:14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8</v>
      </c>
      <c r="H1" t="s">
        <v>37</v>
      </c>
      <c r="I1" s="9" t="s">
        <v>38</v>
      </c>
      <c r="J1" t="s">
        <v>39</v>
      </c>
      <c r="K1" t="s">
        <v>40</v>
      </c>
      <c r="L1" t="s">
        <v>41</v>
      </c>
      <c r="M1" t="s">
        <v>5</v>
      </c>
      <c r="N1" t="s">
        <v>6</v>
      </c>
    </row>
    <row r="2" spans="1:14">
      <c r="A2" s="1">
        <v>8306</v>
      </c>
      <c r="B2" t="s">
        <v>47</v>
      </c>
      <c r="C2" s="2">
        <v>2</v>
      </c>
      <c r="D2" t="s">
        <v>68</v>
      </c>
      <c r="E2" t="s">
        <v>82</v>
      </c>
      <c r="F2" t="s">
        <v>83</v>
      </c>
      <c r="G2" t="s">
        <v>95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t="str">
        <f t="shared" ref="M2:M24" si="0">IF(AND(G2="SIM",D2&gt;0),"Pendência de Agenda",IF(AND(G2="NÃO",D2=0),"Sem Pendência",IF(AND(G2="Sim",D2=0),"Sem Pendência","")))</f>
        <v>Pendência de Agenda</v>
      </c>
      <c r="N2" t="str" cm="1">
        <f t="array" ref="N2">IF(AND(C2&gt;0,I2="Finalizado"),"Pendência de TACH",IF(AND(C2&gt;0,I2="Não Criado"),"Pendência de TACH",IF(AND(C2&gt;0,I2="Rascunho"),"Pendência de TACH",IF(AND(C2&gt;0,I2="NECESSÁRIO AJUSTAR"),"Pendência de TACH",IF(AND(C2&gt;0,I2="Aguardando Aprovação"),"Sem Pendência de TACH",IF(AND(C2&gt;0,I2="Aprovado"),"Sem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Aprovação"),"Sem Pendência de TACH",IF(AND(C2&gt;0,K2="Aprovado"),"Sem Pendência de TACH",IF(AND(C2&gt;0,#REF!="Finalizado"),"Pendência de TACH",IF(AND(C2&gt;0,#REF!="Não Criado"),"Pendência de TACH",IF(AND(C2&gt;0,#REF!="Rascunho"),"Pendência de TACH",IF(AND(C2&gt;0,#REF!="NECESSÁRIO AJUSTAR"),"Pendência de TACH",IF(AND(C2&gt;0,#REF!="Aguardando Aprovação"),"Sem Pendência de TACH",IF(AND(C2&gt;0,#REF!="Aprovado"),"Sem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Aprovação"),"Sem Pendência de TACH",IF(AND(C2&gt;0,L2="Aprovado"),"Sem Pendência de TACH"))))))))))))))))))))))))</f>
        <v>Pendência de TACH</v>
      </c>
    </row>
    <row r="3" spans="1:14">
      <c r="A3" s="1">
        <v>90013836</v>
      </c>
      <c r="B3" t="s">
        <v>48</v>
      </c>
      <c r="C3" s="2">
        <v>2</v>
      </c>
      <c r="D3" t="s">
        <v>68</v>
      </c>
      <c r="E3" t="s">
        <v>82</v>
      </c>
      <c r="F3" t="s">
        <v>83</v>
      </c>
      <c r="G3" t="s">
        <v>95</v>
      </c>
      <c r="H3" t="s">
        <v>123</v>
      </c>
      <c r="I3" t="s">
        <v>123</v>
      </c>
      <c r="J3" t="s">
        <v>123</v>
      </c>
      <c r="K3" t="s">
        <v>123</v>
      </c>
      <c r="L3" t="s">
        <v>123</v>
      </c>
      <c r="M3" t="str">
        <f t="shared" si="0"/>
        <v>Pendência de Agenda</v>
      </c>
      <c r="N3" t="str" cm="1">
        <f t="array" ref="N3">IF(AND(C3&gt;0,I3="Finalizado"),"Pendência de TACH",IF(AND(C3&gt;0,I3="Não Criado"),"Pendência de TACH",IF(AND(C3&gt;0,I3="Rascunho"),"Pendência de TACH",IF(AND(C3&gt;0,I3="NECESSÁRIO AJUSTAR"),"Pendência de TACH",IF(AND(C3&gt;0,I3="Aguardando Aprovação"),"Sem Pendência de TACH",IF(AND(C3&gt;0,I3="Aprovado"),"Sem Pendência de TACH",IF(AND(C3&gt;0,K3="Finalizado"),"Pendência de TACH",IF(AND(C3&gt;0,K3="Não Criado"),"Pendência de TACH",IF(AND(C3&gt;0,K3="Rascunho"),"Pendência de TACH",IF(AND(C3&gt;0,K3="NECESSÁRIO AJUSTAR"),"Pendência de TACH",IF(AND(C3&gt;0,K3="Aguardando Aprovação"),"Sem Pendência de TACH",IF(AND(C3&gt;0,K3="Aprovado"),"Sem Pendência de TACH",IF(AND(C3&gt;0,#REF!="Finalizado"),"Pendência de TACH",IF(AND(C3&gt;0,#REF!="Não Criado"),"Pendência de TACH",IF(AND(C3&gt;0,#REF!="Rascunho"),"Pendência de TACH",IF(AND(C3&gt;0,#REF!="NECESSÁRIO AJUSTAR"),"Pendência de TACH",IF(AND(C3&gt;0,#REF!="Aguardando Aprovação"),"Sem Pendência de TACH",IF(AND(C3&gt;0,#REF!="Aprovado"),"Sem Pendência de TACH",IF(AND(C3&gt;0,KL="Finalizado"),"Pendência de TACH",IF(AND(C3&gt;0,KL="Não Criado"),"Pendência de TACH",IF(AND(C3&gt;0,KL="Rascunho"),"Pendência de TACH",IF(AND(C3&gt;0,L3="NECESSÁRIO AJUSTAR"),"Pendência de TACH",IF(AND(C3&gt;0,L3="Aguardando Aprovação"),"Sem Pendência de TACH",IF(AND(C3&gt;0,L3="Aprovado"),"Sem Pendência de TACH"))))))))))))))))))))))))</f>
        <v>Pendência de TACH</v>
      </c>
    </row>
    <row r="4" spans="1:14">
      <c r="A4" s="1">
        <v>90009703</v>
      </c>
      <c r="B4" t="s">
        <v>49</v>
      </c>
      <c r="C4" s="2">
        <v>18</v>
      </c>
      <c r="D4" t="s">
        <v>70</v>
      </c>
      <c r="E4" t="s">
        <v>82</v>
      </c>
      <c r="F4" t="s">
        <v>85</v>
      </c>
      <c r="G4" t="s">
        <v>95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tr">
        <f t="shared" si="0"/>
        <v>Pendência de Agenda</v>
      </c>
      <c r="N4" t="str" cm="1">
        <f t="array" ref="N4">IF(AND(C4&gt;0,I4="Finalizado"),"Pendência de TACH",IF(AND(C4&gt;0,I4="Não Criado"),"Pendência de TACH",IF(AND(C4&gt;0,I4="Rascunho"),"Pendência de TACH",IF(AND(C4&gt;0,I4="NECESSÁRIO AJUSTAR"),"Pendência de TACH",IF(AND(C4&gt;0,I4="Aguardando Aprovação"),"Sem Pendência de TACH",IF(AND(C4&gt;0,I4="Aprovado"),"Sem Pendência de TACH",IF(AND(C4&gt;0,K4="Finalizado"),"Pendência de TACH",IF(AND(C4&gt;0,K4="Não Criado"),"Pendência de TACH",IF(AND(C4&gt;0,K4="Rascunho"),"Pendência de TACH",IF(AND(C4&gt;0,K4="NECESSÁRIO AJUSTAR"),"Pendência de TACH",IF(AND(C4&gt;0,K4="Aguardando Aprovação"),"Sem Pendência de TACH",IF(AND(C4&gt;0,K4="Aprovado"),"Sem Pendência de TACH",IF(AND(C4&gt;0,#REF!="Finalizado"),"Pendência de TACH",IF(AND(C4&gt;0,#REF!="Não Criado"),"Pendência de TACH",IF(AND(C4&gt;0,#REF!="Rascunho"),"Pendência de TACH",IF(AND(C4&gt;0,#REF!="NECESSÁRIO AJUSTAR"),"Pendência de TACH",IF(AND(C4&gt;0,#REF!="Aguardando Aprovação"),"Sem Pendência de TACH",IF(AND(C4&gt;0,#REF!="Aprovado"),"Sem Pendência de TACH",IF(AND(C4&gt;0,KL="Finalizado"),"Pendência de TACH",IF(AND(C4&gt;0,KL="Não Criado"),"Pendência de TACH",IF(AND(C4&gt;0,KL="Rascunho"),"Pendência de TACH",IF(AND(C4&gt;0,L4="NECESSÁRIO AJUSTAR"),"Pendência de TACH",IF(AND(C4&gt;0,L4="Aguardando Aprovação"),"Sem Pendência de TACH",IF(AND(C4&gt;0,L4="Aprovado"),"Sem Pendência de TACH"))))))))))))))))))))))))</f>
        <v>Pendência de TACH</v>
      </c>
    </row>
    <row r="5" spans="1:14">
      <c r="A5" s="1">
        <v>90005226</v>
      </c>
      <c r="B5" t="s">
        <v>51</v>
      </c>
      <c r="C5" s="2">
        <v>14</v>
      </c>
      <c r="D5" t="s">
        <v>73</v>
      </c>
      <c r="E5" t="s">
        <v>87</v>
      </c>
      <c r="F5" t="s">
        <v>88</v>
      </c>
      <c r="G5" t="s">
        <v>95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tr">
        <f t="shared" si="0"/>
        <v>Pendência de Agenda</v>
      </c>
      <c r="N5" t="str" cm="1">
        <f t="array" ref="N5">IF(AND(C5&gt;0,I5="Finalizado"),"Pendência de TACH",IF(AND(C5&gt;0,I5="Não Criado"),"Pendência de TACH",IF(AND(C5&gt;0,I5="Rascunho"),"Pendência de TACH",IF(AND(C5&gt;0,I5="NECESSÁRIO AJUSTAR"),"Pendência de TACH",IF(AND(C5&gt;0,I5="Aguardando Aprovação"),"Sem Pendência de TACH",IF(AND(C5&gt;0,I5="Aprovado"),"Sem Pendência de TACH",IF(AND(C5&gt;0,K5="Finalizado"),"Pendência de TACH",IF(AND(C5&gt;0,K5="Não Criado"),"Pendência de TACH",IF(AND(C5&gt;0,K5="Rascunho"),"Pendência de TACH",IF(AND(C5&gt;0,K5="NECESSÁRIO AJUSTAR"),"Pendência de TACH",IF(AND(C5&gt;0,K5="Aguardando Aprovação"),"Sem Pendência de TACH",IF(AND(C5&gt;0,K5="Aprovado"),"Sem Pendência de TACH",IF(AND(C5&gt;0,#REF!="Finalizado"),"Pendência de TACH",IF(AND(C5&gt;0,#REF!="Não Criado"),"Pendência de TACH",IF(AND(C5&gt;0,#REF!="Rascunho"),"Pendência de TACH",IF(AND(C5&gt;0,#REF!="NECESSÁRIO AJUSTAR"),"Pendência de TACH",IF(AND(C5&gt;0,#REF!="Aguardando Aprovação"),"Sem Pendência de TACH",IF(AND(C5&gt;0,#REF!="Aprovado"),"Sem Pendência de TACH",IF(AND(C5&gt;0,KL="Finalizado"),"Pendência de TACH",IF(AND(C5&gt;0,KL="Não Criado"),"Pendência de TACH",IF(AND(C5&gt;0,KL="Rascunho"),"Pendência de TACH",IF(AND(C5&gt;0,L5="NECESSÁRIO AJUSTAR"),"Pendência de TACH",IF(AND(C5&gt;0,L5="Aguardando Aprovação"),"Sem Pendência de TACH",IF(AND(C5&gt;0,L5="Aprovado"),"Sem Pendência de TACH"))))))))))))))))))))))))</f>
        <v>Sem Pendência de TACH</v>
      </c>
    </row>
    <row r="6" spans="1:14">
      <c r="A6" s="1">
        <v>90013955</v>
      </c>
      <c r="B6" t="s">
        <v>53</v>
      </c>
      <c r="C6" s="2">
        <v>3</v>
      </c>
      <c r="D6" t="s">
        <v>75</v>
      </c>
      <c r="E6" t="s">
        <v>82</v>
      </c>
      <c r="F6" t="s">
        <v>85</v>
      </c>
      <c r="G6" t="s">
        <v>95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tr">
        <f t="shared" si="0"/>
        <v>Pendência de Agenda</v>
      </c>
      <c r="N6" t="str" cm="1">
        <f t="array" ref="N6">IF(AND(C6&gt;0,I6="Finalizado"),"Pendência de TACH",IF(AND(C6&gt;0,I6="Não Criado"),"Pendência de TACH",IF(AND(C6&gt;0,I6="Rascunho"),"Pendência de TACH",IF(AND(C6&gt;0,I6="NECESSÁRIO AJUSTAR"),"Pendência de TACH",IF(AND(C6&gt;0,I6="Aguardando Aprovação"),"Sem Pendência de TACH",IF(AND(C6&gt;0,I6="Aprovado"),"Sem Pendência de TACH",IF(AND(C6&gt;0,K6="Finalizado"),"Pendência de TACH",IF(AND(C6&gt;0,K6="Não Criado"),"Pendência de TACH",IF(AND(C6&gt;0,K6="Rascunho"),"Pendência de TACH",IF(AND(C6&gt;0,K6="NECESSÁRIO AJUSTAR"),"Pendência de TACH",IF(AND(C6&gt;0,K6="Aguardando Aprovação"),"Sem Pendência de TACH",IF(AND(C6&gt;0,K6="Aprovado"),"Sem Pendência de TACH",IF(AND(C6&gt;0,#REF!="Finalizado"),"Pendência de TACH",IF(AND(C6&gt;0,#REF!="Não Criado"),"Pendência de TACH",IF(AND(C6&gt;0,#REF!="Rascunho"),"Pendência de TACH",IF(AND(C6&gt;0,#REF!="NECESSÁRIO AJUSTAR"),"Pendência de TACH",IF(AND(C6&gt;0,#REF!="Aguardando Aprovação"),"Sem Pendência de TACH",IF(AND(C6&gt;0,#REF!="Aprovado"),"Sem Pendência de TACH",IF(AND(C6&gt;0,KL="Finalizado"),"Pendência de TACH",IF(AND(C6&gt;0,KL="Não Criado"),"Pendência de TACH",IF(AND(C6&gt;0,KL="Rascunho"),"Pendência de TACH",IF(AND(C6&gt;0,L6="NECESSÁRIO AJUSTAR"),"Pendência de TACH",IF(AND(C6&gt;0,L6="Aguardando Aprovação"),"Sem Pendência de TACH",IF(AND(C6&gt;0,L6="Aprovado"),"Sem Pendência de TACH"))))))))))))))))))))))))</f>
        <v>Sem Pendência de TACH</v>
      </c>
    </row>
    <row r="7" spans="1:14">
      <c r="A7" s="1">
        <v>90010315</v>
      </c>
      <c r="B7" t="s">
        <v>54</v>
      </c>
      <c r="C7" s="2">
        <v>20</v>
      </c>
      <c r="D7" t="s">
        <v>72</v>
      </c>
      <c r="E7" t="s">
        <v>87</v>
      </c>
      <c r="F7" t="s">
        <v>88</v>
      </c>
      <c r="G7" t="s">
        <v>95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tr">
        <f t="shared" si="0"/>
        <v>Pendência de Agenda</v>
      </c>
      <c r="N7" t="str" cm="1">
        <f t="array" ref="N7">IF(AND(C7&gt;0,I7="Finalizado"),"Pendência de TACH",IF(AND(C7&gt;0,I7="Não Criado"),"Pendência de TACH",IF(AND(C7&gt;0,I7="Rascunho"),"Pendência de TACH",IF(AND(C7&gt;0,I7="NECESSÁRIO AJUSTAR"),"Pendência de TACH",IF(AND(C7&gt;0,I7="Aguardando Aprovação"),"Sem Pendência de TACH",IF(AND(C7&gt;0,I7="Aprovado"),"Sem Pendência de TACH",IF(AND(C7&gt;0,K7="Finalizado"),"Pendência de TACH",IF(AND(C7&gt;0,K7="Não Criado"),"Pendência de TACH",IF(AND(C7&gt;0,K7="Rascunho"),"Pendência de TACH",IF(AND(C7&gt;0,K7="NECESSÁRIO AJUSTAR"),"Pendência de TACH",IF(AND(C7&gt;0,K7="Aguardando Aprovação"),"Sem Pendência de TACH",IF(AND(C7&gt;0,K7="Aprovado"),"Sem Pendência de TACH",IF(AND(C7&gt;0,#REF!="Finalizado"),"Pendência de TACH",IF(AND(C7&gt;0,#REF!="Não Criado"),"Pendência de TACH",IF(AND(C7&gt;0,#REF!="Rascunho"),"Pendência de TACH",IF(AND(C7&gt;0,#REF!="NECESSÁRIO AJUSTAR"),"Pendência de TACH",IF(AND(C7&gt;0,#REF!="Aguardando Aprovação"),"Sem Pendência de TACH",IF(AND(C7&gt;0,#REF!="Aprovado"),"Sem Pendência de TACH",IF(AND(C7&gt;0,KL="Finalizado"),"Pendência de TACH",IF(AND(C7&gt;0,KL="Não Criado"),"Pendência de TACH",IF(AND(C7&gt;0,KL="Rascunho"),"Pendência de TACH",IF(AND(C7&gt;0,L7="NECESSÁRIO AJUSTAR"),"Pendência de TACH",IF(AND(C7&gt;0,L7="Aguardando Aprovação"),"Sem Pendência de TACH",IF(AND(C7&gt;0,L7="Aprovado"),"Sem Pendência de TACH"))))))))))))))))))))))))</f>
        <v>Sem Pendência de TACH</v>
      </c>
    </row>
    <row r="8" spans="1:14">
      <c r="A8" s="1">
        <v>90003306</v>
      </c>
      <c r="B8" t="s">
        <v>55</v>
      </c>
      <c r="C8" s="2">
        <v>8</v>
      </c>
      <c r="D8" t="s">
        <v>76</v>
      </c>
      <c r="E8" t="s">
        <v>87</v>
      </c>
      <c r="F8" t="s">
        <v>88</v>
      </c>
      <c r="G8" t="s">
        <v>95</v>
      </c>
      <c r="H8" t="s">
        <v>122</v>
      </c>
      <c r="I8" t="s">
        <v>125</v>
      </c>
      <c r="J8" t="s">
        <v>125</v>
      </c>
      <c r="K8" t="s">
        <v>125</v>
      </c>
      <c r="L8" t="s">
        <v>125</v>
      </c>
      <c r="M8" t="str">
        <f t="shared" si="0"/>
        <v>Pendência de Agenda</v>
      </c>
      <c r="N8" t="str" cm="1">
        <f t="array" ref="N8">IF(AND(C8&gt;0,I8="Finalizado"),"Pendência de TACH",IF(AND(C8&gt;0,I8="Não Criado"),"Pendência de TACH",IF(AND(C8&gt;0,I8="Rascunho"),"Pendência de TACH",IF(AND(C8&gt;0,I8="NECESSÁRIO AJUSTAR"),"Pendência de TACH",IF(AND(C8&gt;0,I8="Aguardando Aprovação"),"Sem Pendência de TACH",IF(AND(C8&gt;0,I8="Aprovado"),"Sem Pendência de TACH",IF(AND(C8&gt;0,K8="Finalizado"),"Pendência de TACH",IF(AND(C8&gt;0,K8="Não Criado"),"Pendência de TACH",IF(AND(C8&gt;0,K8="Rascunho"),"Pendência de TACH",IF(AND(C8&gt;0,K8="NECESSÁRIO AJUSTAR"),"Pendência de TACH",IF(AND(C8&gt;0,K8="Aguardando Aprovação"),"Sem Pendência de TACH",IF(AND(C8&gt;0,K8="Aprovado"),"Sem Pendência de TACH",IF(AND(C8&gt;0,#REF!="Finalizado"),"Pendência de TACH",IF(AND(C8&gt;0,#REF!="Não Criado"),"Pendência de TACH",IF(AND(C8&gt;0,#REF!="Rascunho"),"Pendência de TACH",IF(AND(C8&gt;0,#REF!="NECESSÁRIO AJUSTAR"),"Pendência de TACH",IF(AND(C8&gt;0,#REF!="Aguardando Aprovação"),"Sem Pendência de TACH",IF(AND(C8&gt;0,#REF!="Aprovado"),"Sem Pendência de TACH",IF(AND(C8&gt;0,KL="Finalizado"),"Pendência de TACH",IF(AND(C8&gt;0,KL="Não Criado"),"Pendência de TACH",IF(AND(C8&gt;0,KL="Rascunho"),"Pendência de TACH",IF(AND(C8&gt;0,L8="NECESSÁRIO AJUSTAR"),"Pendência de TACH",IF(AND(C8&gt;0,L8="Aguardando Aprovação"),"Sem Pendência de TACH",IF(AND(C8&gt;0,L8="Aprovado"),"Sem Pendência de TACH"))))))))))))))))))))))))</f>
        <v>Sem Pendência de TACH</v>
      </c>
    </row>
    <row r="9" spans="1:14">
      <c r="A9" s="1">
        <v>23702</v>
      </c>
      <c r="B9" t="s">
        <v>127</v>
      </c>
      <c r="C9" s="2">
        <v>22</v>
      </c>
      <c r="D9" t="s">
        <v>77</v>
      </c>
      <c r="E9" t="s">
        <v>82</v>
      </c>
      <c r="F9" t="s">
        <v>129</v>
      </c>
      <c r="G9" t="s">
        <v>95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tr">
        <f t="shared" si="0"/>
        <v>Pendência de Agenda</v>
      </c>
      <c r="N9" t="str" cm="1">
        <f t="array" ref="N9">IF(AND(C9&gt;0,I9="Finalizado"),"Pendência de TACH",IF(AND(C9&gt;0,I9="Não Criado"),"Pendência de TACH",IF(AND(C9&gt;0,I9="Rascunho"),"Pendência de TACH",IF(AND(C9&gt;0,I9="NECESSÁRIO AJUSTAR"),"Pendência de TACH",IF(AND(C9&gt;0,I9="Aguardando Aprovação"),"Sem Pendência de TACH",IF(AND(C9&gt;0,I9="Aprovado"),"Sem Pendência de TACH",IF(AND(C9&gt;0,K9="Finalizado"),"Pendência de TACH",IF(AND(C9&gt;0,K9="Não Criado"),"Pendência de TACH",IF(AND(C9&gt;0,K9="Rascunho"),"Pendência de TACH",IF(AND(C9&gt;0,K9="NECESSÁRIO AJUSTAR"),"Pendência de TACH",IF(AND(C9&gt;0,K9="Aguardando Aprovação"),"Sem Pendência de TACH",IF(AND(C9&gt;0,K9="Aprovado"),"Sem Pendência de TACH",IF(AND(C9&gt;0,#REF!="Finalizado"),"Pendência de TACH",IF(AND(C9&gt;0,#REF!="Não Criado"),"Pendência de TACH",IF(AND(C9&gt;0,#REF!="Rascunho"),"Pendência de TACH",IF(AND(C9&gt;0,#REF!="NECESSÁRIO AJUSTAR"),"Pendência de TACH",IF(AND(C9&gt;0,#REF!="Aguardando Aprovação"),"Sem Pendência de TACH",IF(AND(C9&gt;0,#REF!="Aprovado"),"Sem Pendência de TACH",IF(AND(C9&gt;0,KL="Finalizado"),"Pendência de TACH",IF(AND(C9&gt;0,KL="Não Criado"),"Pendência de TACH",IF(AND(C9&gt;0,KL="Rascunho"),"Pendência de TACH",IF(AND(C9&gt;0,L9="NECESSÁRIO AJUSTAR"),"Pendência de TACH",IF(AND(C9&gt;0,L9="Aguardando Aprovação"),"Sem Pendência de TACH",IF(AND(C9&gt;0,L9="Aprovado"),"Sem Pendência de TACH"))))))))))))))))))))))))</f>
        <v>Sem Pendência de TACH</v>
      </c>
    </row>
    <row r="10" spans="1:14">
      <c r="A10" s="1">
        <v>90013958</v>
      </c>
      <c r="B10" t="s">
        <v>58</v>
      </c>
      <c r="C10" s="2">
        <v>2</v>
      </c>
      <c r="D10" t="s">
        <v>68</v>
      </c>
      <c r="E10" t="s">
        <v>82</v>
      </c>
      <c r="F10" t="s">
        <v>90</v>
      </c>
      <c r="G10" t="s">
        <v>95</v>
      </c>
      <c r="H10" t="s">
        <v>122</v>
      </c>
      <c r="I10" t="s">
        <v>122</v>
      </c>
      <c r="J10" t="s">
        <v>122</v>
      </c>
      <c r="K10" t="s">
        <v>122</v>
      </c>
      <c r="L10" t="s">
        <v>122</v>
      </c>
      <c r="M10" t="str">
        <f t="shared" si="0"/>
        <v>Pendência de Agenda</v>
      </c>
      <c r="N10" t="str" cm="1">
        <f t="array" ref="N10">IF(AND(C10&gt;0,I10="Finalizado"),"Pendência de TACH",IF(AND(C10&gt;0,I10="Não Criado"),"Pendência de TACH",IF(AND(C10&gt;0,I10="Rascunho"),"Pendência de TACH",IF(AND(C10&gt;0,I10="NECESSÁRIO AJUSTAR"),"Pendência de TACH",IF(AND(C10&gt;0,I10="Aguardando Aprovação"),"Sem Pendência de TACH",IF(AND(C10&gt;0,I10="Aprovado"),"Sem Pendência de TACH",IF(AND(C10&gt;0,K10="Finalizado"),"Pendência de TACH",IF(AND(C10&gt;0,K10="Não Criado"),"Pendência de TACH",IF(AND(C10&gt;0,K10="Rascunho"),"Pendência de TACH",IF(AND(C10&gt;0,K10="NECESSÁRIO AJUSTAR"),"Pendência de TACH",IF(AND(C10&gt;0,K10="Aguardando Aprovação"),"Sem Pendência de TACH",IF(AND(C10&gt;0,K10="Aprovado"),"Sem Pendência de TACH",IF(AND(C10&gt;0,#REF!="Finalizado"),"Pendência de TACH",IF(AND(C10&gt;0,#REF!="Não Criado"),"Pendência de TACH",IF(AND(C10&gt;0,#REF!="Rascunho"),"Pendência de TACH",IF(AND(C10&gt;0,#REF!="NECESSÁRIO AJUSTAR"),"Pendência de TACH",IF(AND(C10&gt;0,#REF!="Aguardando Aprovação"),"Sem Pendência de TACH",IF(AND(C10&gt;0,#REF!="Aprovado"),"Sem Pendência de TACH",IF(AND(C10&gt;0,KL="Finalizado"),"Pendência de TACH",IF(AND(C10&gt;0,KL="Não Criado"),"Pendência de TACH",IF(AND(C10&gt;0,KL="Rascunho"),"Pendência de TACH",IF(AND(C10&gt;0,L10="NECESSÁRIO AJUSTAR"),"Pendência de TACH",IF(AND(C10&gt;0,L10="Aguardando Aprovação"),"Sem Pendência de TACH",IF(AND(C10&gt;0,L10="Aprovado"),"Sem Pendência de TACH"))))))))))))))))))))))))</f>
        <v>Pendência de TACH</v>
      </c>
    </row>
    <row r="11" spans="1:14">
      <c r="A11" s="1">
        <v>90005652</v>
      </c>
      <c r="B11" t="s">
        <v>128</v>
      </c>
      <c r="C11" s="2">
        <v>36</v>
      </c>
      <c r="D11" t="s">
        <v>75</v>
      </c>
      <c r="E11" t="s">
        <v>82</v>
      </c>
      <c r="F11" t="s">
        <v>130</v>
      </c>
      <c r="G11" t="s">
        <v>95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tr">
        <f t="shared" si="0"/>
        <v>Pendência de Agenda</v>
      </c>
      <c r="N11" t="str" cm="1">
        <f t="array" ref="N11">IF(AND(C11&gt;0,I11="Finalizado"),"Pendência de TACH",IF(AND(C11&gt;0,I11="Não Criado"),"Pendência de TACH",IF(AND(C11&gt;0,I11="Rascunho"),"Pendência de TACH",IF(AND(C11&gt;0,I11="NECESSÁRIO AJUSTAR"),"Pendência de TACH",IF(AND(C11&gt;0,I11="Aguardando Aprovação"),"Sem Pendência de TACH",IF(AND(C11&gt;0,I11="Aprovado"),"Sem Pendência de TACH",IF(AND(C11&gt;0,K11="Finalizado"),"Pendência de TACH",IF(AND(C11&gt;0,K11="Não Criado"),"Pendência de TACH",IF(AND(C11&gt;0,K11="Rascunho"),"Pendência de TACH",IF(AND(C11&gt;0,K11="NECESSÁRIO AJUSTAR"),"Pendência de TACH",IF(AND(C11&gt;0,K11="Aguardando Aprovação"),"Sem Pendência de TACH",IF(AND(C11&gt;0,K11="Aprovado"),"Sem Pendência de TACH",IF(AND(C11&gt;0,#REF!="Finalizado"),"Pendência de TACH",IF(AND(C11&gt;0,#REF!="Não Criado"),"Pendência de TACH",IF(AND(C11&gt;0,#REF!="Rascunho"),"Pendência de TACH",IF(AND(C11&gt;0,#REF!="NECESSÁRIO AJUSTAR"),"Pendência de TACH",IF(AND(C11&gt;0,#REF!="Aguardando Aprovação"),"Sem Pendência de TACH",IF(AND(C11&gt;0,#REF!="Aprovado"),"Sem Pendência de TACH",IF(AND(C11&gt;0,KL="Finalizado"),"Pendência de TACH",IF(AND(C11&gt;0,KL="Não Criado"),"Pendência de TACH",IF(AND(C11&gt;0,KL="Rascunho"),"Pendência de TACH",IF(AND(C11&gt;0,L11="NECESSÁRIO AJUSTAR"),"Pendência de TACH",IF(AND(C11&gt;0,L11="Aguardando Aprovação"),"Sem Pendência de TACH",IF(AND(C11&gt;0,L11="Aprovado"),"Sem Pendência de TACH"))))))))))))))))))))))))</f>
        <v>Sem Pendência de TACH</v>
      </c>
    </row>
    <row r="12" spans="1:14">
      <c r="A12" s="1">
        <v>90001409</v>
      </c>
      <c r="B12" t="s">
        <v>60</v>
      </c>
      <c r="C12" s="2">
        <v>20</v>
      </c>
      <c r="D12" t="s">
        <v>72</v>
      </c>
      <c r="E12" t="s">
        <v>87</v>
      </c>
      <c r="F12" t="s">
        <v>88</v>
      </c>
      <c r="G12" t="s">
        <v>95</v>
      </c>
      <c r="H12" t="s">
        <v>122</v>
      </c>
      <c r="I12" t="s">
        <v>122</v>
      </c>
      <c r="J12" t="s">
        <v>122</v>
      </c>
      <c r="K12" t="s">
        <v>122</v>
      </c>
      <c r="L12" t="s">
        <v>122</v>
      </c>
      <c r="M12" t="str">
        <f t="shared" si="0"/>
        <v>Pendência de Agenda</v>
      </c>
      <c r="N12" t="str" cm="1">
        <f t="array" ref="N12">IF(AND(C12&gt;0,I12="Finalizado"),"Pendência de TACH",IF(AND(C12&gt;0,I12="Não Criado"),"Pendência de TACH",IF(AND(C12&gt;0,I12="Rascunho"),"Pendência de TACH",IF(AND(C12&gt;0,I12="NECESSÁRIO AJUSTAR"),"Pendência de TACH",IF(AND(C12&gt;0,I12="Aguardando Aprovação"),"Sem Pendência de TACH",IF(AND(C12&gt;0,I12="Aprovado"),"Sem Pendência de TACH",IF(AND(C12&gt;0,K12="Finalizado"),"Pendência de TACH",IF(AND(C12&gt;0,K12="Não Criado"),"Pendência de TACH",IF(AND(C12&gt;0,K12="Rascunho"),"Pendência de TACH",IF(AND(C12&gt;0,K12="NECESSÁRIO AJUSTAR"),"Pendência de TACH",IF(AND(C12&gt;0,K12="Aguardando Aprovação"),"Sem Pendência de TACH",IF(AND(C12&gt;0,K12="Aprovado"),"Sem Pendência de TACH",IF(AND(C12&gt;0,#REF!="Finalizado"),"Pendência de TACH",IF(AND(C12&gt;0,#REF!="Não Criado"),"Pendência de TACH",IF(AND(C12&gt;0,#REF!="Rascunho"),"Pendência de TACH",IF(AND(C12&gt;0,#REF!="NECESSÁRIO AJUSTAR"),"Pendência de TACH",IF(AND(C12&gt;0,#REF!="Aguardando Aprovação"),"Sem Pendência de TACH",IF(AND(C12&gt;0,#REF!="Aprovado"),"Sem Pendência de TACH",IF(AND(C12&gt;0,KL="Finalizado"),"Pendência de TACH",IF(AND(C12&gt;0,KL="Não Criado"),"Pendência de TACH",IF(AND(C12&gt;0,KL="Rascunho"),"Pendência de TACH",IF(AND(C12&gt;0,L12="NECESSÁRIO AJUSTAR"),"Pendência de TACH",IF(AND(C12&gt;0,L12="Aguardando Aprovação"),"Sem Pendência de TACH",IF(AND(C12&gt;0,L12="Aprovado"),"Sem Pendência de TACH"))))))))))))))))))))))))</f>
        <v>Pendência de TACH</v>
      </c>
    </row>
    <row r="13" spans="1:14">
      <c r="A13" s="1">
        <v>90009989</v>
      </c>
      <c r="B13" t="s">
        <v>61</v>
      </c>
      <c r="C13" s="2">
        <v>2</v>
      </c>
      <c r="D13" t="s">
        <v>68</v>
      </c>
      <c r="E13" t="s">
        <v>82</v>
      </c>
      <c r="F13" t="s">
        <v>84</v>
      </c>
      <c r="G13" t="s">
        <v>95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tr">
        <f t="shared" si="0"/>
        <v>Pendência de Agenda</v>
      </c>
      <c r="N13" t="str" cm="1">
        <f t="array" ref="N13">IF(AND(C13&gt;0,I13="Finalizado"),"Pendência de TACH",IF(AND(C13&gt;0,I13="Não Criado"),"Pendência de TACH",IF(AND(C13&gt;0,I13="Rascunho"),"Pendência de TACH",IF(AND(C13&gt;0,I13="NECESSÁRIO AJUSTAR"),"Pendência de TACH",IF(AND(C13&gt;0,I13="Aguardando Aprovação"),"Sem Pendência de TACH",IF(AND(C13&gt;0,I13="Aprovado"),"Sem Pendência de TACH",IF(AND(C13&gt;0,K13="Finalizado"),"Pendência de TACH",IF(AND(C13&gt;0,K13="Não Criado"),"Pendência de TACH",IF(AND(C13&gt;0,K13="Rascunho"),"Pendência de TACH",IF(AND(C13&gt;0,K13="NECESSÁRIO AJUSTAR"),"Pendência de TACH",IF(AND(C13&gt;0,K13="Aguardando Aprovação"),"Sem Pendência de TACH",IF(AND(C13&gt;0,K13="Aprovado"),"Sem Pendência de TACH",IF(AND(C13&gt;0,#REF!="Finalizado"),"Pendência de TACH",IF(AND(C13&gt;0,#REF!="Não Criado"),"Pendência de TACH",IF(AND(C13&gt;0,#REF!="Rascunho"),"Pendência de TACH",IF(AND(C13&gt;0,#REF!="NECESSÁRIO AJUSTAR"),"Pendência de TACH",IF(AND(C13&gt;0,#REF!="Aguardando Aprovação"),"Sem Pendência de TACH",IF(AND(C13&gt;0,#REF!="Aprovado"),"Sem Pendência de TACH",IF(AND(C13&gt;0,KL="Finalizado"),"Pendência de TACH",IF(AND(C13&gt;0,KL="Não Criado"),"Pendência de TACH",IF(AND(C13&gt;0,KL="Rascunho"),"Pendência de TACH",IF(AND(C13&gt;0,L13="NECESSÁRIO AJUSTAR"),"Pendência de TACH",IF(AND(C13&gt;0,L13="Aguardando Aprovação"),"Sem Pendência de TACH",IF(AND(C13&gt;0,L13="Aprovado"),"Sem Pendência de TACH"))))))))))))))))))))))))</f>
        <v>Sem Pendência de TACH</v>
      </c>
    </row>
    <row r="14" spans="1:14">
      <c r="A14" s="1">
        <v>90012360</v>
      </c>
      <c r="B14" t="s">
        <v>62</v>
      </c>
      <c r="C14" s="2">
        <v>16</v>
      </c>
      <c r="D14" t="s">
        <v>78</v>
      </c>
      <c r="E14" t="s">
        <v>92</v>
      </c>
      <c r="F14" t="s">
        <v>93</v>
      </c>
      <c r="G14" t="s">
        <v>95</v>
      </c>
      <c r="H14" t="s">
        <v>122</v>
      </c>
      <c r="I14" t="s">
        <v>122</v>
      </c>
      <c r="J14" t="s">
        <v>122</v>
      </c>
      <c r="K14" t="s">
        <v>122</v>
      </c>
      <c r="L14" t="s">
        <v>122</v>
      </c>
      <c r="M14" t="str">
        <f t="shared" si="0"/>
        <v>Pendência de Agenda</v>
      </c>
      <c r="N14" t="str" cm="1">
        <f t="array" ref="N14">IF(AND(C14&gt;0,I14="Finalizado"),"Pendência de TACH",IF(AND(C14&gt;0,I14="Não Criado"),"Pendência de TACH",IF(AND(C14&gt;0,I14="Rascunho"),"Pendência de TACH",IF(AND(C14&gt;0,I14="NECESSÁRIO AJUSTAR"),"Pendência de TACH",IF(AND(C14&gt;0,I14="Aguardando Aprovação"),"Sem Pendência de TACH",IF(AND(C14&gt;0,I14="Aprovado"),"Sem Pendência de TACH",IF(AND(C14&gt;0,K14="Finalizado"),"Pendência de TACH",IF(AND(C14&gt;0,K14="Não Criado"),"Pendência de TACH",IF(AND(C14&gt;0,K14="Rascunho"),"Pendência de TACH",IF(AND(C14&gt;0,K14="NECESSÁRIO AJUSTAR"),"Pendência de TACH",IF(AND(C14&gt;0,K14="Aguardando Aprovação"),"Sem Pendência de TACH",IF(AND(C14&gt;0,K14="Aprovado"),"Sem Pendência de TACH",IF(AND(C14&gt;0,#REF!="Finalizado"),"Pendência de TACH",IF(AND(C14&gt;0,#REF!="Não Criado"),"Pendência de TACH",IF(AND(C14&gt;0,#REF!="Rascunho"),"Pendência de TACH",IF(AND(C14&gt;0,#REF!="NECESSÁRIO AJUSTAR"),"Pendência de TACH",IF(AND(C14&gt;0,#REF!="Aguardando Aprovação"),"Sem Pendência de TACH",IF(AND(C14&gt;0,#REF!="Aprovado"),"Sem Pendência de TACH",IF(AND(C14&gt;0,KL="Finalizado"),"Pendência de TACH",IF(AND(C14&gt;0,KL="Não Criado"),"Pendência de TACH",IF(AND(C14&gt;0,KL="Rascunho"),"Pendência de TACH",IF(AND(C14&gt;0,L14="NECESSÁRIO AJUSTAR"),"Pendência de TACH",IF(AND(C14&gt;0,L14="Aguardando Aprovação"),"Sem Pendência de TACH",IF(AND(C14&gt;0,L14="Aprovado"),"Sem Pendência de TACH"))))))))))))))))))))))))</f>
        <v>Pendência de TACH</v>
      </c>
    </row>
    <row r="15" spans="1:14">
      <c r="A15" s="1">
        <v>90004950</v>
      </c>
      <c r="B15" t="s">
        <v>63</v>
      </c>
      <c r="C15" s="2">
        <v>5</v>
      </c>
      <c r="D15" t="s">
        <v>79</v>
      </c>
      <c r="E15" t="s">
        <v>82</v>
      </c>
      <c r="F15" t="s">
        <v>85</v>
      </c>
      <c r="G15" t="s">
        <v>95</v>
      </c>
      <c r="H15" t="s">
        <v>124</v>
      </c>
      <c r="I15" t="s">
        <v>124</v>
      </c>
      <c r="J15" t="s">
        <v>124</v>
      </c>
      <c r="K15" t="s">
        <v>124</v>
      </c>
      <c r="L15" t="s">
        <v>124</v>
      </c>
      <c r="M15" t="str">
        <f t="shared" si="0"/>
        <v>Pendência de Agenda</v>
      </c>
      <c r="N15" t="str" cm="1">
        <f t="array" ref="N15">IF(AND(C15&gt;0,I15="Finalizado"),"Pendência de TACH",IF(AND(C15&gt;0,I15="Não Criado"),"Pendência de TACH",IF(AND(C15&gt;0,I15="Rascunho"),"Pendência de TACH",IF(AND(C15&gt;0,I15="NECESSÁRIO AJUSTAR"),"Pendência de TACH",IF(AND(C15&gt;0,I15="Aguardando Aprovação"),"Sem Pendência de TACH",IF(AND(C15&gt;0,I15="Aprovado"),"Sem Pendência de TACH",IF(AND(C15&gt;0,K15="Finalizado"),"Pendência de TACH",IF(AND(C15&gt;0,K15="Não Criado"),"Pendência de TACH",IF(AND(C15&gt;0,K15="Rascunho"),"Pendência de TACH",IF(AND(C15&gt;0,K15="NECESSÁRIO AJUSTAR"),"Pendência de TACH",IF(AND(C15&gt;0,K15="Aguardando Aprovação"),"Sem Pendência de TACH",IF(AND(C15&gt;0,K15="Aprovado"),"Sem Pendência de TACH",IF(AND(C15&gt;0,#REF!="Finalizado"),"Pendência de TACH",IF(AND(C15&gt;0,#REF!="Não Criado"),"Pendência de TACH",IF(AND(C15&gt;0,#REF!="Rascunho"),"Pendência de TACH",IF(AND(C15&gt;0,#REF!="NECESSÁRIO AJUSTAR"),"Pendência de TACH",IF(AND(C15&gt;0,#REF!="Aguardando Aprovação"),"Sem Pendência de TACH",IF(AND(C15&gt;0,#REF!="Aprovado"),"Sem Pendência de TACH",IF(AND(C15&gt;0,KL="Finalizado"),"Pendência de TACH",IF(AND(C15&gt;0,KL="Não Criado"),"Pendência de TACH",IF(AND(C15&gt;0,KL="Rascunho"),"Pendência de TACH",IF(AND(C15&gt;0,L15="NECESSÁRIO AJUSTAR"),"Pendência de TACH",IF(AND(C15&gt;0,L15="Aguardando Aprovação"),"Sem Pendência de TACH",IF(AND(C15&gt;0,L15="Aprovado"),"Sem Pendência de TACH"))))))))))))))))))))))))</f>
        <v>Pendência de TACH</v>
      </c>
    </row>
    <row r="16" spans="1:14">
      <c r="A16" s="1">
        <v>90010258</v>
      </c>
      <c r="B16" t="s">
        <v>64</v>
      </c>
      <c r="C16" s="2">
        <v>12</v>
      </c>
      <c r="D16" t="s">
        <v>69</v>
      </c>
      <c r="E16" t="s">
        <v>82</v>
      </c>
      <c r="F16" t="s">
        <v>89</v>
      </c>
      <c r="G16" t="s">
        <v>95</v>
      </c>
      <c r="H16" t="s">
        <v>126</v>
      </c>
      <c r="I16" t="s">
        <v>126</v>
      </c>
      <c r="J16" t="s">
        <v>126</v>
      </c>
      <c r="K16" t="s">
        <v>125</v>
      </c>
      <c r="L16" t="s">
        <v>125</v>
      </c>
      <c r="M16" t="str">
        <f t="shared" si="0"/>
        <v>Pendência de Agenda</v>
      </c>
      <c r="N16" t="str" cm="1">
        <f t="array" ref="N16">IF(AND(C16&gt;0,I16="Finalizado"),"Pendência de TACH",IF(AND(C16&gt;0,I16="Não Criado"),"Pendência de TACH",IF(AND(C16&gt;0,I16="Rascunho"),"Pendência de TACH",IF(AND(C16&gt;0,I16="NECESSÁRIO AJUSTAR"),"Pendência de TACH",IF(AND(C16&gt;0,I16="Aguardando Aprovação"),"Sem Pendência de TACH",IF(AND(C16&gt;0,I16="Aprovado"),"Sem Pendência de TACH",IF(AND(C16&gt;0,K16="Finalizado"),"Pendência de TACH",IF(AND(C16&gt;0,K16="Não Criado"),"Pendência de TACH",IF(AND(C16&gt;0,K16="Rascunho"),"Pendência de TACH",IF(AND(C16&gt;0,K16="NECESSÁRIO AJUSTAR"),"Pendência de TACH",IF(AND(C16&gt;0,K16="Aguardando Aprovação"),"Sem Pendência de TACH",IF(AND(C16&gt;0,K16="Aprovado"),"Sem Pendência de TACH",IF(AND(C16&gt;0,#REF!="Finalizado"),"Pendência de TACH",IF(AND(C16&gt;0,#REF!="Não Criado"),"Pendência de TACH",IF(AND(C16&gt;0,#REF!="Rascunho"),"Pendência de TACH",IF(AND(C16&gt;0,#REF!="NECESSÁRIO AJUSTAR"),"Pendência de TACH",IF(AND(C16&gt;0,#REF!="Aguardando Aprovação"),"Sem Pendência de TACH",IF(AND(C16&gt;0,#REF!="Aprovado"),"Sem Pendência de TACH",IF(AND(C16&gt;0,KL="Finalizado"),"Pendência de TACH",IF(AND(C16&gt;0,KL="Não Criado"),"Pendência de TACH",IF(AND(C16&gt;0,KL="Rascunho"),"Pendência de TACH",IF(AND(C16&gt;0,L16="NECESSÁRIO AJUSTAR"),"Pendência de TACH",IF(AND(C16&gt;0,L16="Aguardando Aprovação"),"Sem Pendência de TACH",IF(AND(C16&gt;0,L16="Aprovado"),"Sem Pendência de TACH"))))))))))))))))))))))))</f>
        <v>Sem Pendência de TACH</v>
      </c>
    </row>
    <row r="17" spans="1:14">
      <c r="A17" s="1">
        <v>3363</v>
      </c>
      <c r="B17" t="s">
        <v>65</v>
      </c>
      <c r="C17" s="2">
        <v>4</v>
      </c>
      <c r="D17" t="s">
        <v>80</v>
      </c>
      <c r="E17" t="s">
        <v>82</v>
      </c>
      <c r="F17" t="s">
        <v>83</v>
      </c>
      <c r="G17" t="s">
        <v>95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tr">
        <f t="shared" si="0"/>
        <v>Pendência de Agenda</v>
      </c>
      <c r="N17" t="str" cm="1">
        <f t="array" ref="N17">IF(AND(C17&gt;0,I17="Finalizado"),"Pendência de TACH",IF(AND(C17&gt;0,I17="Não Criado"),"Pendência de TACH",IF(AND(C17&gt;0,I17="Rascunho"),"Pendência de TACH",IF(AND(C17&gt;0,I17="NECESSÁRIO AJUSTAR"),"Pendência de TACH",IF(AND(C17&gt;0,I17="Aguardando Aprovação"),"Sem Pendência de TACH",IF(AND(C17&gt;0,I17="Aprovado"),"Sem Pendência de TACH",IF(AND(C17&gt;0,K17="Finalizado"),"Pendência de TACH",IF(AND(C17&gt;0,K17="Não Criado"),"Pendência de TACH",IF(AND(C17&gt;0,K17="Rascunho"),"Pendência de TACH",IF(AND(C17&gt;0,K17="NECESSÁRIO AJUSTAR"),"Pendência de TACH",IF(AND(C17&gt;0,K17="Aguardando Aprovação"),"Sem Pendência de TACH",IF(AND(C17&gt;0,K17="Aprovado"),"Sem Pendência de TACH",IF(AND(C17&gt;0,#REF!="Finalizado"),"Pendência de TACH",IF(AND(C17&gt;0,#REF!="Não Criado"),"Pendência de TACH",IF(AND(C17&gt;0,#REF!="Rascunho"),"Pendência de TACH",IF(AND(C17&gt;0,#REF!="NECESSÁRIO AJUSTAR"),"Pendência de TACH",IF(AND(C17&gt;0,#REF!="Aguardando Aprovação"),"Sem Pendência de TACH",IF(AND(C17&gt;0,#REF!="Aprovado"),"Sem Pendência de TACH",IF(AND(C17&gt;0,KL="Finalizado"),"Pendência de TACH",IF(AND(C17&gt;0,KL="Não Criado"),"Pendência de TACH",IF(AND(C17&gt;0,KL="Rascunho"),"Pendência de TACH",IF(AND(C17&gt;0,L17="NECESSÁRIO AJUSTAR"),"Pendência de TACH",IF(AND(C17&gt;0,L17="Aguardando Aprovação"),"Sem Pendência de TACH",IF(AND(C17&gt;0,L17="Aprovado"),"Sem Pendência de TACH"))))))))))))))))))))))))</f>
        <v>Sem Pendência de TACH</v>
      </c>
    </row>
    <row r="18" spans="1:14">
      <c r="A18" s="1">
        <v>90003767</v>
      </c>
      <c r="B18" t="s">
        <v>135</v>
      </c>
      <c r="C18" s="2">
        <v>30</v>
      </c>
      <c r="D18" t="s">
        <v>137</v>
      </c>
      <c r="E18" t="s">
        <v>92</v>
      </c>
      <c r="F18" t="s">
        <v>138</v>
      </c>
      <c r="G18" t="s">
        <v>95</v>
      </c>
      <c r="H18" t="s">
        <v>122</v>
      </c>
      <c r="I18" t="s">
        <v>122</v>
      </c>
      <c r="J18" t="s">
        <v>122</v>
      </c>
      <c r="K18" t="s">
        <v>122</v>
      </c>
      <c r="L18" t="s">
        <v>122</v>
      </c>
      <c r="M18" t="str">
        <f t="shared" si="0"/>
        <v>Pendência de Agenda</v>
      </c>
      <c r="N18" t="str" cm="1">
        <f t="array" ref="N18">IF(AND(C18&gt;0,I18="Finalizado"),"Pendência de TACH",IF(AND(C18&gt;0,I18="Não Criado"),"Pendência de TACH",IF(AND(C18&gt;0,I18="Rascunho"),"Pendência de TACH",IF(AND(C18&gt;0,I18="NECESSÁRIO AJUSTAR"),"Pendência de TACH",IF(AND(C18&gt;0,I18="Aguardando Aprovação"),"Sem Pendência de TACH",IF(AND(C18&gt;0,I18="Aprovado"),"Sem Pendência de TACH",IF(AND(C18&gt;0,K18="Finalizado"),"Pendência de TACH",IF(AND(C18&gt;0,K18="Não Criado"),"Pendência de TACH",IF(AND(C18&gt;0,K18="Rascunho"),"Pendência de TACH",IF(AND(C18&gt;0,K18="NECESSÁRIO AJUSTAR"),"Pendência de TACH",IF(AND(C18&gt;0,K18="Aguardando Aprovação"),"Sem Pendência de TACH",IF(AND(C18&gt;0,K18="Aprovado"),"Sem Pendência de TACH",IF(AND(C18&gt;0,#REF!="Finalizado"),"Pendência de TACH",IF(AND(C18&gt;0,#REF!="Não Criado"),"Pendência de TACH",IF(AND(C18&gt;0,#REF!="Rascunho"),"Pendência de TACH",IF(AND(C18&gt;0,#REF!="NECESSÁRIO AJUSTAR"),"Pendência de TACH",IF(AND(C18&gt;0,#REF!="Aguardando Aprovação"),"Sem Pendência de TACH",IF(AND(C18&gt;0,#REF!="Aprovado"),"Sem Pendência de TACH",IF(AND(C18&gt;0,KL="Finalizado"),"Pendência de TACH",IF(AND(C18&gt;0,KL="Não Criado"),"Pendência de TACH",IF(AND(C18&gt;0,KL="Rascunho"),"Pendência de TACH",IF(AND(C18&gt;0,L18="NECESSÁRIO AJUSTAR"),"Pendência de TACH",IF(AND(C18&gt;0,L18="Aguardando Aprovação"),"Sem Pendência de TACH",IF(AND(C18&gt;0,L18="Aprovado"),"Sem Pendência de TACH"))))))))))))))))))))))))</f>
        <v>Pendência de TACH</v>
      </c>
    </row>
    <row r="19" spans="1:14">
      <c r="A19" s="1">
        <v>90010292</v>
      </c>
      <c r="B19" t="s">
        <v>66</v>
      </c>
      <c r="C19" s="2">
        <v>8</v>
      </c>
      <c r="D19" t="s">
        <v>76</v>
      </c>
      <c r="E19" t="s">
        <v>87</v>
      </c>
      <c r="F19" t="s">
        <v>88</v>
      </c>
      <c r="G19" t="s">
        <v>95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tr">
        <f t="shared" si="0"/>
        <v>Pendência de Agenda</v>
      </c>
      <c r="N19" t="str" cm="1">
        <f t="array" ref="N19">IF(AND(C19&gt;0,I19="Finalizado"),"Pendência de TACH",IF(AND(C19&gt;0,I19="Não Criado"),"Pendência de TACH",IF(AND(C19&gt;0,I19="Rascunho"),"Pendência de TACH",IF(AND(C19&gt;0,I19="NECESSÁRIO AJUSTAR"),"Pendência de TACH",IF(AND(C19&gt;0,I19="Aguardando Aprovação"),"Sem Pendência de TACH",IF(AND(C19&gt;0,I19="Aprovado"),"Sem Pendência de TACH",IF(AND(C19&gt;0,K19="Finalizado"),"Pendência de TACH",IF(AND(C19&gt;0,K19="Não Criado"),"Pendência de TACH",IF(AND(C19&gt;0,K19="Rascunho"),"Pendência de TACH",IF(AND(C19&gt;0,K19="NECESSÁRIO AJUSTAR"),"Pendência de TACH",IF(AND(C19&gt;0,K19="Aguardando Aprovação"),"Sem Pendência de TACH",IF(AND(C19&gt;0,K19="Aprovado"),"Sem Pendência de TACH",IF(AND(C19&gt;0,#REF!="Finalizado"),"Pendência de TACH",IF(AND(C19&gt;0,#REF!="Não Criado"),"Pendência de TACH",IF(AND(C19&gt;0,#REF!="Rascunho"),"Pendência de TACH",IF(AND(C19&gt;0,#REF!="NECESSÁRIO AJUSTAR"),"Pendência de TACH",IF(AND(C19&gt;0,#REF!="Aguardando Aprovação"),"Sem Pendência de TACH",IF(AND(C19&gt;0,#REF!="Aprovado"),"Sem Pendência de TACH",IF(AND(C19&gt;0,KL="Finalizado"),"Pendência de TACH",IF(AND(C19&gt;0,KL="Não Criado"),"Pendência de TACH",IF(AND(C19&gt;0,KL="Rascunho"),"Pendência de TACH",IF(AND(C19&gt;0,L19="NECESSÁRIO AJUSTAR"),"Pendência de TACH",IF(AND(C19&gt;0,L19="Aguardando Aprovação"),"Sem Pendência de TACH",IF(AND(C19&gt;0,L19="Aprovado"),"Sem Pendência de TACH"))))))))))))))))))))))))</f>
        <v>Sem Pendência de TACH</v>
      </c>
    </row>
    <row r="20" spans="1:14">
      <c r="A20" s="1">
        <v>31303</v>
      </c>
      <c r="B20" t="s">
        <v>67</v>
      </c>
      <c r="C20" s="2">
        <v>28</v>
      </c>
      <c r="D20" t="s">
        <v>81</v>
      </c>
      <c r="E20" t="s">
        <v>87</v>
      </c>
      <c r="F20" t="s">
        <v>88</v>
      </c>
      <c r="G20" t="s">
        <v>95</v>
      </c>
      <c r="H20" t="s">
        <v>122</v>
      </c>
      <c r="I20" t="s">
        <v>125</v>
      </c>
      <c r="J20" t="s">
        <v>125</v>
      </c>
      <c r="K20" t="s">
        <v>125</v>
      </c>
      <c r="L20" t="s">
        <v>125</v>
      </c>
      <c r="M20" t="str">
        <f t="shared" si="0"/>
        <v>Pendência de Agenda</v>
      </c>
      <c r="N20" t="str" cm="1">
        <f t="array" ref="N20">IF(AND(C20&gt;0,I20="Finalizado"),"Pendência de TACH",IF(AND(C20&gt;0,I20="Não Criado"),"Pendência de TACH",IF(AND(C20&gt;0,I20="Rascunho"),"Pendência de TACH",IF(AND(C20&gt;0,I20="NECESSÁRIO AJUSTAR"),"Pendência de TACH",IF(AND(C20&gt;0,I20="Aguardando Aprovação"),"Sem Pendência de TACH",IF(AND(C20&gt;0,I20="Aprovado"),"Sem Pendência de TACH",IF(AND(C20&gt;0,K20="Finalizado"),"Pendência de TACH",IF(AND(C20&gt;0,K20="Não Criado"),"Pendência de TACH",IF(AND(C20&gt;0,K20="Rascunho"),"Pendência de TACH",IF(AND(C20&gt;0,K20="NECESSÁRIO AJUSTAR"),"Pendência de TACH",IF(AND(C20&gt;0,K20="Aguardando Aprovação"),"Sem Pendência de TACH",IF(AND(C20&gt;0,K20="Aprovado"),"Sem Pendência de TACH",IF(AND(C20&gt;0,#REF!="Finalizado"),"Pendência de TACH",IF(AND(C20&gt;0,#REF!="Não Criado"),"Pendência de TACH",IF(AND(C20&gt;0,#REF!="Rascunho"),"Pendência de TACH",IF(AND(C20&gt;0,#REF!="NECESSÁRIO AJUSTAR"),"Pendência de TACH",IF(AND(C20&gt;0,#REF!="Aguardando Aprovação"),"Sem Pendência de TACH",IF(AND(C20&gt;0,#REF!="Aprovado"),"Sem Pendência de TACH",IF(AND(C20&gt;0,KL="Finalizado"),"Pendência de TACH",IF(AND(C20&gt;0,KL="Não Criado"),"Pendência de TACH",IF(AND(C20&gt;0,KL="Rascunho"),"Pendência de TACH",IF(AND(C20&gt;0,L20="NECESSÁRIO AJUSTAR"),"Pendência de TACH",IF(AND(C20&gt;0,L20="Aguardando Aprovação"),"Sem Pendência de TACH",IF(AND(C20&gt;0,L20="Aprovado"),"Sem Pendência de TACH"))))))))))))))))))))))))</f>
        <v>Sem Pendência de TACH</v>
      </c>
    </row>
    <row r="21" spans="1:14">
      <c r="A21" s="1">
        <v>90010954</v>
      </c>
      <c r="B21" t="s">
        <v>136</v>
      </c>
      <c r="C21" s="2">
        <v>12</v>
      </c>
      <c r="D21" t="s">
        <v>69</v>
      </c>
      <c r="E21" t="s">
        <v>82</v>
      </c>
      <c r="F21" t="s">
        <v>85</v>
      </c>
      <c r="G21" t="s">
        <v>95</v>
      </c>
      <c r="H21" t="s">
        <v>122</v>
      </c>
      <c r="I21" t="s">
        <v>122</v>
      </c>
      <c r="J21" t="s">
        <v>122</v>
      </c>
      <c r="K21" t="s">
        <v>122</v>
      </c>
      <c r="L21" t="s">
        <v>122</v>
      </c>
      <c r="M21" t="str">
        <f t="shared" si="0"/>
        <v>Pendência de Agenda</v>
      </c>
      <c r="N21" t="str" cm="1">
        <f t="array" ref="N21">IF(AND(C21&gt;0,I21="Finalizado"),"Pendência de TACH",IF(AND(C21&gt;0,I21="Não Criado"),"Pendência de TACH",IF(AND(C21&gt;0,I21="Rascunho"),"Pendência de TACH",IF(AND(C21&gt;0,I21="NECESSÁRIO AJUSTAR"),"Pendência de TACH",IF(AND(C21&gt;0,I21="Aguardando Aprovação"),"Sem Pendência de TACH",IF(AND(C21&gt;0,I21="Aprovado"),"Sem Pendência de TACH",IF(AND(C21&gt;0,K21="Finalizado"),"Pendência de TACH",IF(AND(C21&gt;0,K21="Não Criado"),"Pendência de TACH",IF(AND(C21&gt;0,K21="Rascunho"),"Pendência de TACH",IF(AND(C21&gt;0,K21="NECESSÁRIO AJUSTAR"),"Pendência de TACH",IF(AND(C21&gt;0,K21="Aguardando Aprovação"),"Sem Pendência de TACH",IF(AND(C21&gt;0,K21="Aprovado"),"Sem Pendência de TACH",IF(AND(C21&gt;0,#REF!="Finalizado"),"Pendência de TACH",IF(AND(C21&gt;0,#REF!="Não Criado"),"Pendência de TACH",IF(AND(C21&gt;0,#REF!="Rascunho"),"Pendência de TACH",IF(AND(C21&gt;0,#REF!="NECESSÁRIO AJUSTAR"),"Pendência de TACH",IF(AND(C21&gt;0,#REF!="Aguardando Aprovação"),"Sem Pendência de TACH",IF(AND(C21&gt;0,#REF!="Aprovado"),"Sem Pendência de TACH",IF(AND(C21&gt;0,KL="Finalizado"),"Pendência de TACH",IF(AND(C21&gt;0,KL="Não Criado"),"Pendência de TACH",IF(AND(C21&gt;0,KL="Rascunho"),"Pendência de TACH",IF(AND(C21&gt;0,L21="NECESSÁRIO AJUSTAR"),"Pendência de TACH",IF(AND(C21&gt;0,L21="Aguardando Aprovação"),"Sem Pendência de TACH",IF(AND(C21&gt;0,L21="Aprovado"),"Sem Pendência de TACH"))))))))))))))))))))))))</f>
        <v>Pendência de TACH</v>
      </c>
    </row>
    <row r="22" spans="1:14">
      <c r="A22">
        <v>29942</v>
      </c>
      <c r="B22" t="s">
        <v>139</v>
      </c>
      <c r="C22" s="2">
        <v>18</v>
      </c>
      <c r="D22">
        <v>0</v>
      </c>
      <c r="E22" t="s">
        <v>87</v>
      </c>
      <c r="F22" t="s">
        <v>141</v>
      </c>
      <c r="G22" t="s">
        <v>101</v>
      </c>
      <c r="H22" t="s">
        <v>123</v>
      </c>
      <c r="I22" t="s">
        <v>123</v>
      </c>
      <c r="J22" t="s">
        <v>123</v>
      </c>
      <c r="K22" t="s">
        <v>123</v>
      </c>
      <c r="L22" t="s">
        <v>123</v>
      </c>
      <c r="M22" t="str">
        <f t="shared" si="0"/>
        <v>Sem Pendência</v>
      </c>
      <c r="N22" t="str" cm="1">
        <f t="array" ref="N22">IF(AND(C22&gt;0,I22="Finalizado"),"Pendência de TACH",IF(AND(C22&gt;0,I22="Não Criado"),"Pendência de TACH",IF(AND(C22&gt;0,I22="Rascunho"),"Pendência de TACH",IF(AND(C22&gt;0,I22="NECESSÁRIO AJUSTAR"),"Pendência de TACH",IF(AND(C22&gt;0,I22="Aguardando Aprovação"),"Sem Pendência de TACH",IF(AND(C22&gt;0,I22="Aprovado"),"Sem Pendência de TACH",IF(AND(C22&gt;0,K22="Finalizado"),"Pendência de TACH",IF(AND(C22&gt;0,K22="Não Criado"),"Pendência de TACH",IF(AND(C22&gt;0,K22="Rascunho"),"Pendência de TACH",IF(AND(C22&gt;0,K22="NECESSÁRIO AJUSTAR"),"Pendência de TACH",IF(AND(C22&gt;0,K22="Aguardando Aprovação"),"Sem Pendência de TACH",IF(AND(C22&gt;0,K22="Aprovado"),"Sem Pendência de TACH",IF(AND(C22&gt;0,#REF!="Finalizado"),"Pendência de TACH",IF(AND(C22&gt;0,#REF!="Não Criado"),"Pendência de TACH",IF(AND(C22&gt;0,#REF!="Rascunho"),"Pendência de TACH",IF(AND(C22&gt;0,#REF!="NECESSÁRIO AJUSTAR"),"Pendência de TACH",IF(AND(C22&gt;0,#REF!="Aguardando Aprovação"),"Sem Pendência de TACH",IF(AND(C22&gt;0,#REF!="Aprovado"),"Sem Pendência de TACH",IF(AND(C22&gt;0,KL="Finalizado"),"Pendência de TACH",IF(AND(C22&gt;0,KL="Não Criado"),"Pendência de TACH",IF(AND(C22&gt;0,KL="Rascunho"),"Pendência de TACH",IF(AND(C22&gt;0,L22="NECESSÁRIO AJUSTAR"),"Pendência de TACH",IF(AND(C22&gt;0,L22="Aguardando Aprovação"),"Sem Pendência de TACH",IF(AND(C22&gt;0,L22="Aprovado"),"Sem Pendência de TACH"))))))))))))))))))))))))</f>
        <v>Pendência de TACH</v>
      </c>
    </row>
    <row r="23" spans="1:14">
      <c r="A23">
        <v>20244</v>
      </c>
      <c r="B23" t="s">
        <v>140</v>
      </c>
      <c r="C23" s="2">
        <v>34</v>
      </c>
      <c r="D23">
        <v>0</v>
      </c>
      <c r="E23" t="s">
        <v>82</v>
      </c>
      <c r="F23" t="s">
        <v>142</v>
      </c>
      <c r="G23" t="s">
        <v>101</v>
      </c>
      <c r="H23" t="s">
        <v>123</v>
      </c>
      <c r="I23" t="s">
        <v>123</v>
      </c>
      <c r="J23" t="s">
        <v>123</v>
      </c>
      <c r="K23" t="s">
        <v>123</v>
      </c>
      <c r="L23" t="s">
        <v>123</v>
      </c>
      <c r="M23" t="str">
        <f t="shared" si="0"/>
        <v>Sem Pendência</v>
      </c>
      <c r="N23" t="str" cm="1">
        <f t="array" ref="N23">IF(AND(C23&gt;0,I23="Finalizado"),"Pendência de TACH",IF(AND(C23&gt;0,I23="Não Criado"),"Pendência de TACH",IF(AND(C23&gt;0,I23="Rascunho"),"Pendência de TACH",IF(AND(C23&gt;0,I23="NECESSÁRIO AJUSTAR"),"Pendência de TACH",IF(AND(C23&gt;0,I23="Aguardando Aprovação"),"Sem Pendência de TACH",IF(AND(C23&gt;0,I23="Aprovado"),"Sem Pendência de TACH",IF(AND(C23&gt;0,K23="Finalizado"),"Pendência de TACH",IF(AND(C23&gt;0,K23="Não Criado"),"Pendência de TACH",IF(AND(C23&gt;0,K23="Rascunho"),"Pendência de TACH",IF(AND(C23&gt;0,K23="NECESSÁRIO AJUSTAR"),"Pendência de TACH",IF(AND(C23&gt;0,K23="Aguardando Aprovação"),"Sem Pendência de TACH",IF(AND(C23&gt;0,K23="Aprovado"),"Sem Pendência de TACH",IF(AND(C23&gt;0,#REF!="Finalizado"),"Pendência de TACH",IF(AND(C23&gt;0,#REF!="Não Criado"),"Pendência de TACH",IF(AND(C23&gt;0,#REF!="Rascunho"),"Pendência de TACH",IF(AND(C23&gt;0,#REF!="NECESSÁRIO AJUSTAR"),"Pendência de TACH",IF(AND(C23&gt;0,#REF!="Aguardando Aprovação"),"Sem Pendência de TACH",IF(AND(C23&gt;0,#REF!="Aprovado"),"Sem Pendência de TACH",IF(AND(C23&gt;0,KL="Finalizado"),"Pendência de TACH",IF(AND(C23&gt;0,KL="Não Criado"),"Pendência de TACH",IF(AND(C23&gt;0,KL="Rascunho"),"Pendência de TACH",IF(AND(C23&gt;0,L23="NECESSÁRIO AJUSTAR"),"Pendência de TACH",IF(AND(C23&gt;0,L23="Aguardando Aprovação"),"Sem Pendência de TACH",IF(AND(C23&gt;0,L23="Aprovado"),"Sem Pendência de TACH"))))))))))))))))))))))))</f>
        <v>Pendência de TACH</v>
      </c>
    </row>
    <row r="24" spans="1:14">
      <c r="A24">
        <v>4717</v>
      </c>
      <c r="B24" t="s">
        <v>98</v>
      </c>
      <c r="C24" s="2">
        <v>28</v>
      </c>
      <c r="D24">
        <v>0</v>
      </c>
      <c r="E24" t="s">
        <v>82</v>
      </c>
      <c r="F24" t="s">
        <v>100</v>
      </c>
      <c r="G24" t="s">
        <v>101</v>
      </c>
      <c r="H24" t="s">
        <v>123</v>
      </c>
      <c r="I24" t="s">
        <v>123</v>
      </c>
      <c r="J24" t="s">
        <v>123</v>
      </c>
      <c r="K24" t="s">
        <v>123</v>
      </c>
      <c r="L24" t="s">
        <v>123</v>
      </c>
      <c r="M24" t="str">
        <f t="shared" si="0"/>
        <v>Sem Pendência</v>
      </c>
      <c r="N24" t="str" cm="1">
        <f t="array" ref="N24">IF(AND(C24&gt;0,I24="Finalizado"),"Pendência de TACH",IF(AND(C24&gt;0,I24="Não Criado"),"Pendência de TACH",IF(AND(C24&gt;0,I24="Rascunho"),"Pendência de TACH",IF(AND(C24&gt;0,I24="NECESSÁRIO AJUSTAR"),"Pendência de TACH",IF(AND(C24&gt;0,I24="Aguardando Aprovação"),"Sem Pendência de TACH",IF(AND(C24&gt;0,I24="Aprovado"),"Sem Pendência de TACH",IF(AND(C24&gt;0,K24="Finalizado"),"Pendência de TACH",IF(AND(C24&gt;0,K24="Não Criado"),"Pendência de TACH",IF(AND(C24&gt;0,K24="Rascunho"),"Pendência de TACH",IF(AND(C24&gt;0,K24="NECESSÁRIO AJUSTAR"),"Pendência de TACH",IF(AND(C24&gt;0,K24="Aguardando Aprovação"),"Sem Pendência de TACH",IF(AND(C24&gt;0,K24="Aprovado"),"Sem Pendência de TACH",IF(AND(C24&gt;0,#REF!="Finalizado"),"Pendência de TACH",IF(AND(C24&gt;0,#REF!="Não Criado"),"Pendência de TACH",IF(AND(C24&gt;0,#REF!="Rascunho"),"Pendência de TACH",IF(AND(C24&gt;0,#REF!="NECESSÁRIO AJUSTAR"),"Pendência de TACH",IF(AND(C24&gt;0,#REF!="Aguardando Aprovação"),"Sem Pendência de TACH",IF(AND(C24&gt;0,#REF!="Aprovado"),"Sem Pendência de TACH",IF(AND(C24&gt;0,KL="Finalizado"),"Pendência de TACH",IF(AND(C24&gt;0,KL="Não Criado"),"Pendência de TACH",IF(AND(C24&gt;0,KL="Rascunho"),"Pendência de TACH",IF(AND(C24&gt;0,L24="NECESSÁRIO AJUSTAR"),"Pendência de TACH",IF(AND(C24&gt;0,L24="Aguardando Aprovação"),"Sem Pendência de TACH",IF(AND(C24&gt;0,L24="Aprovado"),"Sem Pendência de TACH"))))))))))))))))))))))))</f>
        <v>Pendência de TACH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3323-81F7-4635-98FF-A1522E442D94}">
  <dimension ref="A1:N69"/>
  <sheetViews>
    <sheetView zoomScale="55" zoomScaleNormal="55" workbookViewId="0">
      <selection activeCell="F21" sqref="F21"/>
    </sheetView>
  </sheetViews>
  <sheetFormatPr defaultRowHeight="15"/>
  <cols>
    <col min="1" max="1" width="11.85546875" bestFit="1" customWidth="1"/>
    <col min="2" max="2" width="45.7109375" customWidth="1"/>
    <col min="3" max="3" width="17.42578125" customWidth="1"/>
    <col min="4" max="4" width="10" customWidth="1"/>
    <col min="5" max="5" width="18.7109375" bestFit="1" customWidth="1"/>
    <col min="6" max="6" width="64.42578125" bestFit="1" customWidth="1"/>
    <col min="7" max="7" width="10.7109375" customWidth="1"/>
    <col min="8" max="10" width="22.28515625" bestFit="1" customWidth="1"/>
    <col min="11" max="11" width="22" bestFit="1" customWidth="1"/>
    <col min="12" max="12" width="22.28515625" bestFit="1" customWidth="1"/>
    <col min="13" max="13" width="19.5703125" bestFit="1" customWidth="1"/>
    <col min="14" max="14" width="17.42578125" bestFit="1" customWidth="1"/>
  </cols>
  <sheetData>
    <row r="1" spans="1:14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8</v>
      </c>
      <c r="H1" t="s">
        <v>42</v>
      </c>
      <c r="I1" s="9" t="s">
        <v>43</v>
      </c>
      <c r="J1" t="s">
        <v>44</v>
      </c>
      <c r="K1" t="s">
        <v>45</v>
      </c>
      <c r="L1" t="s">
        <v>46</v>
      </c>
      <c r="M1" t="s">
        <v>5</v>
      </c>
      <c r="N1" t="s">
        <v>6</v>
      </c>
    </row>
    <row r="2" spans="1:14">
      <c r="A2" s="1">
        <v>8306</v>
      </c>
      <c r="B2" t="s">
        <v>47</v>
      </c>
      <c r="C2" s="2">
        <v>2</v>
      </c>
      <c r="D2" t="s">
        <v>68</v>
      </c>
      <c r="E2" t="s">
        <v>82</v>
      </c>
      <c r="F2" t="s">
        <v>83</v>
      </c>
      <c r="G2" t="s">
        <v>95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t="str">
        <f t="shared" ref="M2:M29" si="0">IF(AND(G2="SIM",D2&gt;0),"Pendência de Agenda",IF(AND(G2="NÃO",D2=0),"Sem Pendência",IF(AND(G2="Sim",D2=0),"Sem Pendência","")))</f>
        <v>Pendência de Agenda</v>
      </c>
      <c r="N2" t="str" cm="1">
        <f t="array" ref="N2">IF(AND(C2&gt;0,I2="Finalizado"),"Pendência de TACH",IF(AND(C2&gt;0,I2="Não Criado"),"Pendência de TACH",IF(AND(C2&gt;0,I2="Rascunho"),"Pendência de TACH",IF(AND(C2&gt;0,I2="NECESSÁRIO AJUSTAR"),"Pendência de TACH",IF(AND(C2&gt;0,I2="Aguardando Aprovação"),"Sem Pendência de TACH",IF(AND(C2&gt;0,I2="Aprovado"),"Sem Pendência de TACH",IF(AND(C2&gt;0,J2="Finalizado"),"Pendência de TACH",IF(AND(C2&gt;0,J2="Não Criado"),"Pendência de TACH",IF(AND(C2&gt;0,J2="Rascunho"),"Pendência de TACH",IF(AND(C2&gt;0,J2="NECESSÁRIO AJUSTAR"),"Pendência de TACH",IF(AND(C2&gt;0,J2="Aguardando Aprovação"),"Sem Pendência de TACH",IF(AND(C2&gt;0,J2="Aprovado"),"Sem Pendência de TACH",IF(AND(C2&gt;0,K2="Finalizado"),"Pendência de TACH",IF(AND(C2&gt;0,K2="Não Criado"),"Pendência de TACH",IF(AND(C2&gt;0,K2="Rascunho"),"Pendência de TACH",IF(AND(C2&gt;0,K2="NECESSÁRIO AJUSTAR"),"Pendência de TACH",IF(AND(C2&gt;0,K2="Aguardando Aprovação"),"Sem Pendência de TACH",IF(AND(C2&gt;0,K2="Aprovado"),"Sem Pendência de TACH",IF(AND(C2&gt;0,KL="Finalizado"),"Pendência de TACH",IF(AND(C2&gt;0,KL="Não Criado"),"Pendência de TACH",IF(AND(C2&gt;0,KL="Rascunho"),"Pendência de TACH",IF(AND(C2&gt;0,L2="NECESSÁRIO AJUSTAR"),"Pendência de TACH",IF(AND(C2&gt;0,L2="Aguardando Aprovação"),"Sem Pendência de TACH",IF(AND(C2&gt;0,L2="Aprovado"),"Sem Pendência de TACH"))))))))))))))))))))))))</f>
        <v>Pendência de TACH</v>
      </c>
    </row>
    <row r="3" spans="1:14">
      <c r="A3" s="1">
        <v>90013836</v>
      </c>
      <c r="B3" t="s">
        <v>48</v>
      </c>
      <c r="C3" s="2">
        <v>2</v>
      </c>
      <c r="D3" t="s">
        <v>68</v>
      </c>
      <c r="E3" t="s">
        <v>82</v>
      </c>
      <c r="F3" t="s">
        <v>83</v>
      </c>
      <c r="G3" t="s">
        <v>95</v>
      </c>
      <c r="H3" t="s">
        <v>123</v>
      </c>
      <c r="I3" t="s">
        <v>123</v>
      </c>
      <c r="J3" t="s">
        <v>123</v>
      </c>
      <c r="K3" t="s">
        <v>123</v>
      </c>
      <c r="L3" t="s">
        <v>123</v>
      </c>
      <c r="M3" t="str">
        <f t="shared" si="0"/>
        <v>Pendência de Agenda</v>
      </c>
      <c r="N3" t="str" cm="1">
        <f t="array" ref="N3">IF(AND(C3&gt;0,I3="Finalizado"),"Pendência de TACH",IF(AND(C3&gt;0,I3="Não Criado"),"Pendência de TACH",IF(AND(C3&gt;0,I3="Rascunho"),"Pendência de TACH",IF(AND(C3&gt;0,I3="NECESSÁRIO AJUSTAR"),"Pendência de TACH",IF(AND(C3&gt;0,I3="Aguardando Aprovação"),"Sem Pendência de TACH",IF(AND(C3&gt;0,I3="Aprovado"),"Sem Pendência de TACH",IF(AND(C3&gt;0,J3="Finalizado"),"Pendência de TACH",IF(AND(C3&gt;0,J3="Não Criado"),"Pendência de TACH",IF(AND(C3&gt;0,J3="Rascunho"),"Pendência de TACH",IF(AND(C3&gt;0,J3="NECESSÁRIO AJUSTAR"),"Pendência de TACH",IF(AND(C3&gt;0,J3="Aguardando Aprovação"),"Sem Pendência de TACH",IF(AND(C3&gt;0,J3="Aprovado"),"Sem Pendência de TACH",IF(AND(C3&gt;0,K3="Finalizado"),"Pendência de TACH",IF(AND(C3&gt;0,K3="Não Criado"),"Pendência de TACH",IF(AND(C3&gt;0,K3="Rascunho"),"Pendência de TACH",IF(AND(C3&gt;0,K3="NECESSÁRIO AJUSTAR"),"Pendência de TACH",IF(AND(C3&gt;0,K3="Aguardando Aprovação"),"Sem Pendência de TACH",IF(AND(C3&gt;0,K3="Aprovado"),"Sem Pendência de TACH",IF(AND(C3&gt;0,KL="Finalizado"),"Pendência de TACH",IF(AND(C3&gt;0,KL="Não Criado"),"Pendência de TACH",IF(AND(C3&gt;0,KL="Rascunho"),"Pendência de TACH",IF(AND(C3&gt;0,L3="NECESSÁRIO AJUSTAR"),"Pendência de TACH",IF(AND(C3&gt;0,L3="Aguardando Aprovação"),"Sem Pendência de TACH",IF(AND(C3&gt;0,L3="Aprovado"),"Sem Pendência de TACH"))))))))))))))))))))))))</f>
        <v>Pendência de TACH</v>
      </c>
    </row>
    <row r="4" spans="1:14">
      <c r="A4" s="1">
        <v>90009703</v>
      </c>
      <c r="B4" t="s">
        <v>49</v>
      </c>
      <c r="C4" s="2">
        <v>18</v>
      </c>
      <c r="D4" t="s">
        <v>70</v>
      </c>
      <c r="E4" t="s">
        <v>82</v>
      </c>
      <c r="F4" t="s">
        <v>85</v>
      </c>
      <c r="G4" t="s">
        <v>95</v>
      </c>
      <c r="H4" t="s">
        <v>124</v>
      </c>
      <c r="I4" t="s">
        <v>124</v>
      </c>
      <c r="J4" t="s">
        <v>124</v>
      </c>
      <c r="K4" t="s">
        <v>124</v>
      </c>
      <c r="L4" t="s">
        <v>124</v>
      </c>
      <c r="M4" t="str">
        <f t="shared" si="0"/>
        <v>Pendência de Agenda</v>
      </c>
      <c r="N4" t="str" cm="1">
        <f t="array" ref="N4">IF(AND(C4&gt;0,I4="Finalizado"),"Pendência de TACH",IF(AND(C4&gt;0,I4="Não Criado"),"Pendência de TACH",IF(AND(C4&gt;0,I4="Rascunho"),"Pendência de TACH",IF(AND(C4&gt;0,I4="NECESSÁRIO AJUSTAR"),"Pendência de TACH",IF(AND(C4&gt;0,I4="Aguardando Aprovação"),"Sem Pendência de TACH",IF(AND(C4&gt;0,I4="Aprovado"),"Sem Pendência de TACH",IF(AND(C4&gt;0,J4="Finalizado"),"Pendência de TACH",IF(AND(C4&gt;0,J4="Não Criado"),"Pendência de TACH",IF(AND(C4&gt;0,J4="Rascunho"),"Pendência de TACH",IF(AND(C4&gt;0,J4="NECESSÁRIO AJUSTAR"),"Pendência de TACH",IF(AND(C4&gt;0,J4="Aguardando Aprovação"),"Sem Pendência de TACH",IF(AND(C4&gt;0,J4="Aprovado"),"Sem Pendência de TACH",IF(AND(C4&gt;0,K4="Finalizado"),"Pendência de TACH",IF(AND(C4&gt;0,K4="Não Criado"),"Pendência de TACH",IF(AND(C4&gt;0,K4="Rascunho"),"Pendência de TACH",IF(AND(C4&gt;0,K4="NECESSÁRIO AJUSTAR"),"Pendência de TACH",IF(AND(C4&gt;0,K4="Aguardando Aprovação"),"Sem Pendência de TACH",IF(AND(C4&gt;0,K4="Aprovado"),"Sem Pendência de TACH",IF(AND(C4&gt;0,KL="Finalizado"),"Pendência de TACH",IF(AND(C4&gt;0,KL="Não Criado"),"Pendência de TACH",IF(AND(C4&gt;0,KL="Rascunho"),"Pendência de TACH",IF(AND(C4&gt;0,L4="NECESSÁRIO AJUSTAR"),"Pendência de TACH",IF(AND(C4&gt;0,L4="Aguardando Aprovação"),"Sem Pendência de TACH",IF(AND(C4&gt;0,L4="Aprovado"),"Sem Pendência de TACH"))))))))))))))))))))))))</f>
        <v>Pendência de TACH</v>
      </c>
    </row>
    <row r="5" spans="1:14">
      <c r="A5" s="1">
        <v>90005226</v>
      </c>
      <c r="B5" t="s">
        <v>51</v>
      </c>
      <c r="C5" s="2">
        <v>14</v>
      </c>
      <c r="D5" t="s">
        <v>73</v>
      </c>
      <c r="E5" t="s">
        <v>87</v>
      </c>
      <c r="F5" t="s">
        <v>88</v>
      </c>
      <c r="G5" t="s">
        <v>95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tr">
        <f t="shared" si="0"/>
        <v>Pendência de Agenda</v>
      </c>
      <c r="N5" t="str" cm="1">
        <f t="array" ref="N5">IF(AND(C5&gt;0,I5="Finalizado"),"Pendência de TACH",IF(AND(C5&gt;0,I5="Não Criado"),"Pendência de TACH",IF(AND(C5&gt;0,I5="Rascunho"),"Pendência de TACH",IF(AND(C5&gt;0,I5="NECESSÁRIO AJUSTAR"),"Pendência de TACH",IF(AND(C5&gt;0,I5="Aguardando Aprovação"),"Sem Pendência de TACH",IF(AND(C5&gt;0,I5="Aprovado"),"Sem Pendência de TACH",IF(AND(C5&gt;0,J5="Finalizado"),"Pendência de TACH",IF(AND(C5&gt;0,J5="Não Criado"),"Pendência de TACH",IF(AND(C5&gt;0,J5="Rascunho"),"Pendência de TACH",IF(AND(C5&gt;0,J5="NECESSÁRIO AJUSTAR"),"Pendência de TACH",IF(AND(C5&gt;0,J5="Aguardando Aprovação"),"Sem Pendência de TACH",IF(AND(C5&gt;0,J5="Aprovado"),"Sem Pendência de TACH",IF(AND(C5&gt;0,K5="Finalizado"),"Pendência de TACH",IF(AND(C5&gt;0,K5="Não Criado"),"Pendência de TACH",IF(AND(C5&gt;0,K5="Rascunho"),"Pendência de TACH",IF(AND(C5&gt;0,K5="NECESSÁRIO AJUSTAR"),"Pendência de TACH",IF(AND(C5&gt;0,K5="Aguardando Aprovação"),"Sem Pendência de TACH",IF(AND(C5&gt;0,K5="Aprovado"),"Sem Pendência de TACH",IF(AND(C5&gt;0,KL="Finalizado"),"Pendência de TACH",IF(AND(C5&gt;0,KL="Não Criado"),"Pendência de TACH",IF(AND(C5&gt;0,KL="Rascunho"),"Pendência de TACH",IF(AND(C5&gt;0,L5="NECESSÁRIO AJUSTAR"),"Pendência de TACH",IF(AND(C5&gt;0,L5="Aguardando Aprovação"),"Sem Pendência de TACH",IF(AND(C5&gt;0,L5="Aprovado"),"Sem Pendência de TACH"))))))))))))))))))))))))</f>
        <v>Sem Pendência de TACH</v>
      </c>
    </row>
    <row r="6" spans="1:14">
      <c r="A6" s="1">
        <v>90013955</v>
      </c>
      <c r="B6" t="s">
        <v>53</v>
      </c>
      <c r="C6" s="2">
        <v>3</v>
      </c>
      <c r="D6" t="s">
        <v>75</v>
      </c>
      <c r="E6" t="s">
        <v>82</v>
      </c>
      <c r="F6" t="s">
        <v>85</v>
      </c>
      <c r="G6" t="s">
        <v>95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tr">
        <f t="shared" si="0"/>
        <v>Pendência de Agenda</v>
      </c>
      <c r="N6" t="str" cm="1">
        <f t="array" ref="N6">IF(AND(C6&gt;0,I6="Finalizado"),"Pendência de TACH",IF(AND(C6&gt;0,I6="Não Criado"),"Pendência de TACH",IF(AND(C6&gt;0,I6="Rascunho"),"Pendência de TACH",IF(AND(C6&gt;0,I6="NECESSÁRIO AJUSTAR"),"Pendência de TACH",IF(AND(C6&gt;0,I6="Aguardando Aprovação"),"Sem Pendência de TACH",IF(AND(C6&gt;0,I6="Aprovado"),"Sem Pendência de TACH",IF(AND(C6&gt;0,J6="Finalizado"),"Pendência de TACH",IF(AND(C6&gt;0,J6="Não Criado"),"Pendência de TACH",IF(AND(C6&gt;0,J6="Rascunho"),"Pendência de TACH",IF(AND(C6&gt;0,J6="NECESSÁRIO AJUSTAR"),"Pendência de TACH",IF(AND(C6&gt;0,J6="Aguardando Aprovação"),"Sem Pendência de TACH",IF(AND(C6&gt;0,J6="Aprovado"),"Sem Pendência de TACH",IF(AND(C6&gt;0,K6="Finalizado"),"Pendência de TACH",IF(AND(C6&gt;0,K6="Não Criado"),"Pendência de TACH",IF(AND(C6&gt;0,K6="Rascunho"),"Pendência de TACH",IF(AND(C6&gt;0,K6="NECESSÁRIO AJUSTAR"),"Pendência de TACH",IF(AND(C6&gt;0,K6="Aguardando Aprovação"),"Sem Pendência de TACH",IF(AND(C6&gt;0,K6="Aprovado"),"Sem Pendência de TACH",IF(AND(C6&gt;0,KL="Finalizado"),"Pendência de TACH",IF(AND(C6&gt;0,KL="Não Criado"),"Pendência de TACH",IF(AND(C6&gt;0,KL="Rascunho"),"Pendência de TACH",IF(AND(C6&gt;0,L6="NECESSÁRIO AJUSTAR"),"Pendência de TACH",IF(AND(C6&gt;0,L6="Aguardando Aprovação"),"Sem Pendência de TACH",IF(AND(C6&gt;0,L6="Aprovado"),"Sem Pendência de TACH"))))))))))))))))))))))))</f>
        <v>Sem Pendência de TACH</v>
      </c>
    </row>
    <row r="7" spans="1:14">
      <c r="A7" s="1">
        <v>23702</v>
      </c>
      <c r="B7" t="s">
        <v>127</v>
      </c>
      <c r="C7" s="2">
        <v>22</v>
      </c>
      <c r="D7" t="s">
        <v>77</v>
      </c>
      <c r="E7" t="s">
        <v>82</v>
      </c>
      <c r="F7" t="s">
        <v>129</v>
      </c>
      <c r="G7" t="s">
        <v>95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tr">
        <f t="shared" si="0"/>
        <v>Pendência de Agenda</v>
      </c>
      <c r="N7" t="str" cm="1">
        <f t="array" ref="N7">IF(AND(C7&gt;0,I7="Finalizado"),"Pendência de TACH",IF(AND(C7&gt;0,I7="Não Criado"),"Pendência de TACH",IF(AND(C7&gt;0,I7="Rascunho"),"Pendência de TACH",IF(AND(C7&gt;0,I7="NECESSÁRIO AJUSTAR"),"Pendência de TACH",IF(AND(C7&gt;0,I7="Aguardando Aprovação"),"Sem Pendência de TACH",IF(AND(C7&gt;0,I7="Aprovado"),"Sem Pendência de TACH",IF(AND(C7&gt;0,J7="Finalizado"),"Pendência de TACH",IF(AND(C7&gt;0,J7="Não Criado"),"Pendência de TACH",IF(AND(C7&gt;0,J7="Rascunho"),"Pendência de TACH",IF(AND(C7&gt;0,J7="NECESSÁRIO AJUSTAR"),"Pendência de TACH",IF(AND(C7&gt;0,J7="Aguardando Aprovação"),"Sem Pendência de TACH",IF(AND(C7&gt;0,J7="Aprovado"),"Sem Pendência de TACH",IF(AND(C7&gt;0,K7="Finalizado"),"Pendência de TACH",IF(AND(C7&gt;0,K7="Não Criado"),"Pendência de TACH",IF(AND(C7&gt;0,K7="Rascunho"),"Pendência de TACH",IF(AND(C7&gt;0,K7="NECESSÁRIO AJUSTAR"),"Pendência de TACH",IF(AND(C7&gt;0,K7="Aguardando Aprovação"),"Sem Pendência de TACH",IF(AND(C7&gt;0,K7="Aprovado"),"Sem Pendência de TACH",IF(AND(C7&gt;0,KL="Finalizado"),"Pendência de TACH",IF(AND(C7&gt;0,KL="Não Criado"),"Pendência de TACH",IF(AND(C7&gt;0,KL="Rascunho"),"Pendência de TACH",IF(AND(C7&gt;0,L7="NECESSÁRIO AJUSTAR"),"Pendência de TACH",IF(AND(C7&gt;0,L7="Aguardando Aprovação"),"Sem Pendência de TACH",IF(AND(C7&gt;0,L7="Aprovado"),"Sem Pendência de TACH"))))))))))))))))))))))))</f>
        <v>Sem Pendência de TACH</v>
      </c>
    </row>
    <row r="8" spans="1:14">
      <c r="A8" s="1">
        <v>90013958</v>
      </c>
      <c r="B8" t="s">
        <v>58</v>
      </c>
      <c r="C8" s="2">
        <v>2</v>
      </c>
      <c r="D8" t="s">
        <v>68</v>
      </c>
      <c r="E8" t="s">
        <v>82</v>
      </c>
      <c r="F8" t="s">
        <v>90</v>
      </c>
      <c r="G8" t="s">
        <v>95</v>
      </c>
      <c r="H8" t="s">
        <v>122</v>
      </c>
      <c r="I8" t="s">
        <v>122</v>
      </c>
      <c r="J8" t="s">
        <v>122</v>
      </c>
      <c r="K8" t="s">
        <v>122</v>
      </c>
      <c r="L8" t="s">
        <v>122</v>
      </c>
      <c r="M8" t="str">
        <f t="shared" si="0"/>
        <v>Pendência de Agenda</v>
      </c>
      <c r="N8" t="str" cm="1">
        <f t="array" ref="N8">IF(AND(C8&gt;0,I8="Finalizado"),"Pendência de TACH",IF(AND(C8&gt;0,I8="Não Criado"),"Pendência de TACH",IF(AND(C8&gt;0,I8="Rascunho"),"Pendência de TACH",IF(AND(C8&gt;0,I8="NECESSÁRIO AJUSTAR"),"Pendência de TACH",IF(AND(C8&gt;0,I8="Aguardando Aprovação"),"Sem Pendência de TACH",IF(AND(C8&gt;0,I8="Aprovado"),"Sem Pendência de TACH",IF(AND(C8&gt;0,J8="Finalizado"),"Pendência de TACH",IF(AND(C8&gt;0,J8="Não Criado"),"Pendência de TACH",IF(AND(C8&gt;0,J8="Rascunho"),"Pendência de TACH",IF(AND(C8&gt;0,J8="NECESSÁRIO AJUSTAR"),"Pendência de TACH",IF(AND(C8&gt;0,J8="Aguardando Aprovação"),"Sem Pendência de TACH",IF(AND(C8&gt;0,J8="Aprovado"),"Sem Pendência de TACH",IF(AND(C8&gt;0,K8="Finalizado"),"Pendência de TACH",IF(AND(C8&gt;0,K8="Não Criado"),"Pendência de TACH",IF(AND(C8&gt;0,K8="Rascunho"),"Pendência de TACH",IF(AND(C8&gt;0,K8="NECESSÁRIO AJUSTAR"),"Pendência de TACH",IF(AND(C8&gt;0,K8="Aguardando Aprovação"),"Sem Pendência de TACH",IF(AND(C8&gt;0,K8="Aprovado"),"Sem Pendência de TACH",IF(AND(C8&gt;0,KL="Finalizado"),"Pendência de TACH",IF(AND(C8&gt;0,KL="Não Criado"),"Pendência de TACH",IF(AND(C8&gt;0,KL="Rascunho"),"Pendência de TACH",IF(AND(C8&gt;0,L8="NECESSÁRIO AJUSTAR"),"Pendência de TACH",IF(AND(C8&gt;0,L8="Aguardando Aprovação"),"Sem Pendência de TACH",IF(AND(C8&gt;0,L8="Aprovado"),"Sem Pendência de TACH"))))))))))))))))))))))))</f>
        <v>Pendência de TACH</v>
      </c>
    </row>
    <row r="9" spans="1:14">
      <c r="A9" s="1">
        <v>90001409</v>
      </c>
      <c r="B9" t="s">
        <v>60</v>
      </c>
      <c r="C9" s="2">
        <v>20</v>
      </c>
      <c r="D9" t="s">
        <v>72</v>
      </c>
      <c r="E9" t="s">
        <v>87</v>
      </c>
      <c r="F9" t="s">
        <v>88</v>
      </c>
      <c r="G9" t="s">
        <v>95</v>
      </c>
      <c r="H9" t="s">
        <v>122</v>
      </c>
      <c r="I9" t="s">
        <v>122</v>
      </c>
      <c r="J9" t="s">
        <v>122</v>
      </c>
      <c r="K9" t="s">
        <v>122</v>
      </c>
      <c r="L9" t="s">
        <v>122</v>
      </c>
      <c r="M9" t="str">
        <f t="shared" si="0"/>
        <v>Pendência de Agenda</v>
      </c>
      <c r="N9" t="str" cm="1">
        <f t="array" ref="N9">IF(AND(C9&gt;0,I9="Finalizado"),"Pendência de TACH",IF(AND(C9&gt;0,I9="Não Criado"),"Pendência de TACH",IF(AND(C9&gt;0,I9="Rascunho"),"Pendência de TACH",IF(AND(C9&gt;0,I9="NECESSÁRIO AJUSTAR"),"Pendência de TACH",IF(AND(C9&gt;0,I9="Aguardando Aprovação"),"Sem Pendência de TACH",IF(AND(C9&gt;0,I9="Aprovado"),"Sem Pendência de TACH",IF(AND(C9&gt;0,J9="Finalizado"),"Pendência de TACH",IF(AND(C9&gt;0,J9="Não Criado"),"Pendência de TACH",IF(AND(C9&gt;0,J9="Rascunho"),"Pendência de TACH",IF(AND(C9&gt;0,J9="NECESSÁRIO AJUSTAR"),"Pendência de TACH",IF(AND(C9&gt;0,J9="Aguardando Aprovação"),"Sem Pendência de TACH",IF(AND(C9&gt;0,J9="Aprovado"),"Sem Pendência de TACH",IF(AND(C9&gt;0,K9="Finalizado"),"Pendência de TACH",IF(AND(C9&gt;0,K9="Não Criado"),"Pendência de TACH",IF(AND(C9&gt;0,K9="Rascunho"),"Pendência de TACH",IF(AND(C9&gt;0,K9="NECESSÁRIO AJUSTAR"),"Pendência de TACH",IF(AND(C9&gt;0,K9="Aguardando Aprovação"),"Sem Pendência de TACH",IF(AND(C9&gt;0,K9="Aprovado"),"Sem Pendência de TACH",IF(AND(C9&gt;0,KL="Finalizado"),"Pendência de TACH",IF(AND(C9&gt;0,KL="Não Criado"),"Pendência de TACH",IF(AND(C9&gt;0,KL="Rascunho"),"Pendência de TACH",IF(AND(C9&gt;0,L9="NECESSÁRIO AJUSTAR"),"Pendência de TACH",IF(AND(C9&gt;0,L9="Aguardando Aprovação"),"Sem Pendência de TACH",IF(AND(C9&gt;0,L9="Aprovado"),"Sem Pendência de TACH"))))))))))))))))))))))))</f>
        <v>Pendência de TACH</v>
      </c>
    </row>
    <row r="10" spans="1:14">
      <c r="A10" s="1">
        <v>90004950</v>
      </c>
      <c r="B10" t="s">
        <v>63</v>
      </c>
      <c r="C10" s="2">
        <v>5</v>
      </c>
      <c r="D10" t="s">
        <v>79</v>
      </c>
      <c r="E10" t="s">
        <v>82</v>
      </c>
      <c r="F10" t="s">
        <v>85</v>
      </c>
      <c r="G10" t="s">
        <v>95</v>
      </c>
      <c r="H10" t="s">
        <v>124</v>
      </c>
      <c r="I10" t="s">
        <v>124</v>
      </c>
      <c r="J10" t="s">
        <v>124</v>
      </c>
      <c r="K10" t="s">
        <v>124</v>
      </c>
      <c r="L10" t="s">
        <v>124</v>
      </c>
      <c r="M10" t="str">
        <f t="shared" si="0"/>
        <v>Pendência de Agenda</v>
      </c>
      <c r="N10" t="str" cm="1">
        <f t="array" ref="N10">IF(AND(C10&gt;0,I10="Finalizado"),"Pendência de TACH",IF(AND(C10&gt;0,I10="Não Criado"),"Pendência de TACH",IF(AND(C10&gt;0,I10="Rascunho"),"Pendência de TACH",IF(AND(C10&gt;0,I10="NECESSÁRIO AJUSTAR"),"Pendência de TACH",IF(AND(C10&gt;0,I10="Aguardando Aprovação"),"Sem Pendência de TACH",IF(AND(C10&gt;0,I10="Aprovado"),"Sem Pendência de TACH",IF(AND(C10&gt;0,J10="Finalizado"),"Pendência de TACH",IF(AND(C10&gt;0,J10="Não Criado"),"Pendência de TACH",IF(AND(C10&gt;0,J10="Rascunho"),"Pendência de TACH",IF(AND(C10&gt;0,J10="NECESSÁRIO AJUSTAR"),"Pendência de TACH",IF(AND(C10&gt;0,J10="Aguardando Aprovação"),"Sem Pendência de TACH",IF(AND(C10&gt;0,J10="Aprovado"),"Sem Pendência de TACH",IF(AND(C10&gt;0,K10="Finalizado"),"Pendência de TACH",IF(AND(C10&gt;0,K10="Não Criado"),"Pendência de TACH",IF(AND(C10&gt;0,K10="Rascunho"),"Pendência de TACH",IF(AND(C10&gt;0,K10="NECESSÁRIO AJUSTAR"),"Pendência de TACH",IF(AND(C10&gt;0,K10="Aguardando Aprovação"),"Sem Pendência de TACH",IF(AND(C10&gt;0,K10="Aprovado"),"Sem Pendência de TACH",IF(AND(C10&gt;0,KL="Finalizado"),"Pendência de TACH",IF(AND(C10&gt;0,KL="Não Criado"),"Pendência de TACH",IF(AND(C10&gt;0,KL="Rascunho"),"Pendência de TACH",IF(AND(C10&gt;0,L10="NECESSÁRIO AJUSTAR"),"Pendência de TACH",IF(AND(C10&gt;0,L10="Aguardando Aprovação"),"Sem Pendência de TACH",IF(AND(C10&gt;0,L10="Aprovado"),"Sem Pendência de TACH"))))))))))))))))))))))))</f>
        <v>Pendência de TACH</v>
      </c>
    </row>
    <row r="11" spans="1:14">
      <c r="A11" s="1">
        <v>90010258</v>
      </c>
      <c r="B11" t="s">
        <v>64</v>
      </c>
      <c r="C11" s="2">
        <v>12</v>
      </c>
      <c r="D11" t="s">
        <v>69</v>
      </c>
      <c r="E11" t="s">
        <v>82</v>
      </c>
      <c r="F11" t="s">
        <v>89</v>
      </c>
      <c r="G11" t="s">
        <v>95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tr">
        <f t="shared" si="0"/>
        <v>Pendência de Agenda</v>
      </c>
      <c r="N11" t="str" cm="1">
        <f t="array" ref="N11">IF(AND(C11&gt;0,I11="Finalizado"),"Pendência de TACH",IF(AND(C11&gt;0,I11="Não Criado"),"Pendência de TACH",IF(AND(C11&gt;0,I11="Rascunho"),"Pendência de TACH",IF(AND(C11&gt;0,I11="NECESSÁRIO AJUSTAR"),"Pendência de TACH",IF(AND(C11&gt;0,I11="Aguardando Aprovação"),"Sem Pendência de TACH",IF(AND(C11&gt;0,I11="Aprovado"),"Sem Pendência de TACH",IF(AND(C11&gt;0,J11="Finalizado"),"Pendência de TACH",IF(AND(C11&gt;0,J11="Não Criado"),"Pendência de TACH",IF(AND(C11&gt;0,J11="Rascunho"),"Pendência de TACH",IF(AND(C11&gt;0,J11="NECESSÁRIO AJUSTAR"),"Pendência de TACH",IF(AND(C11&gt;0,J11="Aguardando Aprovação"),"Sem Pendência de TACH",IF(AND(C11&gt;0,J11="Aprovado"),"Sem Pendência de TACH",IF(AND(C11&gt;0,K11="Finalizado"),"Pendência de TACH",IF(AND(C11&gt;0,K11="Não Criado"),"Pendência de TACH",IF(AND(C11&gt;0,K11="Rascunho"),"Pendência de TACH",IF(AND(C11&gt;0,K11="NECESSÁRIO AJUSTAR"),"Pendência de TACH",IF(AND(C11&gt;0,K11="Aguardando Aprovação"),"Sem Pendência de TACH",IF(AND(C11&gt;0,K11="Aprovado"),"Sem Pendência de TACH",IF(AND(C11&gt;0,KL="Finalizado"),"Pendência de TACH",IF(AND(C11&gt;0,KL="Não Criado"),"Pendência de TACH",IF(AND(C11&gt;0,KL="Rascunho"),"Pendência de TACH",IF(AND(C11&gt;0,L11="NECESSÁRIO AJUSTAR"),"Pendência de TACH",IF(AND(C11&gt;0,L11="Aguardando Aprovação"),"Sem Pendência de TACH",IF(AND(C11&gt;0,L11="Aprovado"),"Sem Pendência de TACH"))))))))))))))))))))))))</f>
        <v>Sem Pendência de TACH</v>
      </c>
    </row>
    <row r="12" spans="1:14">
      <c r="A12" s="1">
        <v>90010292</v>
      </c>
      <c r="B12" t="s">
        <v>66</v>
      </c>
      <c r="C12" s="2">
        <v>8</v>
      </c>
      <c r="D12" t="s">
        <v>76</v>
      </c>
      <c r="E12" t="s">
        <v>87</v>
      </c>
      <c r="F12" t="s">
        <v>88</v>
      </c>
      <c r="G12" t="s">
        <v>95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tr">
        <f t="shared" si="0"/>
        <v>Pendência de Agenda</v>
      </c>
      <c r="N12" t="str" cm="1">
        <f t="array" ref="N12">IF(AND(C12&gt;0,I12="Finalizado"),"Pendência de TACH",IF(AND(C12&gt;0,I12="Não Criado"),"Pendência de TACH",IF(AND(C12&gt;0,I12="Rascunho"),"Pendência de TACH",IF(AND(C12&gt;0,I12="NECESSÁRIO AJUSTAR"),"Pendência de TACH",IF(AND(C12&gt;0,I12="Aguardando Aprovação"),"Sem Pendência de TACH",IF(AND(C12&gt;0,I12="Aprovado"),"Sem Pendência de TACH",IF(AND(C12&gt;0,J12="Finalizado"),"Pendência de TACH",IF(AND(C12&gt;0,J12="Não Criado"),"Pendência de TACH",IF(AND(C12&gt;0,J12="Rascunho"),"Pendência de TACH",IF(AND(C12&gt;0,J12="NECESSÁRIO AJUSTAR"),"Pendência de TACH",IF(AND(C12&gt;0,J12="Aguardando Aprovação"),"Sem Pendência de TACH",IF(AND(C12&gt;0,J12="Aprovado"),"Sem Pendência de TACH",IF(AND(C12&gt;0,K12="Finalizado"),"Pendência de TACH",IF(AND(C12&gt;0,K12="Não Criado"),"Pendência de TACH",IF(AND(C12&gt;0,K12="Rascunho"),"Pendência de TACH",IF(AND(C12&gt;0,K12="NECESSÁRIO AJUSTAR"),"Pendência de TACH",IF(AND(C12&gt;0,K12="Aguardando Aprovação"),"Sem Pendência de TACH",IF(AND(C12&gt;0,K12="Aprovado"),"Sem Pendência de TACH",IF(AND(C12&gt;0,KL="Finalizado"),"Pendência de TACH",IF(AND(C12&gt;0,KL="Não Criado"),"Pendência de TACH",IF(AND(C12&gt;0,KL="Rascunho"),"Pendência de TACH",IF(AND(C12&gt;0,L12="NECESSÁRIO AJUSTAR"),"Pendência de TACH",IF(AND(C12&gt;0,L12="Aguardando Aprovação"),"Sem Pendência de TACH",IF(AND(C12&gt;0,L12="Aprovado"),"Sem Pendência de TACH"))))))))))))))))))))))))</f>
        <v>Sem Pendência de TACH</v>
      </c>
    </row>
    <row r="13" spans="1:14">
      <c r="A13" s="1">
        <v>31303</v>
      </c>
      <c r="B13" t="s">
        <v>67</v>
      </c>
      <c r="C13" s="2">
        <v>28</v>
      </c>
      <c r="D13" t="s">
        <v>81</v>
      </c>
      <c r="E13" t="s">
        <v>87</v>
      </c>
      <c r="F13" t="s">
        <v>88</v>
      </c>
      <c r="G13" t="s">
        <v>95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tr">
        <f t="shared" si="0"/>
        <v>Pendência de Agenda</v>
      </c>
      <c r="N13" t="str" cm="1">
        <f t="array" ref="N13">IF(AND(C13&gt;0,I13="Finalizado"),"Pendência de TACH",IF(AND(C13&gt;0,I13="Não Criado"),"Pendência de TACH",IF(AND(C13&gt;0,I13="Rascunho"),"Pendência de TACH",IF(AND(C13&gt;0,I13="NECESSÁRIO AJUSTAR"),"Pendência de TACH",IF(AND(C13&gt;0,I13="Aguardando Aprovação"),"Sem Pendência de TACH",IF(AND(C13&gt;0,I13="Aprovado"),"Sem Pendência de TACH",IF(AND(C13&gt;0,J13="Finalizado"),"Pendência de TACH",IF(AND(C13&gt;0,J13="Não Criado"),"Pendência de TACH",IF(AND(C13&gt;0,J13="Rascunho"),"Pendência de TACH",IF(AND(C13&gt;0,J13="NECESSÁRIO AJUSTAR"),"Pendência de TACH",IF(AND(C13&gt;0,J13="Aguardando Aprovação"),"Sem Pendência de TACH",IF(AND(C13&gt;0,J13="Aprovado"),"Sem Pendência de TACH",IF(AND(C13&gt;0,K13="Finalizado"),"Pendência de TACH",IF(AND(C13&gt;0,K13="Não Criado"),"Pendência de TACH",IF(AND(C13&gt;0,K13="Rascunho"),"Pendência de TACH",IF(AND(C13&gt;0,K13="NECESSÁRIO AJUSTAR"),"Pendência de TACH",IF(AND(C13&gt;0,K13="Aguardando Aprovação"),"Sem Pendência de TACH",IF(AND(C13&gt;0,K13="Aprovado"),"Sem Pendência de TACH",IF(AND(C13&gt;0,KL="Finalizado"),"Pendência de TACH",IF(AND(C13&gt;0,KL="Não Criado"),"Pendência de TACH",IF(AND(C13&gt;0,KL="Rascunho"),"Pendência de TACH",IF(AND(C13&gt;0,L13="NECESSÁRIO AJUSTAR"),"Pendência de TACH",IF(AND(C13&gt;0,L13="Aguardando Aprovação"),"Sem Pendência de TACH",IF(AND(C13&gt;0,L13="Aprovado"),"Sem Pendência de TACH"))))))))))))))))))))))))</f>
        <v>Sem Pendência de TACH</v>
      </c>
    </row>
    <row r="14" spans="1:14">
      <c r="A14" s="1">
        <v>90010954</v>
      </c>
      <c r="B14" t="s">
        <v>136</v>
      </c>
      <c r="C14" s="2">
        <v>12</v>
      </c>
      <c r="D14" t="s">
        <v>69</v>
      </c>
      <c r="E14" t="s">
        <v>82</v>
      </c>
      <c r="F14" t="s">
        <v>85</v>
      </c>
      <c r="G14" t="s">
        <v>95</v>
      </c>
      <c r="H14" t="s">
        <v>122</v>
      </c>
      <c r="I14" t="s">
        <v>122</v>
      </c>
      <c r="J14" t="s">
        <v>122</v>
      </c>
      <c r="K14" t="s">
        <v>122</v>
      </c>
      <c r="L14" t="s">
        <v>122</v>
      </c>
      <c r="M14" t="str">
        <f t="shared" si="0"/>
        <v>Pendência de Agenda</v>
      </c>
      <c r="N14" t="str" cm="1">
        <f t="array" ref="N14">IF(AND(C14&gt;0,I14="Finalizado"),"Pendência de TACH",IF(AND(C14&gt;0,I14="Não Criado"),"Pendência de TACH",IF(AND(C14&gt;0,I14="Rascunho"),"Pendência de TACH",IF(AND(C14&gt;0,I14="NECESSÁRIO AJUSTAR"),"Pendência de TACH",IF(AND(C14&gt;0,I14="Aguardando Aprovação"),"Sem Pendência de TACH",IF(AND(C14&gt;0,I14="Aprovado"),"Sem Pendência de TACH",IF(AND(C14&gt;0,J14="Finalizado"),"Pendência de TACH",IF(AND(C14&gt;0,J14="Não Criado"),"Pendência de TACH",IF(AND(C14&gt;0,J14="Rascunho"),"Pendência de TACH",IF(AND(C14&gt;0,J14="NECESSÁRIO AJUSTAR"),"Pendência de TACH",IF(AND(C14&gt;0,J14="Aguardando Aprovação"),"Sem Pendência de TACH",IF(AND(C14&gt;0,J14="Aprovado"),"Sem Pendência de TACH",IF(AND(C14&gt;0,K14="Finalizado"),"Pendência de TACH",IF(AND(C14&gt;0,K14="Não Criado"),"Pendência de TACH",IF(AND(C14&gt;0,K14="Rascunho"),"Pendência de TACH",IF(AND(C14&gt;0,K14="NECESSÁRIO AJUSTAR"),"Pendência de TACH",IF(AND(C14&gt;0,K14="Aguardando Aprovação"),"Sem Pendência de TACH",IF(AND(C14&gt;0,K14="Aprovado"),"Sem Pendência de TACH",IF(AND(C14&gt;0,KL="Finalizado"),"Pendência de TACH",IF(AND(C14&gt;0,KL="Não Criado"),"Pendência de TACH",IF(AND(C14&gt;0,KL="Rascunho"),"Pendência de TACH",IF(AND(C14&gt;0,L14="NECESSÁRIO AJUSTAR"),"Pendência de TACH",IF(AND(C14&gt;0,L14="Aguardando Aprovação"),"Sem Pendência de TACH",IF(AND(C14&gt;0,L14="Aprovado"),"Sem Pendência de TACH"))))))))))))))))))))))))</f>
        <v>Pendência de TACH</v>
      </c>
    </row>
    <row r="15" spans="1:14">
      <c r="A15">
        <v>4717</v>
      </c>
      <c r="B15" t="s">
        <v>98</v>
      </c>
      <c r="C15" s="2">
        <v>28</v>
      </c>
      <c r="D15" s="2">
        <v>0</v>
      </c>
      <c r="E15" t="s">
        <v>82</v>
      </c>
      <c r="F15" t="s">
        <v>100</v>
      </c>
      <c r="G15" t="s">
        <v>101</v>
      </c>
      <c r="H15" t="s">
        <v>123</v>
      </c>
      <c r="I15" t="s">
        <v>123</v>
      </c>
      <c r="J15" t="s">
        <v>123</v>
      </c>
      <c r="K15" t="s">
        <v>123</v>
      </c>
      <c r="L15" t="s">
        <v>123</v>
      </c>
      <c r="M15" t="str">
        <f t="shared" si="0"/>
        <v>Sem Pendência</v>
      </c>
      <c r="N15" t="str" cm="1">
        <f t="array" ref="N15">IF(AND(C15&gt;0,I15="Finalizado"),"Pendência de TACH",IF(AND(C15&gt;0,I15="Não Criado"),"Pendência de TACH",IF(AND(C15&gt;0,I15="Rascunho"),"Pendência de TACH",IF(AND(C15&gt;0,I15="NECESSÁRIO AJUSTAR"),"Pendência de TACH",IF(AND(C15&gt;0,I15="Aguardando Aprovação"),"Sem Pendência de TACH",IF(AND(C15&gt;0,I15="Aprovado"),"Sem Pendência de TACH",IF(AND(C15&gt;0,J15="Finalizado"),"Pendência de TACH",IF(AND(C15&gt;0,J15="Não Criado"),"Pendência de TACH",IF(AND(C15&gt;0,J15="Rascunho"),"Pendência de TACH",IF(AND(C15&gt;0,J15="NECESSÁRIO AJUSTAR"),"Pendência de TACH",IF(AND(C15&gt;0,J15="Aguardando Aprovação"),"Sem Pendência de TACH",IF(AND(C15&gt;0,J15="Aprovado"),"Sem Pendência de TACH",IF(AND(C15&gt;0,K15="Finalizado"),"Pendência de TACH",IF(AND(C15&gt;0,K15="Não Criado"),"Pendência de TACH",IF(AND(C15&gt;0,K15="Rascunho"),"Pendência de TACH",IF(AND(C15&gt;0,K15="NECESSÁRIO AJUSTAR"),"Pendência de TACH",IF(AND(C15&gt;0,K15="Aguardando Aprovação"),"Sem Pendência de TACH",IF(AND(C15&gt;0,K15="Aprovado"),"Sem Pendência de TACH",IF(AND(C15&gt;0,KL="Finalizado"),"Pendência de TACH",IF(AND(C15&gt;0,KL="Não Criado"),"Pendência de TACH",IF(AND(C15&gt;0,KL="Rascunho"),"Pendência de TACH",IF(AND(C15&gt;0,L15="NECESSÁRIO AJUSTAR"),"Pendência de TACH",IF(AND(C15&gt;0,L15="Aguardando Aprovação"),"Sem Pendência de TACH",IF(AND(C15&gt;0,L15="Aprovado"),"Sem Pendência de TACH"))))))))))))))))))))))))</f>
        <v>Pendência de TACH</v>
      </c>
    </row>
    <row r="16" spans="1:14">
      <c r="A16">
        <v>32701</v>
      </c>
      <c r="B16" t="s">
        <v>143</v>
      </c>
      <c r="C16" s="2">
        <v>19</v>
      </c>
      <c r="D16">
        <v>0</v>
      </c>
      <c r="E16" t="s">
        <v>87</v>
      </c>
      <c r="F16" t="s">
        <v>141</v>
      </c>
      <c r="G16" t="s">
        <v>95</v>
      </c>
      <c r="H16" t="s">
        <v>123</v>
      </c>
      <c r="I16" t="s">
        <v>124</v>
      </c>
      <c r="J16" t="s">
        <v>124</v>
      </c>
      <c r="K16" t="s">
        <v>124</v>
      </c>
      <c r="L16" t="s">
        <v>124</v>
      </c>
      <c r="M16" t="str">
        <f t="shared" si="0"/>
        <v>Sem Pendência</v>
      </c>
      <c r="N16" t="str" cm="1">
        <f t="array" ref="N16">IF(AND(C16&gt;0,I16="Finalizado"),"Pendência de TACH",IF(AND(C16&gt;0,I16="Não Criado"),"Pendência de TACH",IF(AND(C16&gt;0,I16="Rascunho"),"Pendência de TACH",IF(AND(C16&gt;0,I16="NECESSÁRIO AJUSTAR"),"Pendência de TACH",IF(AND(C16&gt;0,I16="Aguardando Aprovação"),"Sem Pendência de TACH",IF(AND(C16&gt;0,I16="Aprovado"),"Sem Pendência de TACH",IF(AND(C16&gt;0,J16="Finalizado"),"Pendência de TACH",IF(AND(C16&gt;0,J16="Não Criado"),"Pendência de TACH",IF(AND(C16&gt;0,J16="Rascunho"),"Pendência de TACH",IF(AND(C16&gt;0,J16="NECESSÁRIO AJUSTAR"),"Pendência de TACH",IF(AND(C16&gt;0,J16="Aguardando Aprovação"),"Sem Pendência de TACH",IF(AND(C16&gt;0,J16="Aprovado"),"Sem Pendência de TACH",IF(AND(C16&gt;0,K16="Finalizado"),"Pendência de TACH",IF(AND(C16&gt;0,K16="Não Criado"),"Pendência de TACH",IF(AND(C16&gt;0,K16="Rascunho"),"Pendência de TACH",IF(AND(C16&gt;0,K16="NECESSÁRIO AJUSTAR"),"Pendência de TACH",IF(AND(C16&gt;0,K16="Aguardando Aprovação"),"Sem Pendência de TACH",IF(AND(C16&gt;0,K16="Aprovado"),"Sem Pendência de TACH",IF(AND(C16&gt;0,KL="Finalizado"),"Pendência de TACH",IF(AND(C16&gt;0,KL="Não Criado"),"Pendência de TACH",IF(AND(C16&gt;0,KL="Rascunho"),"Pendência de TACH",IF(AND(C16&gt;0,L16="NECESSÁRIO AJUSTAR"),"Pendência de TACH",IF(AND(C16&gt;0,L16="Aguardando Aprovação"),"Sem Pendência de TACH",IF(AND(C16&gt;0,L16="Aprovado"),"Sem Pendência de TACH"))))))))))))))))))))))))</f>
        <v>Pendência de TACH</v>
      </c>
    </row>
    <row r="17" spans="1:14">
      <c r="A17" s="1"/>
      <c r="C17" s="2"/>
      <c r="M17" t="str">
        <f t="shared" si="0"/>
        <v/>
      </c>
      <c r="N17" t="e" cm="1">
        <f t="array" ref="N17">IF(AND(C17&gt;0,I17="Finalizado"),"Pendência de TACH",IF(AND(C17&gt;0,I17="Não Criado"),"Pendência de TACH",IF(AND(C17&gt;0,I17="Rascunho"),"Pendência de TACH",IF(AND(C17&gt;0,I17="NECESSÁRIO AJUSTAR"),"Pendência de TACH",IF(AND(C17&gt;0,I17="Aguardando Aprovação"),"Sem Pendência de TACH",IF(AND(C17&gt;0,I17="Aprovado"),"Sem Pendência de TACH",IF(AND(C17&gt;0,J17="Finalizado"),"Pendência de TACH",IF(AND(C17&gt;0,J17="Não Criado"),"Pendência de TACH",IF(AND(C17&gt;0,J17="Rascunho"),"Pendência de TACH",IF(AND(C17&gt;0,J17="NECESSÁRIO AJUSTAR"),"Pendência de TACH",IF(AND(C17&gt;0,J17="Aguardando Aprovação"),"Sem Pendência de TACH",IF(AND(C17&gt;0,J17="Aprovado"),"Sem Pendência de TACH",IF(AND(C17&gt;0,K17="Finalizado"),"Pendência de TACH",IF(AND(C17&gt;0,K17="Não Criado"),"Pendência de TACH",IF(AND(C17&gt;0,K17="Rascunho"),"Pendência de TACH",IF(AND(C17&gt;0,K17="NECESSÁRIO AJUSTAR"),"Pendência de TACH",IF(AND(C17&gt;0,K17="Aguardando Aprovação"),"Sem Pendência de TACH",IF(AND(C17&gt;0,K17="Aprovado"),"Sem Pendência de TACH",IF(AND(C17&gt;0,KL="Finalizado"),"Pendência de TACH",IF(AND(C17&gt;0,KL="Não Criado"),"Pendência de TACH",IF(AND(C17&gt;0,KL="Rascunho"),"Pendência de TACH",IF(AND(C17&gt;0,L17="NECESSÁRIO AJUSTAR"),"Pendência de TACH",IF(AND(C17&gt;0,L17="Aguardando Aprovação"),"Sem Pendência de TACH",IF(AND(C17&gt;0,L17="Aprovado"),"Sem Pendência de TACH"))))))))))))))))))))))))</f>
        <v>#NAME?</v>
      </c>
    </row>
    <row r="18" spans="1:14">
      <c r="A18" s="1"/>
      <c r="C18" s="2"/>
      <c r="M18" t="str">
        <f t="shared" si="0"/>
        <v/>
      </c>
      <c r="N18" t="e" cm="1">
        <f t="array" ref="N18">IF(AND(C18&gt;0,I18="Finalizado"),"Pendência de TACH",IF(AND(C18&gt;0,I18="Não Criado"),"Pendência de TACH",IF(AND(C18&gt;0,I18="Rascunho"),"Pendência de TACH",IF(AND(C18&gt;0,I18="NECESSÁRIO AJUSTAR"),"Pendência de TACH",IF(AND(C18&gt;0,I18="Aguardando Aprovação"),"Sem Pendência de TACH",IF(AND(C18&gt;0,I18="Aprovado"),"Sem Pendência de TACH",IF(AND(C18&gt;0,J18="Finalizado"),"Pendência de TACH",IF(AND(C18&gt;0,J18="Não Criado"),"Pendência de TACH",IF(AND(C18&gt;0,J18="Rascunho"),"Pendência de TACH",IF(AND(C18&gt;0,J18="NECESSÁRIO AJUSTAR"),"Pendência de TACH",IF(AND(C18&gt;0,J18="Aguardando Aprovação"),"Sem Pendência de TACH",IF(AND(C18&gt;0,J18="Aprovado"),"Sem Pendência de TACH",IF(AND(C18&gt;0,K18="Finalizado"),"Pendência de TACH",IF(AND(C18&gt;0,K18="Não Criado"),"Pendência de TACH",IF(AND(C18&gt;0,K18="Rascunho"),"Pendência de TACH",IF(AND(C18&gt;0,K18="NECESSÁRIO AJUSTAR"),"Pendência de TACH",IF(AND(C18&gt;0,K18="Aguardando Aprovação"),"Sem Pendência de TACH",IF(AND(C18&gt;0,K18="Aprovado"),"Sem Pendência de TACH",IF(AND(C18&gt;0,KL="Finalizado"),"Pendência de TACH",IF(AND(C18&gt;0,KL="Não Criado"),"Pendência de TACH",IF(AND(C18&gt;0,KL="Rascunho"),"Pendência de TACH",IF(AND(C18&gt;0,L18="NECESSÁRIO AJUSTAR"),"Pendência de TACH",IF(AND(C18&gt;0,L18="Aguardando Aprovação"),"Sem Pendência de TACH",IF(AND(C18&gt;0,L18="Aprovado"),"Sem Pendência de TACH"))))))))))))))))))))))))</f>
        <v>#NAME?</v>
      </c>
    </row>
    <row r="19" spans="1:14">
      <c r="A19" s="1"/>
      <c r="C19" s="2"/>
      <c r="M19" t="str">
        <f t="shared" si="0"/>
        <v/>
      </c>
      <c r="N19" t="e" cm="1">
        <f t="array" ref="N19">IF(AND(C19&gt;0,I19="Finalizado"),"Pendência de TACH",IF(AND(C19&gt;0,I19="Não Criado"),"Pendência de TACH",IF(AND(C19&gt;0,I19="Rascunho"),"Pendência de TACH",IF(AND(C19&gt;0,I19="NECESSÁRIO AJUSTAR"),"Pendência de TACH",IF(AND(C19&gt;0,I19="Aguardando Aprovação"),"Sem Pendência de TACH",IF(AND(C19&gt;0,I19="Aprovado"),"Sem Pendência de TACH",IF(AND(C19&gt;0,J19="Finalizado"),"Pendência de TACH",IF(AND(C19&gt;0,J19="Não Criado"),"Pendência de TACH",IF(AND(C19&gt;0,J19="Rascunho"),"Pendência de TACH",IF(AND(C19&gt;0,J19="NECESSÁRIO AJUSTAR"),"Pendência de TACH",IF(AND(C19&gt;0,J19="Aguardando Aprovação"),"Sem Pendência de TACH",IF(AND(C19&gt;0,J19="Aprovado"),"Sem Pendência de TACH",IF(AND(C19&gt;0,K19="Finalizado"),"Pendência de TACH",IF(AND(C19&gt;0,K19="Não Criado"),"Pendência de TACH",IF(AND(C19&gt;0,K19="Rascunho"),"Pendência de TACH",IF(AND(C19&gt;0,K19="NECESSÁRIO AJUSTAR"),"Pendência de TACH",IF(AND(C19&gt;0,K19="Aguardando Aprovação"),"Sem Pendência de TACH",IF(AND(C19&gt;0,K19="Aprovado"),"Sem Pendência de TACH",IF(AND(C19&gt;0,KL="Finalizado"),"Pendência de TACH",IF(AND(C19&gt;0,KL="Não Criado"),"Pendência de TACH",IF(AND(C19&gt;0,KL="Rascunho"),"Pendência de TACH",IF(AND(C19&gt;0,L19="NECESSÁRIO AJUSTAR"),"Pendência de TACH",IF(AND(C19&gt;0,L19="Aguardando Aprovação"),"Sem Pendência de TACH",IF(AND(C19&gt;0,L19="Aprovado"),"Sem Pendência de TACH"))))))))))))))))))))))))</f>
        <v>#NAME?</v>
      </c>
    </row>
    <row r="20" spans="1:14">
      <c r="A20" s="1"/>
      <c r="C20" s="2"/>
      <c r="M20" t="str">
        <f t="shared" si="0"/>
        <v/>
      </c>
      <c r="N20" t="e" cm="1">
        <f t="array" ref="N20">IF(AND(C20&gt;0,I20="Finalizado"),"Pendência de TACH",IF(AND(C20&gt;0,I20="Não Criado"),"Pendência de TACH",IF(AND(C20&gt;0,I20="Rascunho"),"Pendência de TACH",IF(AND(C20&gt;0,I20="NECESSÁRIO AJUSTAR"),"Pendência de TACH",IF(AND(C20&gt;0,I20="Aguardando Aprovação"),"Sem Pendência de TACH",IF(AND(C20&gt;0,I20="Aprovado"),"Sem Pendência de TACH",IF(AND(C20&gt;0,J20="Finalizado"),"Pendência de TACH",IF(AND(C20&gt;0,J20="Não Criado"),"Pendência de TACH",IF(AND(C20&gt;0,J20="Rascunho"),"Pendência de TACH",IF(AND(C20&gt;0,J20="NECESSÁRIO AJUSTAR"),"Pendência de TACH",IF(AND(C20&gt;0,J20="Aguardando Aprovação"),"Sem Pendência de TACH",IF(AND(C20&gt;0,J20="Aprovado"),"Sem Pendência de TACH",IF(AND(C20&gt;0,K20="Finalizado"),"Pendência de TACH",IF(AND(C20&gt;0,K20="Não Criado"),"Pendência de TACH",IF(AND(C20&gt;0,K20="Rascunho"),"Pendência de TACH",IF(AND(C20&gt;0,K20="NECESSÁRIO AJUSTAR"),"Pendência de TACH",IF(AND(C20&gt;0,K20="Aguardando Aprovação"),"Sem Pendência de TACH",IF(AND(C20&gt;0,K20="Aprovado"),"Sem Pendência de TACH",IF(AND(C20&gt;0,KL="Finalizado"),"Pendência de TACH",IF(AND(C20&gt;0,KL="Não Criado"),"Pendência de TACH",IF(AND(C20&gt;0,KL="Rascunho"),"Pendência de TACH",IF(AND(C20&gt;0,L20="NECESSÁRIO AJUSTAR"),"Pendência de TACH",IF(AND(C20&gt;0,L20="Aguardando Aprovação"),"Sem Pendência de TACH",IF(AND(C20&gt;0,L20="Aprovado"),"Sem Pendência de TACH"))))))))))))))))))))))))</f>
        <v>#NAME?</v>
      </c>
    </row>
    <row r="21" spans="1:14">
      <c r="C21" s="2"/>
      <c r="D21" s="2"/>
      <c r="M21" t="str">
        <f>IF(AND(G21="SIM",D22&gt;0),"Pendência de Agenda",IF(AND(G21="NÃO",D22=0),"Sem Pendência",IF(AND(G21="Sim",D22=0),"Sem Pendência","")))</f>
        <v/>
      </c>
      <c r="N21" t="e" cm="1">
        <f t="array" ref="N21">IF(AND(C21&gt;0,I21="Finalizado"),"Pendência de TACH",IF(AND(C21&gt;0,I21="Não Criado"),"Pendência de TACH",IF(AND(C21&gt;0,I21="Rascunho"),"Pendência de TACH",IF(AND(C21&gt;0,I21="NECESSÁRIO AJUSTAR"),"Pendência de TACH",IF(AND(C21&gt;0,I21="Aguardando Aprovação"),"Sem Pendência de TACH",IF(AND(C21&gt;0,I21="Aprovado"),"Sem Pendência de TACH",IF(AND(C21&gt;0,J21="Finalizado"),"Pendência de TACH",IF(AND(C21&gt;0,J21="Não Criado"),"Pendência de TACH",IF(AND(C21&gt;0,J21="Rascunho"),"Pendência de TACH",IF(AND(C21&gt;0,J21="NECESSÁRIO AJUSTAR"),"Pendência de TACH",IF(AND(C21&gt;0,J21="Aguardando Aprovação"),"Sem Pendência de TACH",IF(AND(C21&gt;0,J21="Aprovado"),"Sem Pendência de TACH",IF(AND(C21&gt;0,K21="Finalizado"),"Pendência de TACH",IF(AND(C21&gt;0,K21="Não Criado"),"Pendência de TACH",IF(AND(C21&gt;0,K21="Rascunho"),"Pendência de TACH",IF(AND(C21&gt;0,K21="NECESSÁRIO AJUSTAR"),"Pendência de TACH",IF(AND(C21&gt;0,K21="Aguardando Aprovação"),"Sem Pendência de TACH",IF(AND(C21&gt;0,K21="Aprovado"),"Sem Pendência de TACH",IF(AND(C21&gt;0,KL="Finalizado"),"Pendência de TACH",IF(AND(C21&gt;0,KL="Não Criado"),"Pendência de TACH",IF(AND(C21&gt;0,KL="Rascunho"),"Pendência de TACH",IF(AND(C21&gt;0,L21="NECESSÁRIO AJUSTAR"),"Pendência de TACH",IF(AND(C21&gt;0,L21="Aguardando Aprovação"),"Sem Pendência de TACH",IF(AND(C21&gt;0,L21="Aprovado"),"Sem Pendência de TACH"))))))))))))))))))))))))</f>
        <v>#NAME?</v>
      </c>
    </row>
    <row r="22" spans="1:14">
      <c r="C22" s="2"/>
      <c r="D22" s="2"/>
      <c r="M22" t="str">
        <f t="shared" si="0"/>
        <v/>
      </c>
      <c r="N22" t="e" cm="1">
        <f t="array" ref="N22">IF(AND(C22&gt;0,I22="Finalizado"),"Pendência de TACH",IF(AND(C22&gt;0,I22="Não Criado"),"Pendência de TACH",IF(AND(C22&gt;0,I22="Rascunho"),"Pendência de TACH",IF(AND(C22&gt;0,I22="NECESSÁRIO AJUSTAR"),"Pendência de TACH",IF(AND(C22&gt;0,I22="Aguardando Aprovação"),"Sem Pendência de TACH",IF(AND(C22&gt;0,I22="Aprovado"),"Sem Pendência de TACH",IF(AND(C22&gt;0,J22="Finalizado"),"Pendência de TACH",IF(AND(C22&gt;0,J22="Não Criado"),"Pendência de TACH",IF(AND(C22&gt;0,J22="Rascunho"),"Pendência de TACH",IF(AND(C22&gt;0,J22="NECESSÁRIO AJUSTAR"),"Pendência de TACH",IF(AND(C22&gt;0,J22="Aguardando Aprovação"),"Sem Pendência de TACH",IF(AND(C22&gt;0,J22="Aprovado"),"Sem Pendência de TACH",IF(AND(C22&gt;0,K22="Finalizado"),"Pendência de TACH",IF(AND(C22&gt;0,K22="Não Criado"),"Pendência de TACH",IF(AND(C22&gt;0,K22="Rascunho"),"Pendência de TACH",IF(AND(C22&gt;0,K22="NECESSÁRIO AJUSTAR"),"Pendência de TACH",IF(AND(C22&gt;0,K22="Aguardando Aprovação"),"Sem Pendência de TACH",IF(AND(C22&gt;0,K22="Aprovado"),"Sem Pendência de TACH",IF(AND(C22&gt;0,KL="Finalizado"),"Pendência de TACH",IF(AND(C22&gt;0,KL="Não Criado"),"Pendência de TACH",IF(AND(C22&gt;0,KL="Rascunho"),"Pendência de TACH",IF(AND(C22&gt;0,L22="NECESSÁRIO AJUSTAR"),"Pendência de TACH",IF(AND(C22&gt;0,L22="Aguardando Aprovação"),"Sem Pendência de TACH",IF(AND(C22&gt;0,L22="Aprovado"),"Sem Pendência de TACH"))))))))))))))))))))))))</f>
        <v>#NAME?</v>
      </c>
    </row>
    <row r="23" spans="1:14">
      <c r="C23" s="2"/>
      <c r="D23" s="2"/>
      <c r="M23" t="str">
        <f t="shared" si="0"/>
        <v/>
      </c>
      <c r="N23" t="e" cm="1">
        <f t="array" ref="N23">IF(AND(C23&gt;0,I23="Finalizado"),"Pendência de TACH",IF(AND(C23&gt;0,I23="Não Criado"),"Pendência de TACH",IF(AND(C23&gt;0,I23="Rascunho"),"Pendência de TACH",IF(AND(C23&gt;0,I23="NECESSÁRIO AJUSTAR"),"Pendência de TACH",IF(AND(C23&gt;0,I23="Aguardando Aprovação"),"Sem Pendência de TACH",IF(AND(C23&gt;0,I23="Aprovado"),"Sem Pendência de TACH",IF(AND(C23&gt;0,J23="Finalizado"),"Pendência de TACH",IF(AND(C23&gt;0,J23="Não Criado"),"Pendência de TACH",IF(AND(C23&gt;0,J23="Rascunho"),"Pendência de TACH",IF(AND(C23&gt;0,J23="NECESSÁRIO AJUSTAR"),"Pendência de TACH",IF(AND(C23&gt;0,J23="Aguardando Aprovação"),"Sem Pendência de TACH",IF(AND(C23&gt;0,J23="Aprovado"),"Sem Pendência de TACH",IF(AND(C23&gt;0,K23="Finalizado"),"Pendência de TACH",IF(AND(C23&gt;0,K23="Não Criado"),"Pendência de TACH",IF(AND(C23&gt;0,K23="Rascunho"),"Pendência de TACH",IF(AND(C23&gt;0,K23="NECESSÁRIO AJUSTAR"),"Pendência de TACH",IF(AND(C23&gt;0,K23="Aguardando Aprovação"),"Sem Pendência de TACH",IF(AND(C23&gt;0,K23="Aprovado"),"Sem Pendência de TACH",IF(AND(C23&gt;0,KL="Finalizado"),"Pendência de TACH",IF(AND(C23&gt;0,KL="Não Criado"),"Pendência de TACH",IF(AND(C23&gt;0,KL="Rascunho"),"Pendência de TACH",IF(AND(C23&gt;0,L23="NECESSÁRIO AJUSTAR"),"Pendência de TACH",IF(AND(C23&gt;0,L23="Aguardando Aprovação"),"Sem Pendência de TACH",IF(AND(C23&gt;0,L23="Aprovado"),"Sem Pendência de TACH"))))))))))))))))))))))))</f>
        <v>#NAME?</v>
      </c>
    </row>
    <row r="24" spans="1:14">
      <c r="C24" s="2"/>
      <c r="D24" s="2"/>
      <c r="M24" t="str">
        <f t="shared" si="0"/>
        <v/>
      </c>
      <c r="N24" t="e" cm="1">
        <f t="array" ref="N24">IF(AND(C24&gt;0,I24="Finalizado"),"Pendência de TACH",IF(AND(C24&gt;0,I24="Não Criado"),"Pendência de TACH",IF(AND(C24&gt;0,I24="Rascunho"),"Pendência de TACH",IF(AND(C24&gt;0,I24="NECESSÁRIO AJUSTAR"),"Pendência de TACH",IF(AND(C24&gt;0,I24="Aguardando Aprovação"),"Sem Pendência de TACH",IF(AND(C24&gt;0,I24="Aprovado"),"Sem Pendência de TACH",IF(AND(C24&gt;0,J24="Finalizado"),"Pendência de TACH",IF(AND(C24&gt;0,J24="Não Criado"),"Pendência de TACH",IF(AND(C24&gt;0,J24="Rascunho"),"Pendência de TACH",IF(AND(C24&gt;0,J24="NECESSÁRIO AJUSTAR"),"Pendência de TACH",IF(AND(C24&gt;0,J24="Aguardando Aprovação"),"Sem Pendência de TACH",IF(AND(C24&gt;0,J24="Aprovado"),"Sem Pendência de TACH",IF(AND(C24&gt;0,K24="Finalizado"),"Pendência de TACH",IF(AND(C24&gt;0,K24="Não Criado"),"Pendência de TACH",IF(AND(C24&gt;0,K24="Rascunho"),"Pendência de TACH",IF(AND(C24&gt;0,K24="NECESSÁRIO AJUSTAR"),"Pendência de TACH",IF(AND(C24&gt;0,K24="Aguardando Aprovação"),"Sem Pendência de TACH",IF(AND(C24&gt;0,K24="Aprovado"),"Sem Pendência de TACH",IF(AND(C24&gt;0,KL="Finalizado"),"Pendência de TACH",IF(AND(C24&gt;0,KL="Não Criado"),"Pendência de TACH",IF(AND(C24&gt;0,KL="Rascunho"),"Pendência de TACH",IF(AND(C24&gt;0,L24="NECESSÁRIO AJUSTAR"),"Pendência de TACH",IF(AND(C24&gt;0,L24="Aguardando Aprovação"),"Sem Pendência de TACH",IF(AND(C24&gt;0,L24="Aprovado"),"Sem Pendência de TACH"))))))))))))))))))))))))</f>
        <v>#NAME?</v>
      </c>
    </row>
    <row r="25" spans="1:14">
      <c r="C25" s="2"/>
      <c r="D25" s="2"/>
      <c r="M25" t="str">
        <f t="shared" si="0"/>
        <v/>
      </c>
      <c r="N25" t="e" cm="1">
        <f t="array" ref="N25">IF(AND(C25&gt;0,I25="Finalizado"),"Pendência de TACH",IF(AND(C25&gt;0,I25="Não Criado"),"Pendência de TACH",IF(AND(C25&gt;0,I25="Rascunho"),"Pendência de TACH",IF(AND(C25&gt;0,I25="NECESSÁRIO AJUSTAR"),"Pendência de TACH",IF(AND(C25&gt;0,I25="Aguardando Aprovação"),"Sem Pendência de TACH",IF(AND(C25&gt;0,I25="Aprovado"),"Sem Pendência de TACH",IF(AND(C25&gt;0,J25="Finalizado"),"Pendência de TACH",IF(AND(C25&gt;0,J25="Não Criado"),"Pendência de TACH",IF(AND(C25&gt;0,J25="Rascunho"),"Pendência de TACH",IF(AND(C25&gt;0,J25="NECESSÁRIO AJUSTAR"),"Pendência de TACH",IF(AND(C25&gt;0,J25="Aguardando Aprovação"),"Sem Pendência de TACH",IF(AND(C25&gt;0,J25="Aprovado"),"Sem Pendência de TACH",IF(AND(C25&gt;0,K25="Finalizado"),"Pendência de TACH",IF(AND(C25&gt;0,K25="Não Criado"),"Pendência de TACH",IF(AND(C25&gt;0,K25="Rascunho"),"Pendência de TACH",IF(AND(C25&gt;0,K25="NECESSÁRIO AJUSTAR"),"Pendência de TACH",IF(AND(C25&gt;0,K25="Aguardando Aprovação"),"Sem Pendência de TACH",IF(AND(C25&gt;0,K25="Aprovado"),"Sem Pendência de TACH",IF(AND(C25&gt;0,KL="Finalizado"),"Pendência de TACH",IF(AND(C25&gt;0,KL="Não Criado"),"Pendência de TACH",IF(AND(C25&gt;0,KL="Rascunho"),"Pendência de TACH",IF(AND(C25&gt;0,L25="NECESSÁRIO AJUSTAR"),"Pendência de TACH",IF(AND(C25&gt;0,L25="Aguardando Aprovação"),"Sem Pendência de TACH",IF(AND(C25&gt;0,L25="Aprovado"),"Sem Pendência de TACH"))))))))))))))))))))))))</f>
        <v>#NAME?</v>
      </c>
    </row>
    <row r="26" spans="1:14">
      <c r="C26" s="2"/>
      <c r="D26" s="2"/>
      <c r="M26" t="str">
        <f t="shared" si="0"/>
        <v/>
      </c>
      <c r="N26" t="e" cm="1">
        <f t="array" ref="N26">IF(AND(C26&gt;0,I26="Finalizado"),"Pendência de TACH",IF(AND(C26&gt;0,I26="Não Criado"),"Pendência de TACH",IF(AND(C26&gt;0,I26="Rascunho"),"Pendência de TACH",IF(AND(C26&gt;0,I26="NECESSÁRIO AJUSTAR"),"Pendência de TACH",IF(AND(C26&gt;0,I26="Aguardando Aprovação"),"Sem Pendência de TACH",IF(AND(C26&gt;0,I26="Aprovado"),"Sem Pendência de TACH",IF(AND(C26&gt;0,J26="Finalizado"),"Pendência de TACH",IF(AND(C26&gt;0,J26="Não Criado"),"Pendência de TACH",IF(AND(C26&gt;0,J26="Rascunho"),"Pendência de TACH",IF(AND(C26&gt;0,J26="NECESSÁRIO AJUSTAR"),"Pendência de TACH",IF(AND(C26&gt;0,J26="Aguardando Aprovação"),"Sem Pendência de TACH",IF(AND(C26&gt;0,J26="Aprovado"),"Sem Pendência de TACH",IF(AND(C26&gt;0,K26="Finalizado"),"Pendência de TACH",IF(AND(C26&gt;0,K26="Não Criado"),"Pendência de TACH",IF(AND(C26&gt;0,K26="Rascunho"),"Pendência de TACH",IF(AND(C26&gt;0,K26="NECESSÁRIO AJUSTAR"),"Pendência de TACH",IF(AND(C26&gt;0,K26="Aguardando Aprovação"),"Sem Pendência de TACH",IF(AND(C26&gt;0,K26="Aprovado"),"Sem Pendência de TACH",IF(AND(C26&gt;0,KL="Finalizado"),"Pendência de TACH",IF(AND(C26&gt;0,KL="Não Criado"),"Pendência de TACH",IF(AND(C26&gt;0,KL="Rascunho"),"Pendência de TACH",IF(AND(C26&gt;0,L26="NECESSÁRIO AJUSTAR"),"Pendência de TACH",IF(AND(C26&gt;0,L26="Aguardando Aprovação"),"Sem Pendência de TACH",IF(AND(C26&gt;0,L26="Aprovado"),"Sem Pendência de TACH"))))))))))))))))))))))))</f>
        <v>#NAME?</v>
      </c>
    </row>
    <row r="27" spans="1:14">
      <c r="C27" s="2"/>
      <c r="D27" s="2"/>
      <c r="M27" t="str">
        <f t="shared" si="0"/>
        <v/>
      </c>
      <c r="N27" t="e" cm="1">
        <f t="array" ref="N27">IF(AND(C27&gt;0,I27="Finalizado"),"Pendência de TACH",IF(AND(C27&gt;0,I27="Não Criado"),"Pendência de TACH",IF(AND(C27&gt;0,I27="Rascunho"),"Pendência de TACH",IF(AND(C27&gt;0,I27="NECESSÁRIO AJUSTAR"),"Pendência de TACH",IF(AND(C27&gt;0,I27="Aguardando Aprovação"),"Sem Pendência de TACH",IF(AND(C27&gt;0,I27="Aprovado"),"Sem Pendência de TACH",IF(AND(C27&gt;0,J27="Finalizado"),"Pendência de TACH",IF(AND(C27&gt;0,J27="Não Criado"),"Pendência de TACH",IF(AND(C27&gt;0,J27="Rascunho"),"Pendência de TACH",IF(AND(C27&gt;0,J27="NECESSÁRIO AJUSTAR"),"Pendência de TACH",IF(AND(C27&gt;0,J27="Aguardando Aprovação"),"Sem Pendência de TACH",IF(AND(C27&gt;0,J27="Aprovado"),"Sem Pendência de TACH",IF(AND(C27&gt;0,K27="Finalizado"),"Pendência de TACH",IF(AND(C27&gt;0,K27="Não Criado"),"Pendência de TACH",IF(AND(C27&gt;0,K27="Rascunho"),"Pendência de TACH",IF(AND(C27&gt;0,K27="NECESSÁRIO AJUSTAR"),"Pendência de TACH",IF(AND(C27&gt;0,K27="Aguardando Aprovação"),"Sem Pendência de TACH",IF(AND(C27&gt;0,K27="Aprovado"),"Sem Pendência de TACH",IF(AND(C27&gt;0,KL="Finalizado"),"Pendência de TACH",IF(AND(C27&gt;0,KL="Não Criado"),"Pendência de TACH",IF(AND(C27&gt;0,KL="Rascunho"),"Pendência de TACH",IF(AND(C27&gt;0,L27="NECESSÁRIO AJUSTAR"),"Pendência de TACH",IF(AND(C27&gt;0,L27="Aguardando Aprovação"),"Sem Pendência de TACH",IF(AND(C27&gt;0,L27="Aprovado"),"Sem Pendência de TACH"))))))))))))))))))))))))</f>
        <v>#NAME?</v>
      </c>
    </row>
    <row r="28" spans="1:14">
      <c r="C28" s="2"/>
      <c r="D28" s="2"/>
      <c r="M28" t="str">
        <f t="shared" si="0"/>
        <v/>
      </c>
      <c r="N28" t="e" cm="1">
        <f t="array" ref="N28">IF(AND(C28&gt;0,I28="Finalizado"),"Pendência de TACH",IF(AND(C28&gt;0,I28="Não Criado"),"Pendência de TACH",IF(AND(C28&gt;0,I28="Rascunho"),"Pendência de TACH",IF(AND(C28&gt;0,I28="NECESSÁRIO AJUSTAR"),"Pendência de TACH",IF(AND(C28&gt;0,I28="Aguardando Aprovação"),"Sem Pendência de TACH",IF(AND(C28&gt;0,I28="Aprovado"),"Sem Pendência de TACH",IF(AND(C28&gt;0,J28="Finalizado"),"Pendência de TACH",IF(AND(C28&gt;0,J28="Não Criado"),"Pendência de TACH",IF(AND(C28&gt;0,J28="Rascunho"),"Pendência de TACH",IF(AND(C28&gt;0,J28="NECESSÁRIO AJUSTAR"),"Pendência de TACH",IF(AND(C28&gt;0,J28="Aguardando Aprovação"),"Sem Pendência de TACH",IF(AND(C28&gt;0,J28="Aprovado"),"Sem Pendência de TACH",IF(AND(C28&gt;0,K28="Finalizado"),"Pendência de TACH",IF(AND(C28&gt;0,K28="Não Criado"),"Pendência de TACH",IF(AND(C28&gt;0,K28="Rascunho"),"Pendência de TACH",IF(AND(C28&gt;0,K28="NECESSÁRIO AJUSTAR"),"Pendência de TACH",IF(AND(C28&gt;0,K28="Aguardando Aprovação"),"Sem Pendência de TACH",IF(AND(C28&gt;0,K28="Aprovado"),"Sem Pendência de TACH",IF(AND(C28&gt;0,KL="Finalizado"),"Pendência de TACH",IF(AND(C28&gt;0,KL="Não Criado"),"Pendência de TACH",IF(AND(C28&gt;0,KL="Rascunho"),"Pendência de TACH",IF(AND(C28&gt;0,L28="NECESSÁRIO AJUSTAR"),"Pendência de TACH",IF(AND(C28&gt;0,L28="Aguardando Aprovação"),"Sem Pendência de TACH",IF(AND(C28&gt;0,L28="Aprovado"),"Sem Pendência de TACH"))))))))))))))))))))))))</f>
        <v>#NAME?</v>
      </c>
    </row>
    <row r="29" spans="1:14">
      <c r="C29" s="2"/>
      <c r="D29" s="2"/>
      <c r="M29" t="str">
        <f t="shared" si="0"/>
        <v/>
      </c>
      <c r="N29" t="e" cm="1">
        <f t="array" ref="N29">IF(AND(C29&gt;0,I29="Finalizado"),"Pendência de TACH",IF(AND(C29&gt;0,I29="Não Criado"),"Pendência de TACH",IF(AND(C29&gt;0,I29="Rascunho"),"Pendência de TACH",IF(AND(C29&gt;0,I29="NECESSÁRIO AJUSTAR"),"Pendência de TACH",IF(AND(C29&gt;0,I29="Aguardando Aprovação"),"Sem Pendência de TACH",IF(AND(C29&gt;0,I29="Aprovado"),"Sem Pendência de TACH",IF(AND(C29&gt;0,J29="Finalizado"),"Pendência de TACH",IF(AND(C29&gt;0,J29="Não Criado"),"Pendência de TACH",IF(AND(C29&gt;0,J29="Rascunho"),"Pendência de TACH",IF(AND(C29&gt;0,J29="NECESSÁRIO AJUSTAR"),"Pendência de TACH",IF(AND(C29&gt;0,J29="Aguardando Aprovação"),"Sem Pendência de TACH",IF(AND(C29&gt;0,J29="Aprovado"),"Sem Pendência de TACH",IF(AND(C29&gt;0,K29="Finalizado"),"Pendência de TACH",IF(AND(C29&gt;0,K29="Não Criado"),"Pendência de TACH",IF(AND(C29&gt;0,K29="Rascunho"),"Pendência de TACH",IF(AND(C29&gt;0,K29="NECESSÁRIO AJUSTAR"),"Pendência de TACH",IF(AND(C29&gt;0,K29="Aguardando Aprovação"),"Sem Pendência de TACH",IF(AND(C29&gt;0,K29="Aprovado"),"Sem Pendência de TACH",IF(AND(C29&gt;0,KL="Finalizado"),"Pendência de TACH",IF(AND(C29&gt;0,KL="Não Criado"),"Pendência de TACH",IF(AND(C29&gt;0,KL="Rascunho"),"Pendência de TACH",IF(AND(C29&gt;0,L29="NECESSÁRIO AJUSTAR"),"Pendência de TACH",IF(AND(C29&gt;0,L29="Aguardando Aprovação"),"Sem Pendência de TACH",IF(AND(C29&gt;0,L29="Aprovado"),"Sem Pendência de TACH"))))))))))))))))))))))))</f>
        <v>#NAME?</v>
      </c>
    </row>
    <row r="30" spans="1:14">
      <c r="C30" s="2"/>
      <c r="D30" s="2"/>
      <c r="N30" t="e" cm="1">
        <f t="array" ref="N30">IF(AND(C30&gt;0,I30="Finalizado"),"Pendência de TACH",IF(AND(C30&gt;0,I30="Não Criado"),"Pendência de TACH",IF(AND(C30&gt;0,I30="Rascunho"),"Pendência de TACH",IF(AND(C30&gt;0,I30="NECESSÁRIO AJUSTAR"),"Pendência de TACH",IF(AND(C30&gt;0,I30="Aguardando Aprovação"),"Sem Pendência de TACH",IF(AND(C30&gt;0,I30="Aprovado"),"Sem Pendência de TACH",IF(AND(C30&gt;0,J30="Finalizado"),"Pendência de TACH",IF(AND(C30&gt;0,J30="Não Criado"),"Pendência de TACH",IF(AND(C30&gt;0,J30="Rascunho"),"Pendência de TACH",IF(AND(C30&gt;0,J30="NECESSÁRIO AJUSTAR"),"Pendência de TACH",IF(AND(C30&gt;0,J30="Aguardando Aprovação"),"Sem Pendência de TACH",IF(AND(C30&gt;0,J30="Aprovado"),"Sem Pendência de TACH",IF(AND(C30&gt;0,K30="Finalizado"),"Pendência de TACH",IF(AND(C30&gt;0,K30="Não Criado"),"Pendência de TACH",IF(AND(C30&gt;0,K30="Rascunho"),"Pendência de TACH",IF(AND(C30&gt;0,K30="NECESSÁRIO AJUSTAR"),"Pendência de TACH",IF(AND(C30&gt;0,K30="Aguardando Aprovação"),"Sem Pendência de TACH",IF(AND(C30&gt;0,K30="Aprovado"),"Sem Pendência de TACH",IF(AND(C30&gt;0,KL="Finalizado"),"Pendência de TACH",IF(AND(C30&gt;0,KL="Não Criado"),"Pendência de TACH",IF(AND(C30&gt;0,KL="Rascunho"),"Pendência de TACH",IF(AND(C30&gt;0,L30="NECESSÁRIO AJUSTAR"),"Pendência de TACH",IF(AND(C30&gt;0,L30="Aguardando Aprovação"),"Sem Pendência de TACH",IF(AND(C30&gt;0,L30="Aprovado"),"Sem Pendência de TACH"))))))))))))))))))))))))</f>
        <v>#NAME?</v>
      </c>
    </row>
    <row r="31" spans="1:14">
      <c r="C31" s="2"/>
      <c r="D31" s="2"/>
    </row>
    <row r="32" spans="1:14">
      <c r="C32" s="2"/>
      <c r="D32" s="2"/>
    </row>
    <row r="33" spans="3:4">
      <c r="C33" s="2"/>
      <c r="D33" s="2"/>
    </row>
    <row r="34" spans="3:4">
      <c r="C34" s="2"/>
      <c r="D34" s="2"/>
    </row>
    <row r="35" spans="3:4">
      <c r="C35" s="2"/>
      <c r="D35" s="2"/>
    </row>
    <row r="36" spans="3:4">
      <c r="C36" s="2"/>
      <c r="D36" s="2"/>
    </row>
    <row r="37" spans="3:4">
      <c r="C37" s="2"/>
      <c r="D37" s="2"/>
    </row>
    <row r="38" spans="3:4">
      <c r="C38" s="2"/>
      <c r="D38" s="2"/>
    </row>
    <row r="39" spans="3:4">
      <c r="C39" s="2"/>
      <c r="D39" s="2"/>
    </row>
    <row r="40" spans="3:4">
      <c r="C40" s="2"/>
      <c r="D40" s="2"/>
    </row>
    <row r="41" spans="3:4">
      <c r="C41" s="2"/>
      <c r="D41" s="2"/>
    </row>
    <row r="42" spans="3:4">
      <c r="C42" s="2"/>
      <c r="D42" s="2"/>
    </row>
    <row r="43" spans="3:4">
      <c r="C43" s="2"/>
      <c r="D43" s="2"/>
    </row>
    <row r="44" spans="3:4">
      <c r="C44" s="2"/>
      <c r="D44" s="2"/>
    </row>
    <row r="45" spans="3:4">
      <c r="C45" s="2"/>
      <c r="D45" s="2"/>
    </row>
    <row r="46" spans="3:4">
      <c r="C46" s="2"/>
      <c r="D46" s="2"/>
    </row>
    <row r="47" spans="3:4">
      <c r="C47" s="2"/>
      <c r="D47" s="2"/>
    </row>
    <row r="48" spans="3:4">
      <c r="C48" s="2"/>
      <c r="D48" s="2"/>
    </row>
    <row r="49" spans="3:4">
      <c r="C49" s="2"/>
      <c r="D49" s="2"/>
    </row>
    <row r="50" spans="3:4">
      <c r="C50" s="2"/>
      <c r="D50" s="2"/>
    </row>
    <row r="51" spans="3:4">
      <c r="C51" s="2"/>
      <c r="D51" s="2"/>
    </row>
    <row r="52" spans="3:4">
      <c r="C52" s="2"/>
      <c r="D52" s="2"/>
    </row>
    <row r="53" spans="3:4">
      <c r="C53" s="2"/>
      <c r="D53" s="2"/>
    </row>
    <row r="54" spans="3:4">
      <c r="C54" s="2"/>
      <c r="D54" s="2"/>
    </row>
    <row r="55" spans="3:4">
      <c r="C55" s="2"/>
      <c r="D55" s="2"/>
    </row>
    <row r="56" spans="3:4">
      <c r="C56" s="2"/>
      <c r="D56" s="2"/>
    </row>
    <row r="57" spans="3:4">
      <c r="C57" s="2"/>
      <c r="D57" s="2"/>
    </row>
    <row r="58" spans="3:4">
      <c r="C58" s="2"/>
      <c r="D58" s="2"/>
    </row>
    <row r="59" spans="3:4">
      <c r="C59" s="2"/>
      <c r="D59" s="2"/>
    </row>
    <row r="60" spans="3:4">
      <c r="C60" s="2"/>
      <c r="D60" s="2"/>
    </row>
    <row r="61" spans="3:4">
      <c r="C61" s="2"/>
      <c r="D61" s="2"/>
    </row>
    <row r="62" spans="3:4">
      <c r="C62" s="2"/>
      <c r="D62" s="2"/>
    </row>
    <row r="63" spans="3:4">
      <c r="C63" s="2"/>
      <c r="D63" s="2"/>
    </row>
    <row r="64" spans="3:4">
      <c r="C64" s="2"/>
      <c r="D64" s="2"/>
    </row>
    <row r="65" spans="3:4">
      <c r="C65" s="2"/>
      <c r="D65" s="2"/>
    </row>
    <row r="66" spans="3:4">
      <c r="C66" s="2"/>
      <c r="D66" s="2"/>
    </row>
    <row r="67" spans="3:4">
      <c r="C67" s="2"/>
      <c r="D67" s="2"/>
    </row>
    <row r="68" spans="3:4">
      <c r="C68" s="2"/>
      <c r="D68" s="2"/>
    </row>
    <row r="69" spans="3:4">
      <c r="C69" s="2"/>
      <c r="D69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F679-E828-450B-AA4B-D88F1D9682DF}">
  <dimension ref="A1:Z178"/>
  <sheetViews>
    <sheetView tabSelected="1" zoomScale="85" zoomScaleNormal="85" workbookViewId="0">
      <selection activeCell="G6" sqref="G6"/>
    </sheetView>
  </sheetViews>
  <sheetFormatPr defaultRowHeight="15"/>
  <cols>
    <col min="1" max="1" width="17.7109375" bestFit="1" customWidth="1"/>
    <col min="2" max="2" width="56.28515625" bestFit="1" customWidth="1"/>
    <col min="3" max="3" width="56.28515625" customWidth="1"/>
    <col min="4" max="4" width="12.42578125" bestFit="1" customWidth="1"/>
    <col min="5" max="5" width="9.7109375" customWidth="1"/>
    <col min="6" max="6" width="14.28515625" bestFit="1" customWidth="1"/>
    <col min="7" max="7" width="27.5703125" bestFit="1" customWidth="1"/>
    <col min="8" max="8" width="27.85546875" bestFit="1" customWidth="1"/>
    <col min="9" max="9" width="14.28515625" bestFit="1" customWidth="1"/>
    <col min="10" max="10" width="23.42578125" bestFit="1" customWidth="1"/>
    <col min="11" max="11" width="27.5703125" bestFit="1" customWidth="1"/>
    <col min="12" max="12" width="23.42578125" bestFit="1" customWidth="1"/>
    <col min="13" max="13" width="27.5703125" bestFit="1" customWidth="1"/>
    <col min="14" max="15" width="27.5703125" customWidth="1"/>
    <col min="16" max="16" width="27.7109375" bestFit="1" customWidth="1"/>
    <col min="17" max="17" width="23.85546875" bestFit="1" customWidth="1"/>
    <col min="18" max="18" width="14.28515625" bestFit="1" customWidth="1"/>
    <col min="19" max="19" width="25" bestFit="1" customWidth="1"/>
    <col min="20" max="20" width="23.85546875" bestFit="1" customWidth="1"/>
    <col min="21" max="21" width="32.7109375" bestFit="1" customWidth="1"/>
    <col min="22" max="22" width="31.5703125" bestFit="1" customWidth="1"/>
    <col min="23" max="23" width="17.28515625" bestFit="1" customWidth="1"/>
    <col min="24" max="24" width="16.140625" bestFit="1" customWidth="1"/>
    <col min="25" max="25" width="45.140625" bestFit="1" customWidth="1"/>
  </cols>
  <sheetData>
    <row r="1" spans="1:26">
      <c r="A1" s="4" t="s">
        <v>10</v>
      </c>
      <c r="B1" s="4" t="s">
        <v>11</v>
      </c>
      <c r="C1" s="4" t="s">
        <v>144</v>
      </c>
      <c r="D1" s="4" t="s">
        <v>9</v>
      </c>
      <c r="E1" s="4" t="s">
        <v>7</v>
      </c>
      <c r="F1" s="4" t="s">
        <v>2</v>
      </c>
      <c r="G1" s="4" t="s">
        <v>12</v>
      </c>
      <c r="H1" s="5" t="s">
        <v>13</v>
      </c>
      <c r="I1" s="4" t="s">
        <v>2</v>
      </c>
      <c r="J1" s="4" t="s">
        <v>14</v>
      </c>
      <c r="K1" s="5" t="s">
        <v>15</v>
      </c>
      <c r="L1" s="4" t="s">
        <v>2</v>
      </c>
      <c r="M1" s="4" t="s">
        <v>16</v>
      </c>
      <c r="N1" s="5" t="s">
        <v>17</v>
      </c>
      <c r="O1" s="4" t="s">
        <v>2</v>
      </c>
      <c r="P1" s="4" t="s">
        <v>18</v>
      </c>
      <c r="Q1" s="5" t="s">
        <v>19</v>
      </c>
      <c r="R1" s="4" t="s">
        <v>2</v>
      </c>
      <c r="S1" s="4" t="s">
        <v>20</v>
      </c>
      <c r="T1" s="5" t="s">
        <v>21</v>
      </c>
      <c r="U1" s="4" t="s">
        <v>22</v>
      </c>
      <c r="V1" s="5" t="s">
        <v>23</v>
      </c>
      <c r="W1" s="7" t="s">
        <v>24</v>
      </c>
      <c r="X1" s="7" t="s">
        <v>25</v>
      </c>
      <c r="Y1" s="8" t="s">
        <v>26</v>
      </c>
    </row>
    <row r="2" spans="1:26">
      <c r="A2" s="6">
        <v>8306</v>
      </c>
      <c r="B2" s="6" t="s">
        <v>47</v>
      </c>
      <c r="C2" s="6" t="s">
        <v>102</v>
      </c>
      <c r="D2" s="6" t="s">
        <v>95</v>
      </c>
      <c r="E2" s="6">
        <v>2</v>
      </c>
      <c r="F2" s="6" t="s">
        <v>68</v>
      </c>
      <c r="G2" s="3" t="s">
        <v>159</v>
      </c>
      <c r="H2" s="3" t="s">
        <v>160</v>
      </c>
      <c r="I2" s="6" t="s">
        <v>68</v>
      </c>
      <c r="J2" s="3" t="s">
        <v>155</v>
      </c>
      <c r="K2" s="3" t="s">
        <v>156</v>
      </c>
      <c r="L2" s="6">
        <v>2</v>
      </c>
      <c r="M2" s="3" t="s">
        <v>155</v>
      </c>
      <c r="N2" s="3" t="s">
        <v>155</v>
      </c>
      <c r="O2" s="6" t="s">
        <v>68</v>
      </c>
      <c r="P2" s="3" t="s">
        <v>155</v>
      </c>
      <c r="Q2" s="3" t="s">
        <v>156</v>
      </c>
      <c r="R2" s="6"/>
      <c r="S2" s="3"/>
      <c r="T2" s="3"/>
      <c r="U2" s="3" t="str">
        <f>IF(AND(E2&gt;0,OR(F2&gt;0,I2&gt;0,L2&gt;0,O2&gt;0,R2&gt;0)),"Pendencia de Agenda e Cartões","")</f>
        <v>Pendencia de Agenda e Cartões</v>
      </c>
      <c r="V2" s="3" t="str">
        <f>IF(OR(H2="Pendência de TACH",K2="Pendência de TACH",N2="Pendência de TACH",Q2="Pendência de TACH"),"Pendência de TACH","")</f>
        <v>Pendência de TACH</v>
      </c>
      <c r="W2" s="6">
        <f>COUNTIF(G2:T2,"Pendência de Agenda")</f>
        <v>4</v>
      </c>
      <c r="X2" s="6">
        <f>COUNTIF(G2:T2,"Pendência de TACH")</f>
        <v>2</v>
      </c>
      <c r="Y2" s="3" t="str">
        <f>IF(AND(U2&lt;&gt;"",V2&lt;&gt;""),U2&amp;" ("&amp;W2&amp;") &amp; "&amp;V2&amp;" ("&amp;X2&amp;")",IF(U2&lt;&gt;"",U2&amp;" ("&amp;W2&amp;")",IF(V2&lt;&gt;"",V2&amp;" ("&amp;X2&amp;")","")))</f>
        <v>Pendencia de Agenda e Cartões (4) &amp; Pendência de TACH (2)</v>
      </c>
      <c r="Z2">
        <v>6</v>
      </c>
    </row>
    <row r="3" spans="1:26">
      <c r="A3" s="6">
        <v>90013836</v>
      </c>
      <c r="B3" s="6" t="s">
        <v>48</v>
      </c>
      <c r="C3" s="6" t="s">
        <v>103</v>
      </c>
      <c r="D3" s="6" t="s">
        <v>95</v>
      </c>
      <c r="E3" s="6">
        <v>2</v>
      </c>
      <c r="F3" s="6" t="s">
        <v>68</v>
      </c>
      <c r="G3" s="3" t="s">
        <v>159</v>
      </c>
      <c r="H3" s="3" t="s">
        <v>160</v>
      </c>
      <c r="I3" s="6" t="s">
        <v>68</v>
      </c>
      <c r="J3" s="3" t="s">
        <v>155</v>
      </c>
      <c r="K3" s="3" t="s">
        <v>156</v>
      </c>
      <c r="L3" s="6" t="s">
        <v>68</v>
      </c>
      <c r="M3" s="3" t="s">
        <v>155</v>
      </c>
      <c r="N3" s="3" t="s">
        <v>155</v>
      </c>
      <c r="O3" s="6" t="s">
        <v>68</v>
      </c>
      <c r="P3" s="3" t="s">
        <v>155</v>
      </c>
      <c r="Q3" s="3" t="s">
        <v>156</v>
      </c>
      <c r="R3" s="6"/>
      <c r="S3" s="3"/>
      <c r="T3" s="3"/>
      <c r="U3" s="3" t="str">
        <f t="shared" ref="U3:U57" si="0">IF(AND(E3&gt;0,OR(F3&gt;0,I3&gt;0,L3&gt;0,O3&gt;0,R3&gt;0)),"Pendencia de Agenda e Cartões","")</f>
        <v>Pendencia de Agenda e Cartões</v>
      </c>
      <c r="V3" s="3" t="str">
        <f t="shared" ref="V3:V34" si="1">IF(OR(H3="Pendência de TACH",K3="Pendência de TACH",N3="Pendência de TACH",Q3="Pendência de TACH"),"Pendência de TACH","")</f>
        <v>Pendência de TACH</v>
      </c>
      <c r="W3" s="6">
        <f t="shared" ref="W3:W34" si="2">COUNTIF(G3:T3,"Pendência de Agenda")</f>
        <v>4</v>
      </c>
      <c r="X3" s="6">
        <f t="shared" ref="X3:X34" si="3">COUNTIF(G3:T3,"Pendência de TACH")</f>
        <v>2</v>
      </c>
      <c r="Y3" s="3" t="str">
        <f t="shared" ref="Y3:Y57" si="4">IF(AND(U3&lt;&gt;"",V3&lt;&gt;""),U3&amp;" ("&amp;W3&amp;") &amp; "&amp;V3&amp;" ("&amp;X3&amp;")",IF(U3&lt;&gt;"",U3&amp;" ("&amp;W3&amp;")",IF(V3&lt;&gt;"",V3&amp;" ("&amp;X3&amp;")","")))</f>
        <v>Pendencia de Agenda e Cartões (4) &amp; Pendência de TACH (2)</v>
      </c>
      <c r="Z3">
        <v>6</v>
      </c>
    </row>
    <row r="4" spans="1:26">
      <c r="A4" s="6">
        <v>90009703</v>
      </c>
      <c r="B4" s="6" t="s">
        <v>49</v>
      </c>
      <c r="C4" s="6" t="s">
        <v>104</v>
      </c>
      <c r="D4" s="6" t="s">
        <v>95</v>
      </c>
      <c r="E4" s="6">
        <v>18</v>
      </c>
      <c r="F4" s="6" t="s">
        <v>70</v>
      </c>
      <c r="G4" s="3" t="s">
        <v>159</v>
      </c>
      <c r="H4" s="3" t="s">
        <v>160</v>
      </c>
      <c r="I4" s="6" t="s">
        <v>70</v>
      </c>
      <c r="J4" s="3" t="s">
        <v>155</v>
      </c>
      <c r="K4" s="3" t="s">
        <v>156</v>
      </c>
      <c r="L4" s="6" t="s">
        <v>70</v>
      </c>
      <c r="M4" s="3" t="s">
        <v>155</v>
      </c>
      <c r="N4" s="3" t="s">
        <v>155</v>
      </c>
      <c r="O4" s="6" t="s">
        <v>70</v>
      </c>
      <c r="P4" s="3" t="s">
        <v>155</v>
      </c>
      <c r="Q4" s="3" t="s">
        <v>156</v>
      </c>
      <c r="R4" s="6"/>
      <c r="S4" s="3"/>
      <c r="T4" s="3"/>
      <c r="U4" s="3" t="str">
        <f t="shared" si="0"/>
        <v>Pendencia de Agenda e Cartões</v>
      </c>
      <c r="V4" s="3" t="str">
        <f t="shared" si="1"/>
        <v>Pendência de TACH</v>
      </c>
      <c r="W4" s="6">
        <f t="shared" si="2"/>
        <v>4</v>
      </c>
      <c r="X4" s="6">
        <f t="shared" si="3"/>
        <v>2</v>
      </c>
      <c r="Y4" s="3" t="str">
        <f t="shared" si="4"/>
        <v>Pendencia de Agenda e Cartões (4) &amp; Pendência de TACH (2)</v>
      </c>
      <c r="Z4">
        <v>54</v>
      </c>
    </row>
    <row r="5" spans="1:26">
      <c r="A5" s="6">
        <v>90014229</v>
      </c>
      <c r="B5" s="6" t="s">
        <v>50</v>
      </c>
      <c r="C5" s="6" t="s">
        <v>105</v>
      </c>
      <c r="D5" s="6" t="s">
        <v>95</v>
      </c>
      <c r="E5" s="6">
        <v>6</v>
      </c>
      <c r="F5" s="6" t="s">
        <v>71</v>
      </c>
      <c r="G5" s="3" t="s">
        <v>159</v>
      </c>
      <c r="H5" s="3" t="s">
        <v>160</v>
      </c>
      <c r="I5" s="6">
        <v>0</v>
      </c>
      <c r="J5" s="3" t="s">
        <v>154</v>
      </c>
      <c r="K5" s="3" t="s">
        <v>154</v>
      </c>
      <c r="L5" s="6">
        <v>0</v>
      </c>
      <c r="M5" s="3" t="s">
        <v>154</v>
      </c>
      <c r="N5" s="3" t="s">
        <v>154</v>
      </c>
      <c r="O5" s="6">
        <v>0</v>
      </c>
      <c r="P5" s="3" t="s">
        <v>154</v>
      </c>
      <c r="Q5" s="3" t="s">
        <v>154</v>
      </c>
      <c r="R5" s="6"/>
      <c r="S5" s="3"/>
      <c r="T5" s="3"/>
      <c r="U5" s="3" t="str">
        <f t="shared" si="0"/>
        <v>Pendencia de Agenda e Cartões</v>
      </c>
      <c r="V5" s="3" t="str">
        <f t="shared" si="1"/>
        <v/>
      </c>
      <c r="W5" s="6">
        <f t="shared" si="2"/>
        <v>0</v>
      </c>
      <c r="X5" s="6">
        <f t="shared" si="3"/>
        <v>0</v>
      </c>
      <c r="Y5" s="3" t="str">
        <f t="shared" si="4"/>
        <v>Pendencia de Agenda e Cartões (0)</v>
      </c>
      <c r="Z5">
        <v>0</v>
      </c>
    </row>
    <row r="6" spans="1:26">
      <c r="A6" s="6">
        <v>90005226</v>
      </c>
      <c r="B6" s="6" t="s">
        <v>51</v>
      </c>
      <c r="C6" s="6" t="s">
        <v>106</v>
      </c>
      <c r="D6" s="6" t="s">
        <v>95</v>
      </c>
      <c r="E6" s="6">
        <v>14</v>
      </c>
      <c r="F6" s="6" t="s">
        <v>73</v>
      </c>
      <c r="G6" s="3" t="s">
        <v>159</v>
      </c>
      <c r="H6" s="3" t="s">
        <v>162</v>
      </c>
      <c r="I6" s="6" t="s">
        <v>73</v>
      </c>
      <c r="J6" s="3" t="s">
        <v>155</v>
      </c>
      <c r="K6" s="3" t="s">
        <v>157</v>
      </c>
      <c r="L6" s="6" t="s">
        <v>73</v>
      </c>
      <c r="M6" s="3" t="s">
        <v>155</v>
      </c>
      <c r="N6" s="3" t="s">
        <v>157</v>
      </c>
      <c r="O6" s="6" t="s">
        <v>73</v>
      </c>
      <c r="P6" s="3" t="s">
        <v>155</v>
      </c>
      <c r="Q6" s="3" t="s">
        <v>157</v>
      </c>
      <c r="R6" s="6"/>
      <c r="S6" s="3"/>
      <c r="T6" s="3"/>
      <c r="U6" s="3" t="str">
        <f t="shared" si="0"/>
        <v>Pendencia de Agenda e Cartões</v>
      </c>
      <c r="V6" s="3" t="str">
        <f t="shared" si="1"/>
        <v/>
      </c>
      <c r="W6" s="6">
        <f t="shared" si="2"/>
        <v>3</v>
      </c>
      <c r="X6" s="6">
        <f t="shared" si="3"/>
        <v>0</v>
      </c>
      <c r="Y6" s="3" t="str">
        <f t="shared" si="4"/>
        <v>Pendencia de Agenda e Cartões (3)</v>
      </c>
      <c r="Z6">
        <v>42</v>
      </c>
    </row>
    <row r="7" spans="1:26">
      <c r="A7" s="6">
        <v>19800</v>
      </c>
      <c r="B7" s="6" t="s">
        <v>52</v>
      </c>
      <c r="C7" s="6" t="s">
        <v>107</v>
      </c>
      <c r="D7" s="6" t="s">
        <v>95</v>
      </c>
      <c r="E7" s="6">
        <v>7</v>
      </c>
      <c r="F7" s="6" t="s">
        <v>74</v>
      </c>
      <c r="G7" s="3" t="s">
        <v>159</v>
      </c>
      <c r="H7" s="3" t="s">
        <v>162</v>
      </c>
      <c r="I7" s="6">
        <v>0</v>
      </c>
      <c r="J7" s="3" t="s">
        <v>154</v>
      </c>
      <c r="K7" s="3" t="s">
        <v>154</v>
      </c>
      <c r="L7" s="6">
        <v>0</v>
      </c>
      <c r="M7" s="3" t="s">
        <v>154</v>
      </c>
      <c r="N7" s="3" t="s">
        <v>154</v>
      </c>
      <c r="O7" s="6">
        <v>1</v>
      </c>
      <c r="P7" s="3" t="s">
        <v>154</v>
      </c>
      <c r="Q7" s="3" t="s">
        <v>154</v>
      </c>
      <c r="R7" s="6"/>
      <c r="S7" s="3"/>
      <c r="T7" s="3"/>
      <c r="U7" s="3" t="str">
        <f t="shared" si="0"/>
        <v>Pendencia de Agenda e Cartões</v>
      </c>
      <c r="V7" s="3" t="str">
        <f t="shared" si="1"/>
        <v/>
      </c>
      <c r="W7" s="6">
        <f t="shared" si="2"/>
        <v>0</v>
      </c>
      <c r="X7" s="6">
        <f t="shared" si="3"/>
        <v>0</v>
      </c>
      <c r="Y7" s="3" t="str">
        <f t="shared" si="4"/>
        <v>Pendencia de Agenda e Cartões (0)</v>
      </c>
      <c r="Z7">
        <v>1</v>
      </c>
    </row>
    <row r="8" spans="1:26">
      <c r="A8" s="6">
        <v>90013955</v>
      </c>
      <c r="B8" s="6" t="s">
        <v>53</v>
      </c>
      <c r="C8" s="6" t="s">
        <v>108</v>
      </c>
      <c r="D8" s="6" t="s">
        <v>95</v>
      </c>
      <c r="E8" s="6">
        <v>3</v>
      </c>
      <c r="F8" s="6" t="s">
        <v>75</v>
      </c>
      <c r="G8" s="3" t="s">
        <v>159</v>
      </c>
      <c r="H8" s="3" t="s">
        <v>162</v>
      </c>
      <c r="I8" s="6" t="s">
        <v>75</v>
      </c>
      <c r="J8" s="3" t="s">
        <v>155</v>
      </c>
      <c r="K8" s="3" t="s">
        <v>157</v>
      </c>
      <c r="L8" s="6" t="s">
        <v>75</v>
      </c>
      <c r="M8" s="3" t="s">
        <v>155</v>
      </c>
      <c r="N8" s="3" t="s">
        <v>155</v>
      </c>
      <c r="O8" s="6" t="s">
        <v>75</v>
      </c>
      <c r="P8" s="3" t="s">
        <v>155</v>
      </c>
      <c r="Q8" s="3" t="s">
        <v>157</v>
      </c>
      <c r="R8" s="6"/>
      <c r="S8" s="3"/>
      <c r="T8" s="3"/>
      <c r="U8" s="3" t="str">
        <f t="shared" si="0"/>
        <v>Pendencia de Agenda e Cartões</v>
      </c>
      <c r="V8" s="3" t="str">
        <f t="shared" si="1"/>
        <v/>
      </c>
      <c r="W8" s="6">
        <f t="shared" si="2"/>
        <v>4</v>
      </c>
      <c r="X8" s="6">
        <f t="shared" si="3"/>
        <v>0</v>
      </c>
      <c r="Y8" s="3" t="str">
        <f t="shared" si="4"/>
        <v>Pendencia de Agenda e Cartões (4)</v>
      </c>
      <c r="Z8">
        <v>9</v>
      </c>
    </row>
    <row r="9" spans="1:26">
      <c r="A9" s="6">
        <v>90010315</v>
      </c>
      <c r="B9" s="6" t="s">
        <v>54</v>
      </c>
      <c r="C9" s="6" t="s">
        <v>109</v>
      </c>
      <c r="D9" s="6" t="s">
        <v>95</v>
      </c>
      <c r="E9" s="6">
        <v>20</v>
      </c>
      <c r="F9" s="6" t="s">
        <v>72</v>
      </c>
      <c r="G9" s="3" t="s">
        <v>159</v>
      </c>
      <c r="H9" s="3" t="s">
        <v>160</v>
      </c>
      <c r="I9" s="6" t="s">
        <v>72</v>
      </c>
      <c r="J9" s="3" t="s">
        <v>155</v>
      </c>
      <c r="K9" s="3" t="s">
        <v>157</v>
      </c>
      <c r="L9" s="6" t="s">
        <v>72</v>
      </c>
      <c r="M9" s="3" t="s">
        <v>155</v>
      </c>
      <c r="N9" s="3" t="s">
        <v>155</v>
      </c>
      <c r="O9" s="6">
        <v>0</v>
      </c>
      <c r="P9" s="3" t="s">
        <v>154</v>
      </c>
      <c r="Q9" s="3" t="s">
        <v>154</v>
      </c>
      <c r="R9" s="6"/>
      <c r="S9" s="3"/>
      <c r="T9" s="3"/>
      <c r="U9" s="3" t="str">
        <f t="shared" si="0"/>
        <v>Pendencia de Agenda e Cartões</v>
      </c>
      <c r="V9" s="3" t="str">
        <f t="shared" si="1"/>
        <v/>
      </c>
      <c r="W9" s="6">
        <f t="shared" si="2"/>
        <v>3</v>
      </c>
      <c r="X9" s="6">
        <f t="shared" si="3"/>
        <v>0</v>
      </c>
      <c r="Y9" s="3" t="str">
        <f t="shared" si="4"/>
        <v>Pendencia de Agenda e Cartões (3)</v>
      </c>
      <c r="Z9">
        <v>40</v>
      </c>
    </row>
    <row r="10" spans="1:26">
      <c r="A10" s="6">
        <v>90003306</v>
      </c>
      <c r="B10" s="6" t="s">
        <v>55</v>
      </c>
      <c r="C10" s="6" t="s">
        <v>110</v>
      </c>
      <c r="D10" s="6" t="s">
        <v>95</v>
      </c>
      <c r="E10" s="6">
        <v>8</v>
      </c>
      <c r="F10" s="6" t="s">
        <v>76</v>
      </c>
      <c r="G10" s="3" t="s">
        <v>159</v>
      </c>
      <c r="H10" s="3" t="s">
        <v>160</v>
      </c>
      <c r="I10" s="6" t="s">
        <v>76</v>
      </c>
      <c r="J10" s="3" t="s">
        <v>155</v>
      </c>
      <c r="K10" s="3" t="s">
        <v>156</v>
      </c>
      <c r="L10" s="6" t="s">
        <v>76</v>
      </c>
      <c r="M10" s="3" t="s">
        <v>155</v>
      </c>
      <c r="N10" s="3" t="s">
        <v>155</v>
      </c>
      <c r="O10" s="6">
        <v>0</v>
      </c>
      <c r="P10" s="3" t="s">
        <v>154</v>
      </c>
      <c r="Q10" s="3" t="s">
        <v>154</v>
      </c>
      <c r="R10" s="6"/>
      <c r="S10" s="3"/>
      <c r="T10" s="3"/>
      <c r="U10" s="3" t="str">
        <f t="shared" si="0"/>
        <v>Pendencia de Agenda e Cartões</v>
      </c>
      <c r="V10" s="3" t="str">
        <f t="shared" si="1"/>
        <v>Pendência de TACH</v>
      </c>
      <c r="W10" s="6">
        <f t="shared" si="2"/>
        <v>3</v>
      </c>
      <c r="X10" s="6">
        <f t="shared" si="3"/>
        <v>1</v>
      </c>
      <c r="Y10" s="3" t="str">
        <f t="shared" si="4"/>
        <v>Pendencia de Agenda e Cartões (3) &amp; Pendência de TACH (1)</v>
      </c>
      <c r="Z10">
        <v>16</v>
      </c>
    </row>
    <row r="11" spans="1:26">
      <c r="A11" s="6">
        <v>90003308</v>
      </c>
      <c r="B11" s="6" t="s">
        <v>56</v>
      </c>
      <c r="C11" s="6" t="s">
        <v>110</v>
      </c>
      <c r="D11" s="6" t="s">
        <v>95</v>
      </c>
      <c r="E11" s="6">
        <v>34</v>
      </c>
      <c r="F11" s="6" t="s">
        <v>77</v>
      </c>
      <c r="G11" s="3" t="s">
        <v>159</v>
      </c>
      <c r="H11" s="3" t="s">
        <v>160</v>
      </c>
      <c r="I11" s="6">
        <v>0</v>
      </c>
      <c r="J11" s="3" t="s">
        <v>154</v>
      </c>
      <c r="K11" s="3" t="s">
        <v>154</v>
      </c>
      <c r="L11" s="6">
        <v>0</v>
      </c>
      <c r="M11" s="3" t="s">
        <v>154</v>
      </c>
      <c r="N11" s="3" t="s">
        <v>154</v>
      </c>
      <c r="O11" s="6">
        <v>0</v>
      </c>
      <c r="P11" s="3" t="s">
        <v>154</v>
      </c>
      <c r="Q11" s="3" t="s">
        <v>154</v>
      </c>
      <c r="R11" s="6"/>
      <c r="S11" s="3"/>
      <c r="T11" s="3"/>
      <c r="U11" s="3" t="str">
        <f t="shared" si="0"/>
        <v>Pendencia de Agenda e Cartões</v>
      </c>
      <c r="V11" s="3" t="str">
        <f t="shared" si="1"/>
        <v/>
      </c>
      <c r="W11" s="6">
        <f t="shared" si="2"/>
        <v>0</v>
      </c>
      <c r="X11" s="6">
        <f t="shared" si="3"/>
        <v>0</v>
      </c>
      <c r="Y11" s="3" t="str">
        <f t="shared" si="4"/>
        <v>Pendencia de Agenda e Cartões (0)</v>
      </c>
      <c r="Z11">
        <v>0</v>
      </c>
    </row>
    <row r="12" spans="1:26">
      <c r="A12" s="6">
        <v>90003039</v>
      </c>
      <c r="B12" s="6" t="s">
        <v>57</v>
      </c>
      <c r="C12" s="6" t="s">
        <v>111</v>
      </c>
      <c r="D12" s="6" t="s">
        <v>95</v>
      </c>
      <c r="E12" s="6">
        <v>20</v>
      </c>
      <c r="F12" s="6" t="s">
        <v>68</v>
      </c>
      <c r="G12" s="3" t="s">
        <v>159</v>
      </c>
      <c r="H12" s="3" t="s">
        <v>162</v>
      </c>
      <c r="I12" s="6">
        <v>0</v>
      </c>
      <c r="J12" s="3" t="s">
        <v>154</v>
      </c>
      <c r="K12" s="3" t="s">
        <v>154</v>
      </c>
      <c r="L12" s="6">
        <v>0</v>
      </c>
      <c r="M12" s="3" t="s">
        <v>154</v>
      </c>
      <c r="N12" s="3" t="s">
        <v>154</v>
      </c>
      <c r="O12" s="6">
        <v>0</v>
      </c>
      <c r="P12" s="3" t="s">
        <v>154</v>
      </c>
      <c r="Q12" s="3" t="s">
        <v>154</v>
      </c>
      <c r="R12" s="6"/>
      <c r="S12" s="3"/>
      <c r="T12" s="3"/>
      <c r="U12" s="3" t="str">
        <f t="shared" si="0"/>
        <v>Pendencia de Agenda e Cartões</v>
      </c>
      <c r="V12" s="3" t="str">
        <f t="shared" si="1"/>
        <v/>
      </c>
      <c r="W12" s="6">
        <f t="shared" si="2"/>
        <v>0</v>
      </c>
      <c r="X12" s="6">
        <f t="shared" si="3"/>
        <v>0</v>
      </c>
      <c r="Y12" s="3" t="str">
        <f t="shared" si="4"/>
        <v>Pendencia de Agenda e Cartões (0)</v>
      </c>
      <c r="Z12">
        <v>0</v>
      </c>
    </row>
    <row r="13" spans="1:26">
      <c r="A13" s="6">
        <v>90013958</v>
      </c>
      <c r="B13" s="6" t="s">
        <v>58</v>
      </c>
      <c r="C13" s="6" t="s">
        <v>108</v>
      </c>
      <c r="D13" s="6" t="s">
        <v>95</v>
      </c>
      <c r="E13" s="6">
        <v>2</v>
      </c>
      <c r="F13" s="6" t="s">
        <v>68</v>
      </c>
      <c r="G13" s="3" t="s">
        <v>159</v>
      </c>
      <c r="H13" s="3" t="s">
        <v>160</v>
      </c>
      <c r="I13" s="6" t="s">
        <v>68</v>
      </c>
      <c r="J13" s="3" t="s">
        <v>155</v>
      </c>
      <c r="K13" s="3" t="s">
        <v>156</v>
      </c>
      <c r="L13" s="6" t="s">
        <v>68</v>
      </c>
      <c r="M13" s="3" t="s">
        <v>155</v>
      </c>
      <c r="N13" s="3" t="s">
        <v>155</v>
      </c>
      <c r="O13" s="6" t="s">
        <v>68</v>
      </c>
      <c r="P13" s="3" t="s">
        <v>155</v>
      </c>
      <c r="Q13" s="3" t="s">
        <v>156</v>
      </c>
      <c r="R13" s="6"/>
      <c r="S13" s="3"/>
      <c r="T13" s="3"/>
      <c r="U13" s="3" t="str">
        <f t="shared" si="0"/>
        <v>Pendencia de Agenda e Cartões</v>
      </c>
      <c r="V13" s="3" t="str">
        <f t="shared" si="1"/>
        <v>Pendência de TACH</v>
      </c>
      <c r="W13" s="6">
        <f t="shared" si="2"/>
        <v>4</v>
      </c>
      <c r="X13" s="6">
        <f t="shared" si="3"/>
        <v>2</v>
      </c>
      <c r="Y13" s="3" t="str">
        <f t="shared" si="4"/>
        <v>Pendencia de Agenda e Cartões (4) &amp; Pendência de TACH (2)</v>
      </c>
      <c r="Z13">
        <v>6</v>
      </c>
    </row>
    <row r="14" spans="1:26">
      <c r="A14" s="6">
        <v>90002614</v>
      </c>
      <c r="B14" s="6" t="s">
        <v>59</v>
      </c>
      <c r="C14" s="6" t="s">
        <v>112</v>
      </c>
      <c r="D14" s="6" t="s">
        <v>95</v>
      </c>
      <c r="E14" s="6">
        <v>2</v>
      </c>
      <c r="F14" s="6" t="s">
        <v>68</v>
      </c>
      <c r="G14" s="3" t="s">
        <v>159</v>
      </c>
      <c r="H14" s="3" t="s">
        <v>162</v>
      </c>
      <c r="I14" s="6">
        <v>0</v>
      </c>
      <c r="J14" s="3" t="s">
        <v>154</v>
      </c>
      <c r="K14" s="3" t="s">
        <v>154</v>
      </c>
      <c r="L14" s="6">
        <v>0</v>
      </c>
      <c r="M14" s="3" t="s">
        <v>154</v>
      </c>
      <c r="N14" s="3" t="s">
        <v>154</v>
      </c>
      <c r="O14" s="6">
        <v>0</v>
      </c>
      <c r="P14" s="3" t="s">
        <v>154</v>
      </c>
      <c r="Q14" s="3" t="s">
        <v>154</v>
      </c>
      <c r="R14" s="6"/>
      <c r="S14" s="3"/>
      <c r="T14" s="3"/>
      <c r="U14" s="3" t="str">
        <f t="shared" si="0"/>
        <v>Pendencia de Agenda e Cartões</v>
      </c>
      <c r="V14" s="3" t="str">
        <f t="shared" si="1"/>
        <v/>
      </c>
      <c r="W14" s="6">
        <f t="shared" si="2"/>
        <v>0</v>
      </c>
      <c r="X14" s="6">
        <f t="shared" si="3"/>
        <v>0</v>
      </c>
      <c r="Y14" s="3" t="str">
        <f t="shared" si="4"/>
        <v>Pendencia de Agenda e Cartões (0)</v>
      </c>
      <c r="Z14">
        <v>0</v>
      </c>
    </row>
    <row r="15" spans="1:26">
      <c r="A15" s="6">
        <v>90001409</v>
      </c>
      <c r="B15" s="6" t="s">
        <v>60</v>
      </c>
      <c r="C15" s="6" t="s">
        <v>113</v>
      </c>
      <c r="D15" s="6" t="s">
        <v>95</v>
      </c>
      <c r="E15" s="6">
        <v>20</v>
      </c>
      <c r="F15" s="6" t="s">
        <v>72</v>
      </c>
      <c r="G15" s="3" t="s">
        <v>159</v>
      </c>
      <c r="H15" s="3" t="s">
        <v>160</v>
      </c>
      <c r="I15" s="6" t="s">
        <v>72</v>
      </c>
      <c r="J15" s="3" t="s">
        <v>155</v>
      </c>
      <c r="K15" s="3" t="s">
        <v>156</v>
      </c>
      <c r="L15" s="6" t="s">
        <v>72</v>
      </c>
      <c r="M15" s="3" t="s">
        <v>155</v>
      </c>
      <c r="N15" s="3" t="s">
        <v>155</v>
      </c>
      <c r="O15" s="6" t="s">
        <v>72</v>
      </c>
      <c r="P15" s="3" t="s">
        <v>155</v>
      </c>
      <c r="Q15" s="3" t="s">
        <v>156</v>
      </c>
      <c r="R15" s="6"/>
      <c r="S15" s="3"/>
      <c r="T15" s="3"/>
      <c r="U15" s="3" t="str">
        <f t="shared" si="0"/>
        <v>Pendencia de Agenda e Cartões</v>
      </c>
      <c r="V15" s="3" t="str">
        <f t="shared" si="1"/>
        <v>Pendência de TACH</v>
      </c>
      <c r="W15" s="6">
        <f t="shared" si="2"/>
        <v>4</v>
      </c>
      <c r="X15" s="6">
        <f t="shared" si="3"/>
        <v>2</v>
      </c>
      <c r="Y15" s="3" t="str">
        <f t="shared" si="4"/>
        <v>Pendencia de Agenda e Cartões (4) &amp; Pendência de TACH (2)</v>
      </c>
      <c r="Z15">
        <v>60</v>
      </c>
    </row>
    <row r="16" spans="1:26">
      <c r="A16" s="6">
        <v>90009989</v>
      </c>
      <c r="B16" s="6" t="s">
        <v>61</v>
      </c>
      <c r="C16" s="6" t="s">
        <v>114</v>
      </c>
      <c r="D16" s="6" t="s">
        <v>95</v>
      </c>
      <c r="E16" s="6">
        <v>2</v>
      </c>
      <c r="F16" s="6" t="s">
        <v>68</v>
      </c>
      <c r="G16" s="3" t="s">
        <v>159</v>
      </c>
      <c r="H16" s="3" t="s">
        <v>162</v>
      </c>
      <c r="I16" s="6" t="s">
        <v>68</v>
      </c>
      <c r="J16" s="3" t="s">
        <v>155</v>
      </c>
      <c r="K16" s="3" t="s">
        <v>157</v>
      </c>
      <c r="L16" s="6" t="s">
        <v>68</v>
      </c>
      <c r="M16" s="3" t="s">
        <v>155</v>
      </c>
      <c r="N16" s="3" t="s">
        <v>155</v>
      </c>
      <c r="O16" s="6">
        <v>0</v>
      </c>
      <c r="P16" s="3" t="s">
        <v>154</v>
      </c>
      <c r="Q16" s="3" t="s">
        <v>154</v>
      </c>
      <c r="R16" s="6"/>
      <c r="S16" s="3"/>
      <c r="T16" s="3"/>
      <c r="U16" s="3" t="str">
        <f t="shared" si="0"/>
        <v>Pendencia de Agenda e Cartões</v>
      </c>
      <c r="V16" s="3" t="str">
        <f t="shared" si="1"/>
        <v/>
      </c>
      <c r="W16" s="6">
        <f t="shared" si="2"/>
        <v>3</v>
      </c>
      <c r="X16" s="6">
        <f t="shared" si="3"/>
        <v>0</v>
      </c>
      <c r="Y16" s="3" t="str">
        <f t="shared" si="4"/>
        <v>Pendencia de Agenda e Cartões (3)</v>
      </c>
      <c r="Z16">
        <v>4</v>
      </c>
    </row>
    <row r="17" spans="1:26">
      <c r="A17" s="6">
        <v>90012360</v>
      </c>
      <c r="B17" s="6" t="s">
        <v>62</v>
      </c>
      <c r="C17" s="6" t="s">
        <v>115</v>
      </c>
      <c r="D17" s="6" t="s">
        <v>95</v>
      </c>
      <c r="E17" s="6">
        <v>16</v>
      </c>
      <c r="F17" s="6" t="s">
        <v>78</v>
      </c>
      <c r="G17" s="3" t="s">
        <v>159</v>
      </c>
      <c r="H17" s="3" t="s">
        <v>160</v>
      </c>
      <c r="I17" s="6" t="s">
        <v>78</v>
      </c>
      <c r="J17" s="3" t="s">
        <v>155</v>
      </c>
      <c r="K17" s="3" t="s">
        <v>156</v>
      </c>
      <c r="L17" s="6" t="s">
        <v>78</v>
      </c>
      <c r="M17" s="3" t="s">
        <v>155</v>
      </c>
      <c r="N17" s="3" t="s">
        <v>155</v>
      </c>
      <c r="O17" s="6">
        <v>0</v>
      </c>
      <c r="P17" s="3" t="s">
        <v>154</v>
      </c>
      <c r="Q17" s="3" t="s">
        <v>154</v>
      </c>
      <c r="R17" s="6"/>
      <c r="S17" s="3"/>
      <c r="T17" s="3"/>
      <c r="U17" s="3" t="str">
        <f t="shared" si="0"/>
        <v>Pendencia de Agenda e Cartões</v>
      </c>
      <c r="V17" s="3" t="str">
        <f t="shared" si="1"/>
        <v>Pendência de TACH</v>
      </c>
      <c r="W17" s="6">
        <f t="shared" si="2"/>
        <v>3</v>
      </c>
      <c r="X17" s="6">
        <f t="shared" si="3"/>
        <v>1</v>
      </c>
      <c r="Y17" s="3" t="str">
        <f t="shared" si="4"/>
        <v>Pendencia de Agenda e Cartões (3) &amp; Pendência de TACH (1)</v>
      </c>
      <c r="Z17">
        <v>32</v>
      </c>
    </row>
    <row r="18" spans="1:26">
      <c r="A18" s="6">
        <v>90004950</v>
      </c>
      <c r="B18" s="6" t="s">
        <v>63</v>
      </c>
      <c r="C18" s="6" t="s">
        <v>116</v>
      </c>
      <c r="D18" s="6" t="s">
        <v>95</v>
      </c>
      <c r="E18" s="6">
        <v>5</v>
      </c>
      <c r="F18" s="6" t="s">
        <v>79</v>
      </c>
      <c r="G18" s="3" t="s">
        <v>159</v>
      </c>
      <c r="H18" s="3" t="s">
        <v>160</v>
      </c>
      <c r="I18" s="6" t="s">
        <v>79</v>
      </c>
      <c r="J18" s="3" t="s">
        <v>155</v>
      </c>
      <c r="K18" s="3" t="s">
        <v>156</v>
      </c>
      <c r="L18" s="6" t="s">
        <v>79</v>
      </c>
      <c r="M18" s="3" t="s">
        <v>155</v>
      </c>
      <c r="N18" s="3" t="s">
        <v>155</v>
      </c>
      <c r="O18" s="6" t="s">
        <v>79</v>
      </c>
      <c r="P18" s="3" t="s">
        <v>155</v>
      </c>
      <c r="Q18" s="3" t="s">
        <v>156</v>
      </c>
      <c r="R18" s="6"/>
      <c r="S18" s="3"/>
      <c r="T18" s="3"/>
      <c r="U18" s="3" t="str">
        <f t="shared" si="0"/>
        <v>Pendencia de Agenda e Cartões</v>
      </c>
      <c r="V18" s="3" t="str">
        <f t="shared" si="1"/>
        <v>Pendência de TACH</v>
      </c>
      <c r="W18" s="6">
        <f t="shared" si="2"/>
        <v>4</v>
      </c>
      <c r="X18" s="6">
        <f t="shared" si="3"/>
        <v>2</v>
      </c>
      <c r="Y18" s="3" t="str">
        <f t="shared" si="4"/>
        <v>Pendencia de Agenda e Cartões (4) &amp; Pendência de TACH (2)</v>
      </c>
      <c r="Z18">
        <v>15</v>
      </c>
    </row>
    <row r="19" spans="1:26">
      <c r="A19" s="6">
        <v>90010258</v>
      </c>
      <c r="B19" s="6" t="s">
        <v>64</v>
      </c>
      <c r="C19" s="6" t="s">
        <v>117</v>
      </c>
      <c r="D19" s="6" t="s">
        <v>95</v>
      </c>
      <c r="E19" s="6">
        <v>12</v>
      </c>
      <c r="F19" s="6" t="s">
        <v>69</v>
      </c>
      <c r="G19" s="3" t="s">
        <v>159</v>
      </c>
      <c r="H19" s="3" t="s">
        <v>160</v>
      </c>
      <c r="I19" s="6" t="s">
        <v>69</v>
      </c>
      <c r="J19" s="3" t="s">
        <v>155</v>
      </c>
      <c r="K19" s="3" t="s">
        <v>156</v>
      </c>
      <c r="L19" s="6" t="s">
        <v>69</v>
      </c>
      <c r="M19" s="3" t="s">
        <v>155</v>
      </c>
      <c r="N19" s="3" t="s">
        <v>155</v>
      </c>
      <c r="O19" s="6" t="s">
        <v>69</v>
      </c>
      <c r="P19" s="3" t="s">
        <v>155</v>
      </c>
      <c r="Q19" s="3" t="s">
        <v>157</v>
      </c>
      <c r="R19" s="6"/>
      <c r="S19" s="3"/>
      <c r="T19" s="3"/>
      <c r="U19" s="3" t="str">
        <f t="shared" si="0"/>
        <v>Pendencia de Agenda e Cartões</v>
      </c>
      <c r="V19" s="3" t="str">
        <f t="shared" si="1"/>
        <v>Pendência de TACH</v>
      </c>
      <c r="W19" s="6">
        <f t="shared" si="2"/>
        <v>4</v>
      </c>
      <c r="X19" s="6">
        <f t="shared" si="3"/>
        <v>1</v>
      </c>
      <c r="Y19" s="3" t="str">
        <f t="shared" si="4"/>
        <v>Pendencia de Agenda e Cartões (4) &amp; Pendência de TACH (1)</v>
      </c>
      <c r="Z19">
        <v>36</v>
      </c>
    </row>
    <row r="20" spans="1:26">
      <c r="A20" s="6">
        <v>3363</v>
      </c>
      <c r="B20" s="6" t="s">
        <v>65</v>
      </c>
      <c r="C20" s="6" t="s">
        <v>118</v>
      </c>
      <c r="D20" s="6" t="s">
        <v>95</v>
      </c>
      <c r="E20" s="6">
        <v>4</v>
      </c>
      <c r="F20" s="6" t="s">
        <v>80</v>
      </c>
      <c r="G20" s="3" t="s">
        <v>159</v>
      </c>
      <c r="H20" s="3" t="s">
        <v>162</v>
      </c>
      <c r="I20" s="6" t="s">
        <v>80</v>
      </c>
      <c r="J20" s="3" t="s">
        <v>155</v>
      </c>
      <c r="K20" s="3" t="s">
        <v>157</v>
      </c>
      <c r="L20" s="6" t="s">
        <v>80</v>
      </c>
      <c r="M20" s="3" t="s">
        <v>155</v>
      </c>
      <c r="N20" s="3" t="s">
        <v>155</v>
      </c>
      <c r="O20" s="6">
        <v>0</v>
      </c>
      <c r="P20" s="3" t="s">
        <v>154</v>
      </c>
      <c r="Q20" s="3" t="s">
        <v>154</v>
      </c>
      <c r="R20" s="6"/>
      <c r="S20" s="3"/>
      <c r="T20" s="3"/>
      <c r="U20" s="3" t="str">
        <f t="shared" si="0"/>
        <v>Pendencia de Agenda e Cartões</v>
      </c>
      <c r="V20" s="3" t="str">
        <f t="shared" si="1"/>
        <v/>
      </c>
      <c r="W20" s="6">
        <f t="shared" si="2"/>
        <v>3</v>
      </c>
      <c r="X20" s="6">
        <f t="shared" si="3"/>
        <v>0</v>
      </c>
      <c r="Y20" s="3" t="str">
        <f t="shared" si="4"/>
        <v>Pendencia de Agenda e Cartões (3)</v>
      </c>
      <c r="Z20">
        <v>8</v>
      </c>
    </row>
    <row r="21" spans="1:26">
      <c r="A21" s="6">
        <v>90010292</v>
      </c>
      <c r="B21" s="6" t="s">
        <v>66</v>
      </c>
      <c r="C21" s="6" t="s">
        <v>109</v>
      </c>
      <c r="D21" s="6" t="s">
        <v>95</v>
      </c>
      <c r="E21" s="6">
        <v>8</v>
      </c>
      <c r="F21" s="6" t="s">
        <v>76</v>
      </c>
      <c r="G21" s="3" t="s">
        <v>159</v>
      </c>
      <c r="H21" s="3" t="s">
        <v>160</v>
      </c>
      <c r="I21" s="6" t="s">
        <v>76</v>
      </c>
      <c r="J21" s="3" t="s">
        <v>155</v>
      </c>
      <c r="K21" s="3" t="s">
        <v>156</v>
      </c>
      <c r="L21" s="6" t="s">
        <v>76</v>
      </c>
      <c r="M21" s="3" t="s">
        <v>155</v>
      </c>
      <c r="N21" s="3" t="s">
        <v>155</v>
      </c>
      <c r="O21" s="6" t="s">
        <v>76</v>
      </c>
      <c r="P21" s="3" t="s">
        <v>155</v>
      </c>
      <c r="Q21" s="3" t="s">
        <v>157</v>
      </c>
      <c r="R21" s="6"/>
      <c r="S21" s="3"/>
      <c r="T21" s="3"/>
      <c r="U21" s="3" t="str">
        <f t="shared" si="0"/>
        <v>Pendencia de Agenda e Cartões</v>
      </c>
      <c r="V21" s="3" t="str">
        <f t="shared" si="1"/>
        <v>Pendência de TACH</v>
      </c>
      <c r="W21" s="6">
        <f t="shared" si="2"/>
        <v>4</v>
      </c>
      <c r="X21" s="6">
        <f t="shared" si="3"/>
        <v>1</v>
      </c>
      <c r="Y21" s="3" t="str">
        <f t="shared" si="4"/>
        <v>Pendencia de Agenda e Cartões (4) &amp; Pendência de TACH (1)</v>
      </c>
      <c r="Z21">
        <v>24</v>
      </c>
    </row>
    <row r="22" spans="1:26">
      <c r="A22" s="6">
        <v>31303</v>
      </c>
      <c r="B22" s="6" t="s">
        <v>67</v>
      </c>
      <c r="C22" s="6" t="s">
        <v>119</v>
      </c>
      <c r="D22" s="6" t="s">
        <v>95</v>
      </c>
      <c r="E22" s="6">
        <v>28</v>
      </c>
      <c r="F22" s="6" t="s">
        <v>81</v>
      </c>
      <c r="G22" s="3" t="s">
        <v>159</v>
      </c>
      <c r="H22" s="3" t="s">
        <v>160</v>
      </c>
      <c r="I22" s="6" t="s">
        <v>81</v>
      </c>
      <c r="J22" s="3" t="s">
        <v>155</v>
      </c>
      <c r="K22" s="3" t="s">
        <v>156</v>
      </c>
      <c r="L22" s="6" t="s">
        <v>81</v>
      </c>
      <c r="M22" s="3" t="s">
        <v>155</v>
      </c>
      <c r="N22" s="3" t="s">
        <v>155</v>
      </c>
      <c r="O22" s="6" t="s">
        <v>81</v>
      </c>
      <c r="P22" s="3" t="s">
        <v>155</v>
      </c>
      <c r="Q22" s="3" t="s">
        <v>157</v>
      </c>
      <c r="R22" s="6"/>
      <c r="S22" s="3"/>
      <c r="T22" s="3"/>
      <c r="U22" s="3" t="str">
        <f t="shared" si="0"/>
        <v>Pendencia de Agenda e Cartões</v>
      </c>
      <c r="V22" s="3" t="str">
        <f t="shared" si="1"/>
        <v>Pendência de TACH</v>
      </c>
      <c r="W22" s="6">
        <f t="shared" si="2"/>
        <v>4</v>
      </c>
      <c r="X22" s="6">
        <f t="shared" si="3"/>
        <v>1</v>
      </c>
      <c r="Y22" s="3" t="str">
        <f t="shared" si="4"/>
        <v>Pendencia de Agenda e Cartões (4) &amp; Pendência de TACH (1)</v>
      </c>
      <c r="Z22">
        <v>84</v>
      </c>
    </row>
    <row r="23" spans="1:26">
      <c r="A23" s="6">
        <v>90013903</v>
      </c>
      <c r="B23" s="6" t="s">
        <v>97</v>
      </c>
      <c r="C23" s="6" t="s">
        <v>120</v>
      </c>
      <c r="D23" s="6" t="s">
        <v>95</v>
      </c>
      <c r="E23" s="6">
        <v>6</v>
      </c>
      <c r="F23" s="6">
        <v>0</v>
      </c>
      <c r="G23" s="3" t="s">
        <v>161</v>
      </c>
      <c r="H23" s="3" t="s">
        <v>160</v>
      </c>
      <c r="I23" s="6">
        <v>0</v>
      </c>
      <c r="J23" s="3" t="s">
        <v>154</v>
      </c>
      <c r="K23" s="3" t="s">
        <v>154</v>
      </c>
      <c r="L23" s="6">
        <v>0</v>
      </c>
      <c r="M23" s="3" t="s">
        <v>154</v>
      </c>
      <c r="N23" s="3" t="s">
        <v>154</v>
      </c>
      <c r="O23" s="6">
        <v>0</v>
      </c>
      <c r="P23" s="3" t="s">
        <v>154</v>
      </c>
      <c r="Q23" s="3" t="s">
        <v>154</v>
      </c>
      <c r="R23" s="6"/>
      <c r="S23" s="3"/>
      <c r="T23" s="3"/>
      <c r="U23" s="3" t="str">
        <f t="shared" si="0"/>
        <v/>
      </c>
      <c r="V23" s="3" t="str">
        <f t="shared" si="1"/>
        <v/>
      </c>
      <c r="W23" s="6">
        <f t="shared" si="2"/>
        <v>0</v>
      </c>
      <c r="X23" s="6">
        <f t="shared" si="3"/>
        <v>0</v>
      </c>
      <c r="Y23" s="3" t="str">
        <f t="shared" si="4"/>
        <v/>
      </c>
      <c r="Z23">
        <v>0</v>
      </c>
    </row>
    <row r="24" spans="1:26">
      <c r="A24" s="6">
        <v>4717</v>
      </c>
      <c r="B24" s="6" t="s">
        <v>98</v>
      </c>
      <c r="C24" s="6" t="s">
        <v>121</v>
      </c>
      <c r="D24" s="6" t="s">
        <v>101</v>
      </c>
      <c r="E24" s="6">
        <v>28</v>
      </c>
      <c r="F24" s="6">
        <v>0</v>
      </c>
      <c r="G24" s="3" t="s">
        <v>161</v>
      </c>
      <c r="H24" s="3" t="s">
        <v>160</v>
      </c>
      <c r="I24" s="6">
        <v>0</v>
      </c>
      <c r="J24" s="3" t="s">
        <v>158</v>
      </c>
      <c r="K24" s="3" t="s">
        <v>156</v>
      </c>
      <c r="L24" s="6">
        <v>0</v>
      </c>
      <c r="M24" s="3" t="s">
        <v>158</v>
      </c>
      <c r="N24" s="3" t="s">
        <v>158</v>
      </c>
      <c r="O24" s="6">
        <v>0</v>
      </c>
      <c r="P24" s="3" t="s">
        <v>158</v>
      </c>
      <c r="Q24" s="3" t="s">
        <v>156</v>
      </c>
      <c r="R24" s="6"/>
      <c r="S24" s="3"/>
      <c r="T24" s="3"/>
      <c r="U24" s="3" t="str">
        <f t="shared" si="0"/>
        <v/>
      </c>
      <c r="V24" s="3" t="str">
        <f t="shared" si="1"/>
        <v>Pendência de TACH</v>
      </c>
      <c r="W24" s="6">
        <f t="shared" si="2"/>
        <v>0</v>
      </c>
      <c r="X24" s="6">
        <f t="shared" si="3"/>
        <v>2</v>
      </c>
      <c r="Y24" s="3" t="str">
        <f t="shared" si="4"/>
        <v>Pendência de TACH (2)</v>
      </c>
      <c r="Z24">
        <v>0</v>
      </c>
    </row>
    <row r="25" spans="1:26">
      <c r="A25" s="6">
        <v>8306</v>
      </c>
      <c r="B25" s="6" t="s">
        <v>47</v>
      </c>
      <c r="C25" s="6" t="s">
        <v>102</v>
      </c>
      <c r="D25" s="6" t="s">
        <v>95</v>
      </c>
      <c r="E25" s="6">
        <v>2</v>
      </c>
      <c r="F25" s="6" t="s">
        <v>68</v>
      </c>
      <c r="G25" s="3" t="s">
        <v>159</v>
      </c>
      <c r="H25" s="3" t="s">
        <v>160</v>
      </c>
      <c r="I25" s="6" t="s">
        <v>68</v>
      </c>
      <c r="J25" s="3" t="s">
        <v>155</v>
      </c>
      <c r="K25" s="3" t="s">
        <v>156</v>
      </c>
      <c r="L25" s="6" t="s">
        <v>68</v>
      </c>
      <c r="M25" s="3" t="s">
        <v>155</v>
      </c>
      <c r="N25" s="3" t="s">
        <v>155</v>
      </c>
      <c r="O25" s="6" t="s">
        <v>68</v>
      </c>
      <c r="P25" s="3" t="s">
        <v>155</v>
      </c>
      <c r="Q25" s="3" t="s">
        <v>156</v>
      </c>
      <c r="R25" s="6"/>
      <c r="S25" s="3"/>
      <c r="T25" s="3"/>
      <c r="U25" s="3" t="str">
        <f t="shared" si="0"/>
        <v>Pendencia de Agenda e Cartões</v>
      </c>
      <c r="V25" s="3" t="str">
        <f t="shared" si="1"/>
        <v>Pendência de TACH</v>
      </c>
      <c r="W25" s="6">
        <f t="shared" si="2"/>
        <v>4</v>
      </c>
      <c r="X25" s="6">
        <f t="shared" si="3"/>
        <v>2</v>
      </c>
      <c r="Y25" s="3" t="str">
        <f t="shared" si="4"/>
        <v>Pendencia de Agenda e Cartões (4) &amp; Pendência de TACH (2)</v>
      </c>
      <c r="Z25">
        <v>6</v>
      </c>
    </row>
    <row r="26" spans="1:26">
      <c r="A26" s="6">
        <v>23702</v>
      </c>
      <c r="B26" s="6" t="s">
        <v>127</v>
      </c>
      <c r="C26" s="6" t="s">
        <v>145</v>
      </c>
      <c r="D26" s="6" t="s">
        <v>95</v>
      </c>
      <c r="E26" s="6">
        <v>22</v>
      </c>
      <c r="F26" s="6">
        <v>0</v>
      </c>
      <c r="G26" s="3" t="s">
        <v>154</v>
      </c>
      <c r="H26" s="3" t="s">
        <v>154</v>
      </c>
      <c r="I26" s="6" t="s">
        <v>77</v>
      </c>
      <c r="J26" s="3" t="s">
        <v>155</v>
      </c>
      <c r="K26" s="3" t="s">
        <v>156</v>
      </c>
      <c r="L26" s="6" t="s">
        <v>77</v>
      </c>
      <c r="M26" s="3" t="s">
        <v>155</v>
      </c>
      <c r="N26" s="3" t="s">
        <v>155</v>
      </c>
      <c r="O26" s="6" t="s">
        <v>77</v>
      </c>
      <c r="P26" s="3" t="s">
        <v>155</v>
      </c>
      <c r="Q26" s="3" t="s">
        <v>157</v>
      </c>
      <c r="R26" s="6"/>
      <c r="S26" s="3"/>
      <c r="T26" s="3"/>
      <c r="U26" s="3" t="str">
        <f t="shared" si="0"/>
        <v>Pendencia de Agenda e Cartões</v>
      </c>
      <c r="V26" s="3" t="str">
        <f t="shared" si="1"/>
        <v>Pendência de TACH</v>
      </c>
      <c r="W26" s="6">
        <f t="shared" si="2"/>
        <v>4</v>
      </c>
      <c r="X26" s="6">
        <f t="shared" si="3"/>
        <v>1</v>
      </c>
      <c r="Y26" s="3" t="str">
        <f t="shared" si="4"/>
        <v>Pendencia de Agenda e Cartões (4) &amp; Pendência de TACH (1)</v>
      </c>
      <c r="Z26">
        <v>66</v>
      </c>
    </row>
    <row r="27" spans="1:26">
      <c r="A27" s="6">
        <v>90005652</v>
      </c>
      <c r="B27" s="6" t="s">
        <v>128</v>
      </c>
      <c r="C27" s="6" t="s">
        <v>146</v>
      </c>
      <c r="D27" s="6" t="s">
        <v>95</v>
      </c>
      <c r="E27" s="6">
        <v>36</v>
      </c>
      <c r="F27" s="6">
        <v>0</v>
      </c>
      <c r="G27" s="3" t="s">
        <v>154</v>
      </c>
      <c r="H27" s="3" t="s">
        <v>154</v>
      </c>
      <c r="I27" s="6" t="s">
        <v>75</v>
      </c>
      <c r="J27" s="3" t="s">
        <v>155</v>
      </c>
      <c r="K27" s="3" t="s">
        <v>157</v>
      </c>
      <c r="L27" s="6" t="s">
        <v>75</v>
      </c>
      <c r="M27" s="3" t="s">
        <v>155</v>
      </c>
      <c r="N27" s="3" t="s">
        <v>155</v>
      </c>
      <c r="O27" s="6">
        <v>0</v>
      </c>
      <c r="P27" s="3" t="s">
        <v>154</v>
      </c>
      <c r="Q27" s="3" t="s">
        <v>154</v>
      </c>
      <c r="R27" s="6"/>
      <c r="S27" s="3"/>
      <c r="T27" s="3"/>
      <c r="U27" s="3" t="str">
        <f t="shared" si="0"/>
        <v>Pendencia de Agenda e Cartões</v>
      </c>
      <c r="V27" s="3" t="str">
        <f t="shared" si="1"/>
        <v/>
      </c>
      <c r="W27" s="6">
        <f t="shared" si="2"/>
        <v>3</v>
      </c>
      <c r="X27" s="6">
        <f t="shared" si="3"/>
        <v>0</v>
      </c>
      <c r="Y27" s="3" t="str">
        <f t="shared" si="4"/>
        <v>Pendencia de Agenda e Cartões (3)</v>
      </c>
      <c r="Z27">
        <v>6</v>
      </c>
    </row>
    <row r="28" spans="1:26">
      <c r="A28" s="6">
        <v>90014322</v>
      </c>
      <c r="B28" s="6" t="s">
        <v>131</v>
      </c>
      <c r="C28" s="6" t="s">
        <v>147</v>
      </c>
      <c r="D28" s="6" t="s">
        <v>95</v>
      </c>
      <c r="E28" s="6">
        <v>12</v>
      </c>
      <c r="F28" s="6">
        <v>0</v>
      </c>
      <c r="G28" s="3" t="s">
        <v>154</v>
      </c>
      <c r="H28" s="3" t="s">
        <v>154</v>
      </c>
      <c r="I28" s="6">
        <v>0</v>
      </c>
      <c r="J28" s="3" t="s">
        <v>158</v>
      </c>
      <c r="K28" s="3" t="s">
        <v>156</v>
      </c>
      <c r="L28" s="6">
        <v>0</v>
      </c>
      <c r="M28" s="3" t="s">
        <v>154</v>
      </c>
      <c r="N28" s="3" t="s">
        <v>154</v>
      </c>
      <c r="O28" s="6">
        <v>0</v>
      </c>
      <c r="P28" s="3" t="s">
        <v>154</v>
      </c>
      <c r="Q28" s="3" t="s">
        <v>154</v>
      </c>
      <c r="R28" s="6"/>
      <c r="S28" s="3"/>
      <c r="T28" s="3"/>
      <c r="U28" s="3" t="str">
        <f t="shared" si="0"/>
        <v/>
      </c>
      <c r="V28" s="3" t="str">
        <f t="shared" si="1"/>
        <v>Pendência de TACH</v>
      </c>
      <c r="W28" s="6">
        <f t="shared" si="2"/>
        <v>0</v>
      </c>
      <c r="X28" s="6">
        <f t="shared" si="3"/>
        <v>1</v>
      </c>
      <c r="Y28" s="3" t="str">
        <f t="shared" si="4"/>
        <v>Pendência de TACH (1)</v>
      </c>
      <c r="Z28">
        <v>0</v>
      </c>
    </row>
    <row r="29" spans="1:26">
      <c r="A29" s="6">
        <v>90002589</v>
      </c>
      <c r="B29" s="6" t="s">
        <v>132</v>
      </c>
      <c r="C29" s="6" t="s">
        <v>148</v>
      </c>
      <c r="D29" s="6" t="s">
        <v>101</v>
      </c>
      <c r="E29" s="6">
        <v>36</v>
      </c>
      <c r="F29" s="6">
        <v>0</v>
      </c>
      <c r="G29" s="3" t="s">
        <v>154</v>
      </c>
      <c r="H29" s="3" t="s">
        <v>154</v>
      </c>
      <c r="I29" s="6">
        <v>0</v>
      </c>
      <c r="J29" s="3" t="s">
        <v>158</v>
      </c>
      <c r="K29" s="3" t="s">
        <v>156</v>
      </c>
      <c r="L29" s="6">
        <v>0</v>
      </c>
      <c r="M29" s="3" t="s">
        <v>154</v>
      </c>
      <c r="N29" s="3" t="s">
        <v>154</v>
      </c>
      <c r="O29" s="6">
        <v>0</v>
      </c>
      <c r="P29" s="3" t="s">
        <v>154</v>
      </c>
      <c r="Q29" s="3" t="s">
        <v>154</v>
      </c>
      <c r="R29" s="6"/>
      <c r="S29" s="3"/>
      <c r="T29" s="3"/>
      <c r="U29" s="3" t="str">
        <f t="shared" si="0"/>
        <v/>
      </c>
      <c r="V29" s="3" t="str">
        <f t="shared" si="1"/>
        <v>Pendência de TACH</v>
      </c>
      <c r="W29" s="6">
        <f t="shared" si="2"/>
        <v>0</v>
      </c>
      <c r="X29" s="6">
        <f t="shared" si="3"/>
        <v>1</v>
      </c>
      <c r="Y29" s="3" t="str">
        <f t="shared" si="4"/>
        <v>Pendência de TACH (1)</v>
      </c>
      <c r="Z29">
        <v>0</v>
      </c>
    </row>
    <row r="30" spans="1:26">
      <c r="A30" s="6">
        <v>90003767</v>
      </c>
      <c r="B30" s="6" t="s">
        <v>135</v>
      </c>
      <c r="C30" s="6" t="s">
        <v>149</v>
      </c>
      <c r="D30" s="6" t="s">
        <v>95</v>
      </c>
      <c r="E30" s="6">
        <v>30</v>
      </c>
      <c r="F30" s="6">
        <v>0</v>
      </c>
      <c r="G30" s="3" t="s">
        <v>154</v>
      </c>
      <c r="H30" s="3" t="s">
        <v>154</v>
      </c>
      <c r="I30" s="6">
        <v>0</v>
      </c>
      <c r="J30" s="3" t="s">
        <v>154</v>
      </c>
      <c r="K30" s="3" t="s">
        <v>154</v>
      </c>
      <c r="L30" s="6" t="s">
        <v>137</v>
      </c>
      <c r="M30" s="3" t="s">
        <v>155</v>
      </c>
      <c r="N30" s="3" t="s">
        <v>155</v>
      </c>
      <c r="O30" s="6">
        <v>0</v>
      </c>
      <c r="P30" s="3" t="s">
        <v>154</v>
      </c>
      <c r="Q30" s="3" t="s">
        <v>154</v>
      </c>
      <c r="R30" s="6"/>
      <c r="S30" s="3"/>
      <c r="T30" s="3"/>
      <c r="U30" s="3" t="str">
        <f t="shared" si="0"/>
        <v>Pendencia de Agenda e Cartões</v>
      </c>
      <c r="V30" s="3" t="str">
        <f t="shared" si="1"/>
        <v/>
      </c>
      <c r="W30" s="6">
        <f t="shared" si="2"/>
        <v>2</v>
      </c>
      <c r="X30" s="6">
        <f t="shared" si="3"/>
        <v>0</v>
      </c>
      <c r="Y30" s="3" t="str">
        <f t="shared" si="4"/>
        <v>Pendencia de Agenda e Cartões (2)</v>
      </c>
      <c r="Z30">
        <v>30</v>
      </c>
    </row>
    <row r="31" spans="1:26">
      <c r="A31" s="6">
        <v>90010954</v>
      </c>
      <c r="B31" s="6" t="s">
        <v>136</v>
      </c>
      <c r="C31" s="6" t="s">
        <v>150</v>
      </c>
      <c r="D31" s="6" t="s">
        <v>95</v>
      </c>
      <c r="E31" s="6">
        <v>12</v>
      </c>
      <c r="F31" s="6">
        <v>0</v>
      </c>
      <c r="G31" s="3" t="s">
        <v>154</v>
      </c>
      <c r="H31" s="3" t="s">
        <v>154</v>
      </c>
      <c r="I31" s="6">
        <v>0</v>
      </c>
      <c r="J31" s="3" t="s">
        <v>154</v>
      </c>
      <c r="K31" s="3" t="s">
        <v>154</v>
      </c>
      <c r="L31" s="6" t="s">
        <v>69</v>
      </c>
      <c r="M31" s="3" t="s">
        <v>155</v>
      </c>
      <c r="N31" s="3" t="s">
        <v>155</v>
      </c>
      <c r="O31" s="6" t="s">
        <v>69</v>
      </c>
      <c r="P31" s="3" t="s">
        <v>155</v>
      </c>
      <c r="Q31" s="3" t="s">
        <v>156</v>
      </c>
      <c r="R31" s="6"/>
      <c r="S31" s="3"/>
      <c r="T31" s="3"/>
      <c r="U31" s="3" t="str">
        <f t="shared" si="0"/>
        <v>Pendencia de Agenda e Cartões</v>
      </c>
      <c r="V31" s="3" t="str">
        <f t="shared" si="1"/>
        <v>Pendência de TACH</v>
      </c>
      <c r="W31" s="6">
        <f t="shared" si="2"/>
        <v>3</v>
      </c>
      <c r="X31" s="6">
        <f t="shared" si="3"/>
        <v>1</v>
      </c>
      <c r="Y31" s="3" t="str">
        <f t="shared" si="4"/>
        <v>Pendencia de Agenda e Cartões (3) &amp; Pendência de TACH (1)</v>
      </c>
      <c r="Z31">
        <v>24</v>
      </c>
    </row>
    <row r="32" spans="1:26">
      <c r="A32" s="6">
        <v>29942</v>
      </c>
      <c r="B32" s="6" t="s">
        <v>139</v>
      </c>
      <c r="C32" s="6" t="s">
        <v>151</v>
      </c>
      <c r="D32" s="6" t="s">
        <v>101</v>
      </c>
      <c r="E32" s="6">
        <v>18</v>
      </c>
      <c r="F32" s="6">
        <v>0</v>
      </c>
      <c r="G32" s="3" t="s">
        <v>154</v>
      </c>
      <c r="H32" s="3" t="s">
        <v>154</v>
      </c>
      <c r="I32" s="6">
        <v>0</v>
      </c>
      <c r="J32" s="3" t="s">
        <v>154</v>
      </c>
      <c r="K32" s="3" t="s">
        <v>154</v>
      </c>
      <c r="L32" s="6">
        <v>0</v>
      </c>
      <c r="M32" s="3" t="s">
        <v>158</v>
      </c>
      <c r="N32" s="3" t="s">
        <v>158</v>
      </c>
      <c r="O32" s="6">
        <v>0</v>
      </c>
      <c r="P32" s="3" t="s">
        <v>154</v>
      </c>
      <c r="Q32" s="3" t="s">
        <v>154</v>
      </c>
      <c r="R32" s="6"/>
      <c r="S32" s="3"/>
      <c r="T32" s="3"/>
      <c r="U32" s="3" t="str">
        <f t="shared" si="0"/>
        <v/>
      </c>
      <c r="V32" s="3" t="str">
        <f t="shared" si="1"/>
        <v/>
      </c>
      <c r="W32" s="6">
        <f t="shared" si="2"/>
        <v>0</v>
      </c>
      <c r="X32" s="6">
        <f t="shared" si="3"/>
        <v>0</v>
      </c>
      <c r="Y32" s="3" t="str">
        <f t="shared" si="4"/>
        <v/>
      </c>
      <c r="Z32">
        <v>0</v>
      </c>
    </row>
    <row r="33" spans="1:26">
      <c r="A33" s="6">
        <v>20244</v>
      </c>
      <c r="B33" s="6" t="s">
        <v>140</v>
      </c>
      <c r="C33" s="6" t="s">
        <v>152</v>
      </c>
      <c r="D33" s="6" t="s">
        <v>101</v>
      </c>
      <c r="E33" s="6">
        <v>34</v>
      </c>
      <c r="F33" s="6">
        <v>0</v>
      </c>
      <c r="G33" s="3" t="s">
        <v>154</v>
      </c>
      <c r="H33" s="3" t="s">
        <v>154</v>
      </c>
      <c r="I33" s="6">
        <v>0</v>
      </c>
      <c r="J33" s="3" t="s">
        <v>154</v>
      </c>
      <c r="K33" s="3" t="s">
        <v>154</v>
      </c>
      <c r="L33" s="6">
        <v>0</v>
      </c>
      <c r="M33" s="3" t="s">
        <v>158</v>
      </c>
      <c r="N33" s="3" t="s">
        <v>158</v>
      </c>
      <c r="O33" s="6">
        <v>0</v>
      </c>
      <c r="P33" s="3" t="s">
        <v>154</v>
      </c>
      <c r="Q33" s="3" t="s">
        <v>154</v>
      </c>
      <c r="R33" s="6"/>
      <c r="S33" s="3"/>
      <c r="T33" s="3"/>
      <c r="U33" s="3" t="str">
        <f t="shared" si="0"/>
        <v/>
      </c>
      <c r="V33" s="3" t="str">
        <f t="shared" si="1"/>
        <v/>
      </c>
      <c r="W33" s="6">
        <f t="shared" si="2"/>
        <v>0</v>
      </c>
      <c r="X33" s="6">
        <f t="shared" si="3"/>
        <v>0</v>
      </c>
      <c r="Y33" s="3" t="str">
        <f t="shared" si="4"/>
        <v/>
      </c>
      <c r="Z33">
        <v>0</v>
      </c>
    </row>
    <row r="34" spans="1:26">
      <c r="A34" s="6">
        <v>32701</v>
      </c>
      <c r="B34" s="6" t="s">
        <v>143</v>
      </c>
      <c r="C34" s="6" t="s">
        <v>153</v>
      </c>
      <c r="D34" s="6" t="s">
        <v>95</v>
      </c>
      <c r="E34" s="6">
        <v>19</v>
      </c>
      <c r="F34" s="6">
        <v>0</v>
      </c>
      <c r="G34" s="3" t="s">
        <v>154</v>
      </c>
      <c r="H34" s="3" t="s">
        <v>154</v>
      </c>
      <c r="I34" s="6">
        <v>0</v>
      </c>
      <c r="J34" s="3" t="s">
        <v>154</v>
      </c>
      <c r="K34" s="3" t="s">
        <v>154</v>
      </c>
      <c r="L34" s="6">
        <v>0</v>
      </c>
      <c r="M34" s="3" t="s">
        <v>154</v>
      </c>
      <c r="N34" s="3" t="s">
        <v>154</v>
      </c>
      <c r="O34" s="6">
        <v>0</v>
      </c>
      <c r="P34" s="3" t="s">
        <v>158</v>
      </c>
      <c r="Q34" s="3" t="s">
        <v>156</v>
      </c>
      <c r="R34" s="6"/>
      <c r="S34" s="3"/>
      <c r="T34" s="3"/>
      <c r="U34" s="3" t="str">
        <f t="shared" si="0"/>
        <v/>
      </c>
      <c r="V34" s="3" t="str">
        <f t="shared" si="1"/>
        <v>Pendência de TACH</v>
      </c>
      <c r="W34" s="6">
        <f t="shared" si="2"/>
        <v>0</v>
      </c>
      <c r="X34" s="6">
        <f t="shared" si="3"/>
        <v>1</v>
      </c>
      <c r="Y34" s="3" t="str">
        <f t="shared" si="4"/>
        <v>Pendência de TACH (1)</v>
      </c>
      <c r="Z34">
        <v>0</v>
      </c>
    </row>
    <row r="35" spans="1:26">
      <c r="A35" s="6"/>
      <c r="B35" s="6"/>
      <c r="C35" s="6"/>
      <c r="D35" s="6"/>
      <c r="E35" s="6"/>
      <c r="G35" s="3"/>
      <c r="H35" s="3"/>
      <c r="I35" s="6"/>
      <c r="J35" s="6"/>
      <c r="K35" s="6"/>
      <c r="L35" s="6"/>
      <c r="M35" s="6"/>
      <c r="N35" s="6"/>
      <c r="O35" s="6"/>
      <c r="P35" s="6"/>
      <c r="Q35" s="6"/>
      <c r="R35" s="6"/>
      <c r="S35" s="3"/>
      <c r="T35" s="3"/>
      <c r="U35" s="3" t="str">
        <f t="shared" si="0"/>
        <v/>
      </c>
      <c r="V35" s="3"/>
      <c r="W35" s="6"/>
      <c r="X35" s="6"/>
      <c r="Y35" s="3" t="str">
        <f t="shared" si="4"/>
        <v/>
      </c>
    </row>
    <row r="36" spans="1:26">
      <c r="A36" s="6"/>
      <c r="B36" s="6"/>
      <c r="C36" s="6"/>
      <c r="D36" s="6"/>
      <c r="E36" s="6"/>
      <c r="G36" s="3"/>
      <c r="H36" s="3"/>
      <c r="I36" s="6"/>
      <c r="J36" s="6"/>
      <c r="K36" s="6"/>
      <c r="L36" s="6"/>
      <c r="M36" s="6"/>
      <c r="N36" s="6"/>
      <c r="O36" s="6"/>
      <c r="P36" s="6"/>
      <c r="Q36" s="6"/>
      <c r="R36" s="6"/>
      <c r="S36" s="3"/>
      <c r="T36" s="3"/>
      <c r="U36" s="3" t="str">
        <f t="shared" si="0"/>
        <v/>
      </c>
      <c r="V36" s="3"/>
      <c r="W36" s="6"/>
      <c r="X36" s="6"/>
      <c r="Y36" s="3" t="str">
        <f t="shared" si="4"/>
        <v/>
      </c>
    </row>
    <row r="37" spans="1:26">
      <c r="A37" s="6"/>
      <c r="B37" s="6"/>
      <c r="C37" s="6"/>
      <c r="D37" s="6"/>
      <c r="E37" s="6"/>
      <c r="G37" s="3"/>
      <c r="H37" s="3"/>
      <c r="I37" s="6"/>
      <c r="J37" s="3"/>
      <c r="K37" s="3"/>
      <c r="L37" s="6"/>
      <c r="M37" s="6"/>
      <c r="N37" s="6"/>
      <c r="O37" s="6"/>
      <c r="P37" s="6"/>
      <c r="Q37" s="6"/>
      <c r="R37" s="6"/>
      <c r="S37" s="3"/>
      <c r="T37" s="3"/>
      <c r="U37" s="3" t="str">
        <f t="shared" si="0"/>
        <v/>
      </c>
      <c r="V37" s="3"/>
      <c r="W37" s="6"/>
      <c r="X37" s="6"/>
      <c r="Y37" s="3" t="str">
        <f t="shared" si="4"/>
        <v/>
      </c>
    </row>
    <row r="38" spans="1:26">
      <c r="A38" s="6"/>
      <c r="B38" s="6"/>
      <c r="C38" s="6"/>
      <c r="D38" s="6"/>
      <c r="E38" s="6"/>
      <c r="G38" s="3"/>
      <c r="H38" s="3"/>
      <c r="I38" s="6"/>
      <c r="J38" s="3"/>
      <c r="K38" s="3"/>
      <c r="L38" s="6"/>
      <c r="M38" s="3"/>
      <c r="N38" s="3"/>
      <c r="O38" s="6"/>
      <c r="P38" s="3"/>
      <c r="Q38" s="3"/>
      <c r="R38" s="6"/>
      <c r="S38" s="3"/>
      <c r="T38" s="3"/>
      <c r="U38" s="3" t="str">
        <f t="shared" si="0"/>
        <v/>
      </c>
      <c r="V38" s="3"/>
      <c r="W38" s="6"/>
      <c r="X38" s="6"/>
      <c r="Y38" s="3" t="str">
        <f t="shared" si="4"/>
        <v/>
      </c>
    </row>
    <row r="39" spans="1:26">
      <c r="A39" s="6"/>
      <c r="B39" s="6"/>
      <c r="C39" s="6"/>
      <c r="D39" s="6"/>
      <c r="E39" s="6"/>
      <c r="G39" s="3"/>
      <c r="H39" s="3"/>
      <c r="I39" s="6"/>
      <c r="J39" s="3"/>
      <c r="K39" s="3"/>
      <c r="L39" s="6"/>
      <c r="M39" s="6"/>
      <c r="N39" s="6"/>
      <c r="O39" s="6"/>
      <c r="P39" s="6"/>
      <c r="Q39" s="6"/>
      <c r="R39" s="6"/>
      <c r="S39" s="3"/>
      <c r="T39" s="3"/>
      <c r="U39" s="3" t="str">
        <f t="shared" si="0"/>
        <v/>
      </c>
      <c r="V39" s="3"/>
      <c r="W39" s="6"/>
      <c r="X39" s="6"/>
      <c r="Y39" s="3" t="str">
        <f t="shared" si="4"/>
        <v/>
      </c>
    </row>
    <row r="40" spans="1:26">
      <c r="A40" s="6"/>
      <c r="B40" s="6"/>
      <c r="C40" s="6"/>
      <c r="D40" s="6"/>
      <c r="E40" s="6"/>
      <c r="G40" s="3"/>
      <c r="H40" s="3"/>
      <c r="I40" s="6"/>
      <c r="J40" s="3"/>
      <c r="K40" s="3"/>
      <c r="L40" s="6"/>
      <c r="M40" s="6"/>
      <c r="N40" s="6"/>
      <c r="O40" s="6"/>
      <c r="P40" s="6"/>
      <c r="Q40" s="6"/>
      <c r="R40" s="6"/>
      <c r="S40" s="3"/>
      <c r="T40" s="3"/>
      <c r="U40" s="3" t="str">
        <f t="shared" si="0"/>
        <v/>
      </c>
      <c r="V40" s="3"/>
      <c r="W40" s="6"/>
      <c r="X40" s="6"/>
      <c r="Y40" s="3" t="str">
        <f t="shared" si="4"/>
        <v/>
      </c>
    </row>
    <row r="41" spans="1:26">
      <c r="A41" s="6"/>
      <c r="B41" s="6"/>
      <c r="C41" s="6"/>
      <c r="D41" s="6"/>
      <c r="E41" s="6"/>
      <c r="G41" s="3"/>
      <c r="H41" s="3"/>
      <c r="I41" s="6"/>
      <c r="J41" s="6"/>
      <c r="K41" s="6"/>
      <c r="L41" s="6"/>
      <c r="M41" s="3"/>
      <c r="N41" s="3"/>
      <c r="O41" s="6"/>
      <c r="P41" s="6"/>
      <c r="Q41" s="6"/>
      <c r="R41" s="6"/>
      <c r="S41" s="3"/>
      <c r="T41" s="3"/>
      <c r="U41" s="3" t="str">
        <f t="shared" si="0"/>
        <v/>
      </c>
      <c r="V41" s="3"/>
      <c r="W41" s="6"/>
      <c r="X41" s="6"/>
      <c r="Y41" s="3" t="str">
        <f t="shared" si="4"/>
        <v/>
      </c>
    </row>
    <row r="42" spans="1:26">
      <c r="A42" s="6"/>
      <c r="B42" s="6"/>
      <c r="C42" s="6"/>
      <c r="D42" s="6"/>
      <c r="E42" s="6"/>
      <c r="G42" s="3"/>
      <c r="H42" s="3"/>
      <c r="I42" s="6"/>
      <c r="J42" s="6"/>
      <c r="K42" s="6"/>
      <c r="L42" s="6"/>
      <c r="M42" s="3"/>
      <c r="N42" s="3"/>
      <c r="O42" s="6"/>
      <c r="P42" s="3"/>
      <c r="Q42" s="3"/>
      <c r="R42" s="6"/>
      <c r="S42" s="3"/>
      <c r="T42" s="3"/>
      <c r="U42" s="3" t="str">
        <f t="shared" si="0"/>
        <v/>
      </c>
      <c r="V42" s="3"/>
      <c r="W42" s="6"/>
      <c r="X42" s="6"/>
      <c r="Y42" s="3" t="str">
        <f t="shared" si="4"/>
        <v/>
      </c>
    </row>
    <row r="43" spans="1:26">
      <c r="A43" s="6"/>
      <c r="B43" s="6"/>
      <c r="C43" s="6"/>
      <c r="D43" s="6"/>
      <c r="E43" s="6"/>
      <c r="G43" s="3"/>
      <c r="H43" s="3"/>
      <c r="I43" s="6"/>
      <c r="J43" s="6"/>
      <c r="K43" s="6"/>
      <c r="L43" s="6"/>
      <c r="M43" s="3"/>
      <c r="N43" s="3"/>
      <c r="O43" s="6"/>
      <c r="P43" s="3"/>
      <c r="Q43" s="3"/>
      <c r="R43" s="6"/>
      <c r="S43" s="3"/>
      <c r="T43" s="3"/>
      <c r="U43" s="3" t="str">
        <f t="shared" si="0"/>
        <v/>
      </c>
      <c r="V43" s="3"/>
      <c r="W43" s="6"/>
      <c r="X43" s="6"/>
      <c r="Y43" s="3" t="str">
        <f t="shared" si="4"/>
        <v/>
      </c>
    </row>
    <row r="44" spans="1:26">
      <c r="A44" s="6"/>
      <c r="B44" s="6"/>
      <c r="C44" s="6"/>
      <c r="D44" s="6"/>
      <c r="E44" s="6"/>
      <c r="G44" s="3"/>
      <c r="H44" s="3"/>
      <c r="I44" s="6"/>
      <c r="J44" s="6"/>
      <c r="K44" s="6"/>
      <c r="L44" s="6"/>
      <c r="M44" s="3"/>
      <c r="N44" s="3"/>
      <c r="O44" s="6"/>
      <c r="P44" s="3"/>
      <c r="Q44" s="3"/>
      <c r="R44" s="6"/>
      <c r="S44" s="3"/>
      <c r="T44" s="3"/>
      <c r="U44" s="3" t="str">
        <f t="shared" si="0"/>
        <v/>
      </c>
      <c r="V44" s="3"/>
      <c r="W44" s="6"/>
      <c r="X44" s="6"/>
      <c r="Y44" s="3" t="str">
        <f t="shared" si="4"/>
        <v/>
      </c>
    </row>
    <row r="45" spans="1:26">
      <c r="A45" s="6"/>
      <c r="B45" s="6"/>
      <c r="C45" s="6"/>
      <c r="D45" s="6"/>
      <c r="E45" s="6"/>
      <c r="G45" s="3"/>
      <c r="H45" s="3"/>
      <c r="I45" s="6"/>
      <c r="J45" s="6"/>
      <c r="K45" s="6"/>
      <c r="L45" s="6"/>
      <c r="M45" s="3"/>
      <c r="N45" s="3"/>
      <c r="O45" s="6"/>
      <c r="P45" s="6"/>
      <c r="Q45" s="6"/>
      <c r="R45" s="6"/>
      <c r="S45" s="3"/>
      <c r="T45" s="3"/>
      <c r="U45" s="3" t="str">
        <f t="shared" si="0"/>
        <v/>
      </c>
      <c r="V45" s="3"/>
      <c r="W45" s="6"/>
      <c r="X45" s="6"/>
      <c r="Y45" s="3" t="str">
        <f t="shared" si="4"/>
        <v/>
      </c>
    </row>
    <row r="46" spans="1:26">
      <c r="A46" s="6"/>
      <c r="B46" s="6"/>
      <c r="C46" s="6"/>
      <c r="D46" s="6"/>
      <c r="E46" s="6"/>
      <c r="G46" s="3"/>
      <c r="H46" s="3"/>
      <c r="I46" s="6"/>
      <c r="J46" s="6"/>
      <c r="K46" s="6"/>
      <c r="L46" s="6"/>
      <c r="M46" s="3"/>
      <c r="N46" s="3"/>
      <c r="O46" s="6"/>
      <c r="P46" s="3"/>
      <c r="Q46" s="3"/>
      <c r="R46" s="6"/>
      <c r="S46" s="3"/>
      <c r="T46" s="3"/>
      <c r="U46" s="3" t="str">
        <f t="shared" si="0"/>
        <v/>
      </c>
      <c r="V46" s="3"/>
      <c r="W46" s="6"/>
      <c r="X46" s="6"/>
      <c r="Y46" s="3" t="str">
        <f t="shared" si="4"/>
        <v/>
      </c>
    </row>
    <row r="47" spans="1:26">
      <c r="A47" s="6"/>
      <c r="B47" s="6"/>
      <c r="C47" s="6"/>
      <c r="D47" s="6"/>
      <c r="E47" s="6"/>
      <c r="G47" s="3"/>
      <c r="H47" s="3"/>
      <c r="I47" s="6"/>
      <c r="J47" s="6"/>
      <c r="K47" s="6"/>
      <c r="L47" s="6"/>
      <c r="M47" s="3"/>
      <c r="N47" s="3"/>
      <c r="O47" s="6"/>
      <c r="P47" s="3"/>
      <c r="Q47" s="3"/>
      <c r="R47" s="6"/>
      <c r="S47" s="3"/>
      <c r="T47" s="3"/>
      <c r="U47" s="3" t="str">
        <f t="shared" si="0"/>
        <v/>
      </c>
      <c r="V47" s="3"/>
      <c r="W47" s="6"/>
      <c r="X47" s="6"/>
      <c r="Y47" s="3" t="str">
        <f t="shared" si="4"/>
        <v/>
      </c>
    </row>
    <row r="48" spans="1:26">
      <c r="A48" s="6"/>
      <c r="B48" s="6"/>
      <c r="C48" s="6"/>
      <c r="D48" s="6"/>
      <c r="E48" s="6"/>
      <c r="G48" s="3"/>
      <c r="H48" s="3"/>
      <c r="I48" s="6"/>
      <c r="J48" s="6"/>
      <c r="K48" s="6"/>
      <c r="L48" s="6"/>
      <c r="M48" s="3"/>
      <c r="N48" s="3"/>
      <c r="O48" s="6"/>
      <c r="P48" s="6"/>
      <c r="Q48" s="6"/>
      <c r="R48" s="6"/>
      <c r="S48" s="3"/>
      <c r="T48" s="3"/>
      <c r="U48" s="3" t="str">
        <f t="shared" si="0"/>
        <v/>
      </c>
      <c r="V48" s="3"/>
      <c r="W48" s="6"/>
      <c r="X48" s="6"/>
      <c r="Y48" s="3" t="str">
        <f t="shared" si="4"/>
        <v/>
      </c>
    </row>
    <row r="49" spans="1:25">
      <c r="A49" s="6"/>
      <c r="B49" s="6"/>
      <c r="C49" s="6"/>
      <c r="D49" s="6"/>
      <c r="E49" s="6"/>
      <c r="G49" s="3"/>
      <c r="H49" s="3"/>
      <c r="I49" s="6"/>
      <c r="J49" s="6"/>
      <c r="K49" s="6"/>
      <c r="L49" s="6"/>
      <c r="M49" s="3"/>
      <c r="N49" s="3"/>
      <c r="O49" s="6"/>
      <c r="P49" s="3"/>
      <c r="Q49" s="3"/>
      <c r="R49" s="6"/>
      <c r="S49" s="3"/>
      <c r="T49" s="3"/>
      <c r="U49" s="3" t="str">
        <f t="shared" si="0"/>
        <v/>
      </c>
      <c r="V49" s="3"/>
      <c r="W49" s="6"/>
      <c r="X49" s="6"/>
      <c r="Y49" s="3" t="str">
        <f t="shared" si="4"/>
        <v/>
      </c>
    </row>
    <row r="50" spans="1:25">
      <c r="A50" s="6"/>
      <c r="B50" s="6"/>
      <c r="C50" s="6"/>
      <c r="D50" s="6"/>
      <c r="E50" s="6"/>
      <c r="G50" s="3"/>
      <c r="H50" s="3"/>
      <c r="I50" s="6"/>
      <c r="J50" s="6"/>
      <c r="K50" s="6"/>
      <c r="L50" s="6"/>
      <c r="M50" s="3"/>
      <c r="N50" s="3"/>
      <c r="O50" s="6"/>
      <c r="P50" s="3"/>
      <c r="Q50" s="3"/>
      <c r="R50" s="6"/>
      <c r="S50" s="3"/>
      <c r="T50" s="3"/>
      <c r="U50" s="3" t="str">
        <f t="shared" si="0"/>
        <v/>
      </c>
      <c r="V50" s="3"/>
      <c r="W50" s="6"/>
      <c r="X50" s="6"/>
      <c r="Y50" s="3" t="str">
        <f t="shared" si="4"/>
        <v/>
      </c>
    </row>
    <row r="51" spans="1:25">
      <c r="A51" s="6"/>
      <c r="B51" s="6"/>
      <c r="C51" s="6"/>
      <c r="D51" s="6"/>
      <c r="E51" s="6"/>
      <c r="G51" s="3"/>
      <c r="H51" s="3"/>
      <c r="I51" s="6"/>
      <c r="J51" s="6"/>
      <c r="K51" s="6"/>
      <c r="L51" s="6"/>
      <c r="M51" s="3"/>
      <c r="N51" s="3"/>
      <c r="O51" s="6"/>
      <c r="P51" s="3"/>
      <c r="Q51" s="3"/>
      <c r="R51" s="6"/>
      <c r="S51" s="3"/>
      <c r="T51" s="3"/>
      <c r="U51" s="3" t="str">
        <f t="shared" si="0"/>
        <v/>
      </c>
      <c r="V51" s="3"/>
      <c r="W51" s="6"/>
      <c r="X51" s="6"/>
      <c r="Y51" s="3" t="str">
        <f t="shared" si="4"/>
        <v/>
      </c>
    </row>
    <row r="52" spans="1:25">
      <c r="A52" s="6"/>
      <c r="B52" s="6"/>
      <c r="C52" s="6"/>
      <c r="D52" s="6"/>
      <c r="E52" s="6"/>
      <c r="G52" s="3"/>
      <c r="H52" s="3"/>
      <c r="I52" s="6"/>
      <c r="J52" s="6"/>
      <c r="K52" s="6"/>
      <c r="L52" s="6"/>
      <c r="M52" s="3"/>
      <c r="N52" s="3"/>
      <c r="O52" s="6"/>
      <c r="P52" s="3"/>
      <c r="Q52" s="3"/>
      <c r="R52" s="6"/>
      <c r="S52" s="3"/>
      <c r="T52" s="3"/>
      <c r="U52" s="3" t="str">
        <f t="shared" si="0"/>
        <v/>
      </c>
      <c r="V52" s="3"/>
      <c r="W52" s="6"/>
      <c r="X52" s="6"/>
      <c r="Y52" s="3" t="str">
        <f t="shared" si="4"/>
        <v/>
      </c>
    </row>
    <row r="53" spans="1:25">
      <c r="A53" s="6"/>
      <c r="B53" s="6"/>
      <c r="C53" s="6"/>
      <c r="D53" s="6"/>
      <c r="E53" s="6"/>
      <c r="G53" s="3"/>
      <c r="H53" s="3"/>
      <c r="I53" s="6"/>
      <c r="J53" s="6"/>
      <c r="K53" s="6"/>
      <c r="L53" s="6"/>
      <c r="M53" s="6"/>
      <c r="N53" s="6"/>
      <c r="O53" s="6"/>
      <c r="P53" s="3"/>
      <c r="Q53" s="3"/>
      <c r="R53" s="6"/>
      <c r="S53" s="3"/>
      <c r="T53" s="3"/>
      <c r="U53" s="3" t="str">
        <f t="shared" si="0"/>
        <v/>
      </c>
      <c r="V53" s="3"/>
      <c r="W53" s="6"/>
      <c r="X53" s="6"/>
      <c r="Y53" s="3" t="str">
        <f t="shared" si="4"/>
        <v/>
      </c>
    </row>
    <row r="54" spans="1:25">
      <c r="A54" s="6"/>
      <c r="B54" s="6"/>
      <c r="C54" s="6"/>
      <c r="D54" s="6"/>
      <c r="E54" s="6"/>
      <c r="G54" s="3"/>
      <c r="H54" s="3"/>
      <c r="I54" s="6"/>
      <c r="J54" s="6"/>
      <c r="K54" s="6"/>
      <c r="L54" s="6"/>
      <c r="M54" s="6"/>
      <c r="N54" s="6"/>
      <c r="O54" s="6"/>
      <c r="P54" s="3"/>
      <c r="Q54" s="3"/>
      <c r="R54" s="6"/>
      <c r="S54" s="3"/>
      <c r="T54" s="3"/>
      <c r="U54" s="3" t="str">
        <f t="shared" si="0"/>
        <v/>
      </c>
      <c r="V54" s="3"/>
      <c r="W54" s="6"/>
      <c r="X54" s="6"/>
      <c r="Y54" s="3" t="str">
        <f t="shared" si="4"/>
        <v/>
      </c>
    </row>
    <row r="55" spans="1:25">
      <c r="A55" s="6"/>
      <c r="B55" s="6"/>
      <c r="C55" s="6"/>
      <c r="D55" s="6"/>
      <c r="E55" s="6"/>
      <c r="G55" s="3"/>
      <c r="H55" s="3"/>
      <c r="I55" s="6"/>
      <c r="J55" s="6"/>
      <c r="K55" s="6"/>
      <c r="L55" s="6"/>
      <c r="M55" s="6"/>
      <c r="N55" s="6"/>
      <c r="O55" s="6"/>
      <c r="P55" s="3"/>
      <c r="Q55" s="3"/>
      <c r="R55" s="6"/>
      <c r="S55" s="3"/>
      <c r="T55" s="3"/>
      <c r="U55" s="3" t="str">
        <f t="shared" si="0"/>
        <v/>
      </c>
      <c r="V55" s="3"/>
      <c r="W55" s="6"/>
      <c r="X55" s="6"/>
      <c r="Y55" s="3" t="str">
        <f t="shared" si="4"/>
        <v/>
      </c>
    </row>
    <row r="56" spans="1:25">
      <c r="A56" s="6"/>
      <c r="B56" s="6"/>
      <c r="C56" s="6"/>
      <c r="D56" s="6"/>
      <c r="E56" s="6"/>
      <c r="G56" s="3"/>
      <c r="H56" s="3"/>
      <c r="I56" s="6"/>
      <c r="J56" s="6"/>
      <c r="K56" s="6"/>
      <c r="L56" s="6"/>
      <c r="M56" s="6"/>
      <c r="N56" s="6"/>
      <c r="O56" s="6"/>
      <c r="P56" s="3"/>
      <c r="Q56" s="3"/>
      <c r="R56" s="6"/>
      <c r="S56" s="3"/>
      <c r="T56" s="3"/>
      <c r="U56" s="3" t="str">
        <f t="shared" si="0"/>
        <v/>
      </c>
      <c r="V56" s="3"/>
      <c r="W56" s="6"/>
      <c r="X56" s="6"/>
      <c r="Y56" s="3" t="str">
        <f t="shared" si="4"/>
        <v/>
      </c>
    </row>
    <row r="57" spans="1:25">
      <c r="A57" s="6"/>
      <c r="B57" s="6"/>
      <c r="C57" s="6"/>
      <c r="D57" s="6"/>
      <c r="E57" s="6"/>
      <c r="G57" s="3"/>
      <c r="H57" s="3"/>
      <c r="I57" s="6"/>
      <c r="J57" s="6"/>
      <c r="K57" s="6"/>
      <c r="L57" s="6"/>
      <c r="M57" s="6"/>
      <c r="N57" s="6"/>
      <c r="O57" s="6"/>
      <c r="P57" s="3"/>
      <c r="Q57" s="3"/>
      <c r="R57" s="6"/>
      <c r="S57" s="3"/>
      <c r="T57" s="3"/>
      <c r="U57" s="3" t="str">
        <f t="shared" si="0"/>
        <v/>
      </c>
      <c r="V57" s="3"/>
      <c r="W57" s="6"/>
      <c r="X57" s="6"/>
      <c r="Y57" s="3" t="str">
        <f t="shared" si="4"/>
        <v/>
      </c>
    </row>
    <row r="58" spans="1:25">
      <c r="A58" s="6"/>
      <c r="B58" s="6"/>
      <c r="C58" s="6"/>
      <c r="D58" s="6"/>
      <c r="E58" s="6"/>
      <c r="F58" s="6"/>
      <c r="G58" s="3"/>
      <c r="H58" s="3"/>
      <c r="I58" s="6"/>
      <c r="J58" s="3"/>
      <c r="K58" s="3"/>
      <c r="L58" s="6"/>
      <c r="M58" s="3"/>
      <c r="N58" s="3"/>
      <c r="O58" s="6"/>
      <c r="P58" s="3"/>
      <c r="Q58" s="3"/>
      <c r="R58" s="6"/>
      <c r="S58" s="3"/>
      <c r="T58" s="3"/>
      <c r="U58" s="3"/>
      <c r="V58" s="3"/>
      <c r="W58" s="6"/>
      <c r="X58" s="6"/>
      <c r="Y58" s="3"/>
    </row>
    <row r="59" spans="1:25">
      <c r="A59" s="6"/>
      <c r="B59" s="6"/>
      <c r="C59" s="6"/>
      <c r="D59" s="6"/>
      <c r="E59" s="6"/>
      <c r="F59" s="6"/>
      <c r="G59" s="3"/>
      <c r="H59" s="3"/>
      <c r="I59" s="6"/>
      <c r="J59" s="3"/>
      <c r="K59" s="3"/>
      <c r="L59" s="6"/>
      <c r="M59" s="3"/>
      <c r="N59" s="3"/>
      <c r="O59" s="6"/>
      <c r="P59" s="3"/>
      <c r="Q59" s="3"/>
      <c r="R59" s="6"/>
      <c r="S59" s="3"/>
      <c r="T59" s="3"/>
      <c r="U59" s="3"/>
      <c r="V59" s="3"/>
      <c r="W59" s="6"/>
      <c r="X59" s="6"/>
      <c r="Y59" s="3"/>
    </row>
    <row r="60" spans="1:25">
      <c r="A60" s="6"/>
      <c r="B60" s="6"/>
      <c r="C60" s="6"/>
      <c r="D60" s="6"/>
      <c r="E60" s="6"/>
      <c r="F60" s="6"/>
      <c r="G60" s="3"/>
      <c r="H60" s="3"/>
      <c r="I60" s="6"/>
      <c r="J60" s="3"/>
      <c r="K60" s="3"/>
      <c r="L60" s="6"/>
      <c r="M60" s="3"/>
      <c r="N60" s="3"/>
      <c r="O60" s="6"/>
      <c r="P60" s="3"/>
      <c r="Q60" s="3"/>
      <c r="R60" s="6"/>
      <c r="S60" s="3"/>
      <c r="T60" s="3"/>
      <c r="U60" s="3"/>
      <c r="V60" s="3"/>
      <c r="W60" s="6"/>
      <c r="X60" s="6"/>
      <c r="Y60" s="3"/>
    </row>
    <row r="61" spans="1:25">
      <c r="A61" s="6"/>
      <c r="B61" s="6"/>
      <c r="C61" s="6"/>
      <c r="D61" s="6"/>
      <c r="E61" s="6"/>
      <c r="F61" s="6"/>
      <c r="G61" s="3"/>
      <c r="H61" s="3"/>
      <c r="I61" s="6"/>
      <c r="J61" s="3"/>
      <c r="K61" s="3"/>
      <c r="L61" s="6"/>
      <c r="M61" s="3"/>
      <c r="N61" s="3"/>
      <c r="O61" s="6"/>
      <c r="P61" s="3"/>
      <c r="Q61" s="3"/>
      <c r="R61" s="6"/>
      <c r="S61" s="3"/>
      <c r="T61" s="3"/>
      <c r="U61" s="3"/>
      <c r="V61" s="3"/>
      <c r="W61" s="6"/>
      <c r="X61" s="6"/>
      <c r="Y61" s="3"/>
    </row>
    <row r="62" spans="1:25">
      <c r="A62" s="6"/>
      <c r="B62" s="6"/>
      <c r="C62" s="6"/>
      <c r="D62" s="6"/>
      <c r="E62" s="6"/>
      <c r="F62" s="6"/>
      <c r="G62" s="3"/>
      <c r="H62" s="3"/>
      <c r="I62" s="6"/>
      <c r="J62" s="3"/>
      <c r="K62" s="3"/>
      <c r="L62" s="6"/>
      <c r="M62" s="3"/>
      <c r="N62" s="3"/>
      <c r="O62" s="6"/>
      <c r="P62" s="3"/>
      <c r="Q62" s="3"/>
      <c r="R62" s="6"/>
      <c r="S62" s="3"/>
      <c r="T62" s="3"/>
      <c r="U62" s="3"/>
      <c r="V62" s="3"/>
      <c r="W62" s="6"/>
      <c r="X62" s="6"/>
      <c r="Y62" s="3"/>
    </row>
    <row r="63" spans="1:25">
      <c r="A63" s="6"/>
      <c r="B63" s="6"/>
      <c r="C63" s="6"/>
      <c r="D63" s="6"/>
      <c r="E63" s="6"/>
      <c r="F63" s="6"/>
      <c r="G63" s="3"/>
      <c r="H63" s="3"/>
      <c r="I63" s="6"/>
      <c r="J63" s="3"/>
      <c r="K63" s="3"/>
      <c r="L63" s="6"/>
      <c r="M63" s="3"/>
      <c r="N63" s="3"/>
      <c r="O63" s="6"/>
      <c r="P63" s="3"/>
      <c r="Q63" s="3"/>
      <c r="R63" s="6"/>
      <c r="S63" s="3"/>
      <c r="T63" s="3"/>
      <c r="U63" s="3"/>
      <c r="V63" s="3"/>
      <c r="W63" s="6"/>
      <c r="X63" s="6"/>
      <c r="Y63" s="3"/>
    </row>
    <row r="64" spans="1:25">
      <c r="A64" s="6"/>
      <c r="B64" s="6"/>
      <c r="C64" s="6"/>
      <c r="D64" s="6"/>
      <c r="E64" s="6"/>
      <c r="F64" s="6"/>
      <c r="G64" s="3"/>
      <c r="H64" s="3"/>
      <c r="I64" s="6"/>
      <c r="J64" s="3"/>
      <c r="K64" s="3"/>
      <c r="L64" s="6"/>
      <c r="M64" s="3"/>
      <c r="N64" s="3"/>
      <c r="O64" s="6"/>
      <c r="P64" s="3"/>
      <c r="Q64" s="3"/>
      <c r="R64" s="6"/>
      <c r="S64" s="3"/>
      <c r="T64" s="3"/>
      <c r="U64" s="3"/>
      <c r="V64" s="3"/>
      <c r="W64" s="6"/>
      <c r="X64" s="6"/>
      <c r="Y64" s="3"/>
    </row>
    <row r="65" spans="1:25">
      <c r="A65" s="6"/>
      <c r="B65" s="6"/>
      <c r="C65" s="6"/>
      <c r="D65" s="6"/>
      <c r="E65" s="6"/>
      <c r="F65" s="6"/>
      <c r="G65" s="3"/>
      <c r="H65" s="3"/>
      <c r="I65" s="6"/>
      <c r="J65" s="3"/>
      <c r="K65" s="3"/>
      <c r="L65" s="6"/>
      <c r="M65" s="3"/>
      <c r="N65" s="3"/>
      <c r="O65" s="6"/>
      <c r="P65" s="3"/>
      <c r="Q65" s="3"/>
      <c r="R65" s="6"/>
      <c r="S65" s="3"/>
      <c r="T65" s="3"/>
      <c r="U65" s="3"/>
      <c r="V65" s="3"/>
      <c r="W65" s="6"/>
      <c r="X65" s="6"/>
      <c r="Y65" s="3"/>
    </row>
    <row r="66" spans="1:25">
      <c r="A66" s="6"/>
      <c r="B66" s="6"/>
      <c r="C66" s="6"/>
      <c r="D66" s="6"/>
      <c r="E66" s="6"/>
      <c r="F66" s="6"/>
      <c r="G66" s="3"/>
      <c r="H66" s="3"/>
      <c r="I66" s="6"/>
      <c r="J66" s="3"/>
      <c r="K66" s="3"/>
      <c r="L66" s="6"/>
      <c r="M66" s="3"/>
      <c r="N66" s="3"/>
      <c r="O66" s="6"/>
      <c r="P66" s="3"/>
      <c r="Q66" s="3"/>
      <c r="R66" s="6"/>
      <c r="S66" s="3"/>
      <c r="T66" s="3"/>
      <c r="U66" s="3"/>
      <c r="V66" s="3"/>
      <c r="W66" s="6"/>
      <c r="X66" s="6"/>
      <c r="Y66" s="3"/>
    </row>
    <row r="67" spans="1:25">
      <c r="A67" s="6"/>
      <c r="B67" s="6"/>
      <c r="C67" s="6"/>
      <c r="D67" s="6"/>
      <c r="E67" s="6"/>
      <c r="F67" s="6"/>
      <c r="G67" s="3"/>
      <c r="H67" s="3"/>
      <c r="I67" s="6"/>
      <c r="J67" s="3"/>
      <c r="K67" s="3"/>
      <c r="L67" s="6"/>
      <c r="M67" s="3"/>
      <c r="N67" s="3"/>
      <c r="O67" s="6"/>
      <c r="P67" s="3"/>
      <c r="Q67" s="3"/>
      <c r="R67" s="6"/>
      <c r="S67" s="3"/>
      <c r="T67" s="3"/>
      <c r="U67" s="3"/>
      <c r="V67" s="3"/>
      <c r="W67" s="6"/>
      <c r="X67" s="6"/>
      <c r="Y67" s="3"/>
    </row>
    <row r="68" spans="1:25">
      <c r="A68" s="6"/>
      <c r="B68" s="6"/>
      <c r="C68" s="6"/>
      <c r="D68" s="6"/>
      <c r="E68" s="6"/>
      <c r="F68" s="6"/>
      <c r="G68" s="3"/>
      <c r="H68" s="3"/>
      <c r="I68" s="6"/>
      <c r="J68" s="3"/>
      <c r="K68" s="3"/>
      <c r="L68" s="6"/>
      <c r="M68" s="3"/>
      <c r="N68" s="3"/>
      <c r="O68" s="6"/>
      <c r="P68" s="3"/>
      <c r="Q68" s="3"/>
      <c r="R68" s="6"/>
      <c r="S68" s="3"/>
      <c r="T68" s="3"/>
      <c r="U68" s="3"/>
      <c r="V68" s="3"/>
      <c r="W68" s="6"/>
      <c r="X68" s="6"/>
      <c r="Y68" s="3"/>
    </row>
    <row r="69" spans="1:25">
      <c r="A69" s="6"/>
      <c r="B69" s="6"/>
      <c r="C69" s="6"/>
      <c r="D69" s="6"/>
      <c r="E69" s="6"/>
      <c r="F69" s="6"/>
      <c r="G69" s="3"/>
      <c r="H69" s="3"/>
      <c r="I69" s="6"/>
      <c r="J69" s="3"/>
      <c r="K69" s="3"/>
      <c r="L69" s="6"/>
      <c r="M69" s="3"/>
      <c r="N69" s="3"/>
      <c r="O69" s="6"/>
      <c r="P69" s="3"/>
      <c r="Q69" s="3"/>
      <c r="R69" s="6"/>
      <c r="S69" s="3"/>
      <c r="T69" s="3"/>
      <c r="U69" s="3"/>
      <c r="V69" s="3"/>
      <c r="W69" s="6"/>
      <c r="X69" s="6"/>
      <c r="Y69" s="3"/>
    </row>
    <row r="70" spans="1:25">
      <c r="A70" s="6"/>
      <c r="B70" s="6"/>
      <c r="C70" s="6"/>
      <c r="D70" s="6"/>
      <c r="E70" s="6"/>
      <c r="F70" s="6"/>
      <c r="G70" s="3"/>
      <c r="H70" s="3"/>
      <c r="I70" s="6"/>
      <c r="J70" s="3"/>
      <c r="K70" s="3"/>
      <c r="L70" s="6"/>
      <c r="M70" s="3"/>
      <c r="N70" s="3"/>
      <c r="O70" s="6"/>
      <c r="P70" s="3"/>
      <c r="Q70" s="3"/>
      <c r="R70" s="6"/>
      <c r="S70" s="3"/>
      <c r="T70" s="3"/>
      <c r="U70" s="3"/>
      <c r="V70" s="3"/>
      <c r="W70" s="6"/>
      <c r="X70" s="6"/>
      <c r="Y70" s="3"/>
    </row>
    <row r="71" spans="1:25">
      <c r="A71" s="6"/>
      <c r="B71" s="6"/>
      <c r="C71" s="6"/>
      <c r="D71" s="6"/>
      <c r="E71" s="6"/>
      <c r="F71" s="6"/>
      <c r="G71" s="3"/>
      <c r="H71" s="3"/>
      <c r="I71" s="6"/>
      <c r="J71" s="3"/>
      <c r="K71" s="3"/>
      <c r="L71" s="6"/>
      <c r="M71" s="3"/>
      <c r="N71" s="3"/>
      <c r="O71" s="6"/>
      <c r="P71" s="3"/>
      <c r="Q71" s="3"/>
      <c r="R71" s="6"/>
      <c r="S71" s="3"/>
      <c r="T71" s="3"/>
      <c r="U71" s="3"/>
      <c r="V71" s="3"/>
      <c r="W71" s="6"/>
      <c r="X71" s="6"/>
      <c r="Y71" s="3"/>
    </row>
    <row r="72" spans="1:25">
      <c r="A72" s="6"/>
      <c r="B72" s="6"/>
      <c r="C72" s="6"/>
      <c r="D72" s="6"/>
      <c r="E72" s="6"/>
      <c r="F72" s="6"/>
      <c r="G72" s="3"/>
      <c r="H72" s="3"/>
      <c r="I72" s="6"/>
      <c r="J72" s="3"/>
      <c r="K72" s="3"/>
      <c r="L72" s="6"/>
      <c r="M72" s="3"/>
      <c r="N72" s="3"/>
      <c r="O72" s="6"/>
      <c r="P72" s="3"/>
      <c r="Q72" s="3"/>
      <c r="R72" s="6"/>
      <c r="S72" s="3"/>
      <c r="T72" s="3"/>
      <c r="U72" s="3"/>
      <c r="V72" s="3"/>
      <c r="W72" s="6"/>
      <c r="X72" s="6"/>
      <c r="Y72" s="3"/>
    </row>
    <row r="73" spans="1:25">
      <c r="A73" s="6"/>
      <c r="B73" s="6"/>
      <c r="C73" s="6"/>
      <c r="D73" s="6"/>
      <c r="E73" s="6"/>
      <c r="F73" s="6"/>
      <c r="G73" s="3"/>
      <c r="H73" s="3"/>
      <c r="I73" s="6"/>
      <c r="J73" s="3"/>
      <c r="K73" s="3"/>
      <c r="L73" s="6"/>
      <c r="M73" s="3"/>
      <c r="N73" s="3"/>
      <c r="O73" s="6"/>
      <c r="P73" s="3"/>
      <c r="Q73" s="3"/>
      <c r="R73" s="6"/>
      <c r="S73" s="3"/>
      <c r="T73" s="3"/>
      <c r="U73" s="3"/>
      <c r="V73" s="3"/>
      <c r="W73" s="6"/>
      <c r="X73" s="6"/>
      <c r="Y73" s="3"/>
    </row>
    <row r="74" spans="1:25">
      <c r="A74" s="6"/>
      <c r="B74" s="6"/>
      <c r="C74" s="6"/>
      <c r="D74" s="6"/>
      <c r="E74" s="6"/>
      <c r="F74" s="6"/>
      <c r="G74" s="3"/>
      <c r="H74" s="3"/>
      <c r="I74" s="6"/>
      <c r="J74" s="3"/>
      <c r="K74" s="3"/>
      <c r="L74" s="6"/>
      <c r="M74" s="3"/>
      <c r="N74" s="3"/>
      <c r="O74" s="6"/>
      <c r="P74" s="3"/>
      <c r="Q74" s="3"/>
      <c r="R74" s="6"/>
      <c r="S74" s="3"/>
      <c r="T74" s="3"/>
      <c r="U74" s="3"/>
      <c r="V74" s="3"/>
      <c r="W74" s="6"/>
      <c r="X74" s="6"/>
      <c r="Y74" s="3"/>
    </row>
    <row r="75" spans="1:25">
      <c r="A75" s="6"/>
      <c r="B75" s="6"/>
      <c r="C75" s="6"/>
      <c r="D75" s="6"/>
      <c r="E75" s="6"/>
      <c r="F75" s="6"/>
      <c r="G75" s="3"/>
      <c r="H75" s="3"/>
      <c r="I75" s="6"/>
      <c r="J75" s="3"/>
      <c r="K75" s="3"/>
      <c r="L75" s="6"/>
      <c r="M75" s="3"/>
      <c r="N75" s="3"/>
      <c r="O75" s="6"/>
      <c r="P75" s="3"/>
      <c r="Q75" s="3"/>
      <c r="R75" s="6"/>
      <c r="S75" s="3"/>
      <c r="T75" s="3"/>
      <c r="U75" s="3"/>
      <c r="V75" s="3"/>
      <c r="W75" s="6"/>
      <c r="X75" s="6"/>
      <c r="Y75" s="3"/>
    </row>
    <row r="76" spans="1:25">
      <c r="A76" s="6"/>
      <c r="B76" s="6"/>
      <c r="C76" s="6"/>
      <c r="D76" s="6"/>
      <c r="E76" s="6"/>
      <c r="F76" s="6"/>
      <c r="G76" s="3"/>
      <c r="H76" s="3"/>
      <c r="I76" s="6"/>
      <c r="J76" s="3"/>
      <c r="K76" s="3"/>
      <c r="L76" s="6"/>
      <c r="M76" s="3"/>
      <c r="N76" s="3"/>
      <c r="O76" s="6"/>
      <c r="P76" s="3"/>
      <c r="Q76" s="3"/>
      <c r="R76" s="6"/>
      <c r="S76" s="3"/>
      <c r="T76" s="3"/>
      <c r="U76" s="3"/>
      <c r="V76" s="3"/>
      <c r="W76" s="6"/>
      <c r="X76" s="6"/>
      <c r="Y76" s="3"/>
    </row>
    <row r="77" spans="1:25">
      <c r="A77" s="6"/>
      <c r="B77" s="6"/>
      <c r="C77" s="6"/>
      <c r="D77" s="6"/>
      <c r="E77" s="6"/>
      <c r="F77" s="6"/>
      <c r="G77" s="3"/>
      <c r="H77" s="3"/>
      <c r="I77" s="6"/>
      <c r="J77" s="3"/>
      <c r="K77" s="3"/>
      <c r="L77" s="6"/>
      <c r="M77" s="3"/>
      <c r="N77" s="3"/>
      <c r="O77" s="6"/>
      <c r="P77" s="3"/>
      <c r="Q77" s="3"/>
      <c r="R77" s="6"/>
      <c r="S77" s="3"/>
      <c r="T77" s="3"/>
      <c r="U77" s="3"/>
      <c r="V77" s="3"/>
      <c r="W77" s="6"/>
      <c r="X77" s="6"/>
      <c r="Y77" s="3"/>
    </row>
    <row r="78" spans="1:25">
      <c r="A78" s="6"/>
      <c r="B78" s="6"/>
      <c r="C78" s="6"/>
      <c r="D78" s="6"/>
      <c r="E78" s="6"/>
      <c r="F78" s="6"/>
      <c r="G78" s="3"/>
      <c r="H78" s="3"/>
      <c r="I78" s="6"/>
      <c r="J78" s="3"/>
      <c r="K78" s="3"/>
      <c r="L78" s="6"/>
      <c r="M78" s="3"/>
      <c r="N78" s="3"/>
      <c r="O78" s="6"/>
      <c r="P78" s="3"/>
      <c r="Q78" s="3"/>
      <c r="R78" s="6"/>
      <c r="S78" s="3"/>
      <c r="T78" s="3"/>
      <c r="U78" s="3"/>
      <c r="V78" s="3"/>
      <c r="W78" s="6"/>
      <c r="X78" s="6"/>
      <c r="Y78" s="3"/>
    </row>
    <row r="79" spans="1:25">
      <c r="A79" s="6"/>
      <c r="B79" s="6"/>
      <c r="C79" s="6"/>
      <c r="D79" s="6"/>
      <c r="E79" s="6"/>
      <c r="F79" s="6"/>
      <c r="G79" s="3"/>
      <c r="H79" s="3"/>
      <c r="I79" s="6"/>
      <c r="J79" s="3"/>
      <c r="K79" s="3"/>
      <c r="L79" s="6"/>
      <c r="M79" s="3"/>
      <c r="N79" s="3"/>
      <c r="O79" s="6"/>
      <c r="P79" s="3"/>
      <c r="Q79" s="3"/>
      <c r="R79" s="6"/>
      <c r="S79" s="3"/>
      <c r="T79" s="3"/>
      <c r="U79" s="3"/>
      <c r="V79" s="3"/>
      <c r="W79" s="6"/>
      <c r="X79" s="6"/>
      <c r="Y79" s="3"/>
    </row>
    <row r="80" spans="1:25">
      <c r="A80" s="6"/>
      <c r="B80" s="6"/>
      <c r="C80" s="6"/>
      <c r="D80" s="6"/>
      <c r="E80" s="6"/>
      <c r="F80" s="6"/>
      <c r="G80" s="3"/>
      <c r="H80" s="3"/>
      <c r="I80" s="6"/>
      <c r="J80" s="3"/>
      <c r="K80" s="3"/>
      <c r="L80" s="6"/>
      <c r="M80" s="3"/>
      <c r="N80" s="3"/>
      <c r="O80" s="6"/>
      <c r="P80" s="3"/>
      <c r="Q80" s="3"/>
      <c r="R80" s="6"/>
      <c r="S80" s="3"/>
      <c r="T80" s="3"/>
      <c r="U80" s="3"/>
      <c r="V80" s="3"/>
      <c r="W80" s="6"/>
      <c r="X80" s="6"/>
      <c r="Y80" s="3"/>
    </row>
    <row r="81" spans="1:25">
      <c r="A81" s="6"/>
      <c r="B81" s="6"/>
      <c r="C81" s="6"/>
      <c r="D81" s="6"/>
      <c r="E81" s="6"/>
      <c r="F81" s="6"/>
      <c r="G81" s="3"/>
      <c r="H81" s="3"/>
      <c r="I81" s="6"/>
      <c r="J81" s="3"/>
      <c r="K81" s="3"/>
      <c r="L81" s="6"/>
      <c r="M81" s="3"/>
      <c r="N81" s="3"/>
      <c r="O81" s="6"/>
      <c r="P81" s="3"/>
      <c r="Q81" s="3"/>
      <c r="R81" s="6"/>
      <c r="S81" s="3"/>
      <c r="T81" s="3"/>
      <c r="U81" s="3"/>
      <c r="V81" s="3"/>
      <c r="W81" s="6"/>
      <c r="X81" s="6"/>
      <c r="Y81" s="3"/>
    </row>
    <row r="82" spans="1:25">
      <c r="A82" s="6"/>
      <c r="B82" s="6"/>
      <c r="C82" s="6"/>
      <c r="D82" s="6"/>
      <c r="E82" s="6"/>
      <c r="F82" s="6"/>
      <c r="G82" s="3"/>
      <c r="H82" s="3"/>
      <c r="I82" s="6"/>
      <c r="J82" s="3"/>
      <c r="K82" s="3"/>
      <c r="L82" s="6"/>
      <c r="M82" s="3"/>
      <c r="N82" s="3"/>
      <c r="O82" s="6"/>
      <c r="P82" s="3"/>
      <c r="Q82" s="3"/>
      <c r="R82" s="6"/>
      <c r="S82" s="3"/>
      <c r="T82" s="3"/>
      <c r="U82" s="3"/>
      <c r="V82" s="3"/>
      <c r="W82" s="6"/>
      <c r="X82" s="6"/>
      <c r="Y82" s="3"/>
    </row>
    <row r="83" spans="1:25">
      <c r="A83" s="6"/>
      <c r="B83" s="6"/>
      <c r="C83" s="6"/>
      <c r="D83" s="6"/>
      <c r="E83" s="6"/>
      <c r="F83" s="6"/>
      <c r="G83" s="3"/>
      <c r="H83" s="3"/>
      <c r="I83" s="6"/>
      <c r="J83" s="3"/>
      <c r="K83" s="3"/>
      <c r="L83" s="6"/>
      <c r="M83" s="3"/>
      <c r="N83" s="3"/>
      <c r="O83" s="6"/>
      <c r="P83" s="3"/>
      <c r="Q83" s="3"/>
      <c r="R83" s="6"/>
      <c r="S83" s="3"/>
      <c r="T83" s="3"/>
      <c r="U83" s="3"/>
      <c r="V83" s="3"/>
      <c r="W83" s="6"/>
      <c r="X83" s="6"/>
      <c r="Y83" s="3"/>
    </row>
    <row r="84" spans="1:25">
      <c r="A84" s="6"/>
      <c r="B84" s="6"/>
      <c r="C84" s="6"/>
      <c r="D84" s="6"/>
      <c r="E84" s="6"/>
      <c r="F84" s="6"/>
      <c r="G84" s="3"/>
      <c r="H84" s="3"/>
      <c r="I84" s="6"/>
      <c r="J84" s="3"/>
      <c r="K84" s="3"/>
      <c r="L84" s="6"/>
      <c r="M84" s="3"/>
      <c r="N84" s="3"/>
      <c r="O84" s="6"/>
      <c r="P84" s="3"/>
      <c r="Q84" s="3"/>
      <c r="R84" s="6"/>
      <c r="S84" s="3"/>
      <c r="T84" s="3"/>
      <c r="U84" s="3"/>
      <c r="V84" s="3"/>
      <c r="W84" s="6"/>
      <c r="X84" s="6"/>
      <c r="Y84" s="3"/>
    </row>
    <row r="85" spans="1:25">
      <c r="A85" s="6"/>
      <c r="B85" s="6"/>
      <c r="C85" s="6"/>
      <c r="D85" s="6"/>
      <c r="E85" s="6"/>
      <c r="F85" s="6"/>
      <c r="G85" s="3"/>
      <c r="H85" s="3"/>
      <c r="I85" s="6"/>
      <c r="J85" s="3"/>
      <c r="K85" s="3"/>
      <c r="L85" s="6"/>
      <c r="M85" s="3"/>
      <c r="N85" s="3"/>
      <c r="O85" s="6"/>
      <c r="P85" s="3"/>
      <c r="Q85" s="3"/>
      <c r="R85" s="6"/>
      <c r="S85" s="3"/>
      <c r="T85" s="3"/>
      <c r="U85" s="3"/>
      <c r="V85" s="3"/>
      <c r="W85" s="6"/>
      <c r="X85" s="6"/>
      <c r="Y85" s="3"/>
    </row>
    <row r="86" spans="1:25">
      <c r="A86" s="6"/>
      <c r="B86" s="6"/>
      <c r="C86" s="6"/>
      <c r="D86" s="6"/>
      <c r="E86" s="6"/>
      <c r="F86" s="6"/>
      <c r="G86" s="3"/>
      <c r="H86" s="3"/>
      <c r="I86" s="6"/>
      <c r="J86" s="3"/>
      <c r="K86" s="3"/>
      <c r="L86" s="6"/>
      <c r="M86" s="3"/>
      <c r="N86" s="3"/>
      <c r="O86" s="6"/>
      <c r="P86" s="3"/>
      <c r="Q86" s="3"/>
      <c r="R86" s="6"/>
      <c r="S86" s="3"/>
      <c r="T86" s="3"/>
      <c r="U86" s="3"/>
      <c r="V86" s="3"/>
      <c r="W86" s="6"/>
      <c r="X86" s="6"/>
      <c r="Y86" s="3"/>
    </row>
    <row r="87" spans="1:25">
      <c r="A87" s="6"/>
      <c r="B87" s="6"/>
      <c r="C87" s="6"/>
      <c r="D87" s="6"/>
      <c r="E87" s="6"/>
      <c r="F87" s="6"/>
      <c r="G87" s="3"/>
      <c r="H87" s="3"/>
      <c r="I87" s="6"/>
      <c r="J87" s="3"/>
      <c r="K87" s="3"/>
      <c r="L87" s="6"/>
      <c r="M87" s="3"/>
      <c r="N87" s="3"/>
      <c r="O87" s="6"/>
      <c r="P87" s="3"/>
      <c r="Q87" s="3"/>
      <c r="R87" s="6"/>
      <c r="S87" s="3"/>
      <c r="T87" s="3"/>
      <c r="U87" s="3"/>
      <c r="V87" s="3"/>
      <c r="W87" s="6"/>
      <c r="X87" s="6"/>
      <c r="Y87" s="3"/>
    </row>
    <row r="88" spans="1:25">
      <c r="A88" s="6"/>
      <c r="B88" s="6"/>
      <c r="C88" s="6"/>
      <c r="D88" s="6"/>
      <c r="E88" s="6"/>
      <c r="F88" s="6"/>
      <c r="G88" s="3"/>
      <c r="H88" s="3"/>
      <c r="I88" s="6"/>
      <c r="J88" s="3"/>
      <c r="K88" s="3"/>
      <c r="L88" s="6"/>
      <c r="M88" s="3"/>
      <c r="N88" s="3"/>
      <c r="O88" s="6"/>
      <c r="P88" s="3"/>
      <c r="Q88" s="3"/>
      <c r="R88" s="6"/>
      <c r="S88" s="3"/>
      <c r="T88" s="3"/>
      <c r="U88" s="3"/>
      <c r="V88" s="3"/>
      <c r="W88" s="6"/>
      <c r="X88" s="6"/>
      <c r="Y88" s="3"/>
    </row>
    <row r="89" spans="1:25">
      <c r="A89" s="6"/>
      <c r="B89" s="6"/>
      <c r="C89" s="6"/>
      <c r="D89" s="6"/>
      <c r="E89" s="6"/>
      <c r="F89" s="6"/>
      <c r="G89" s="3"/>
      <c r="H89" s="3"/>
      <c r="I89" s="6"/>
      <c r="J89" s="3"/>
      <c r="K89" s="3"/>
      <c r="L89" s="6"/>
      <c r="M89" s="3"/>
      <c r="N89" s="3"/>
      <c r="O89" s="6"/>
      <c r="P89" s="3"/>
      <c r="Q89" s="3"/>
      <c r="R89" s="6"/>
      <c r="S89" s="3"/>
      <c r="T89" s="3"/>
      <c r="U89" s="3"/>
      <c r="V89" s="3"/>
      <c r="W89" s="6"/>
      <c r="X89" s="6"/>
      <c r="Y89" s="3"/>
    </row>
    <row r="90" spans="1:25">
      <c r="A90" s="6"/>
      <c r="B90" s="6"/>
      <c r="C90" s="6"/>
      <c r="D90" s="6"/>
      <c r="E90" s="6"/>
      <c r="F90" s="6"/>
      <c r="G90" s="3"/>
      <c r="H90" s="3"/>
      <c r="I90" s="6"/>
      <c r="J90" s="3"/>
      <c r="K90" s="3"/>
      <c r="L90" s="6"/>
      <c r="M90" s="3"/>
      <c r="N90" s="3"/>
      <c r="O90" s="6"/>
      <c r="P90" s="3"/>
      <c r="Q90" s="3"/>
      <c r="R90" s="6"/>
      <c r="S90" s="3"/>
      <c r="T90" s="3"/>
      <c r="U90" s="3"/>
      <c r="V90" s="3"/>
      <c r="W90" s="6"/>
      <c r="X90" s="6"/>
      <c r="Y90" s="3"/>
    </row>
    <row r="91" spans="1:25">
      <c r="A91" s="6"/>
      <c r="B91" s="6"/>
      <c r="C91" s="6"/>
      <c r="D91" s="6"/>
      <c r="E91" s="6"/>
      <c r="F91" s="6"/>
      <c r="G91" s="3"/>
      <c r="H91" s="3"/>
      <c r="I91" s="6"/>
      <c r="J91" s="3"/>
      <c r="K91" s="3"/>
      <c r="L91" s="6"/>
      <c r="M91" s="3"/>
      <c r="N91" s="3"/>
      <c r="O91" s="6"/>
      <c r="P91" s="3"/>
      <c r="Q91" s="3"/>
      <c r="R91" s="6"/>
      <c r="S91" s="3"/>
      <c r="T91" s="3"/>
      <c r="U91" s="3"/>
      <c r="V91" s="3"/>
      <c r="W91" s="6"/>
      <c r="X91" s="6"/>
      <c r="Y91" s="3"/>
    </row>
    <row r="92" spans="1:25">
      <c r="A92" s="6"/>
      <c r="B92" s="6"/>
      <c r="C92" s="6"/>
      <c r="D92" s="6"/>
      <c r="E92" s="6"/>
      <c r="F92" s="6"/>
      <c r="G92" s="3"/>
      <c r="H92" s="3"/>
      <c r="I92" s="6"/>
      <c r="J92" s="3"/>
      <c r="K92" s="3"/>
      <c r="L92" s="6"/>
      <c r="M92" s="3"/>
      <c r="N92" s="3"/>
      <c r="O92" s="6"/>
      <c r="P92" s="3"/>
      <c r="Q92" s="3"/>
      <c r="R92" s="6"/>
      <c r="S92" s="3"/>
      <c r="T92" s="3"/>
      <c r="U92" s="3"/>
      <c r="V92" s="3"/>
      <c r="W92" s="6"/>
      <c r="X92" s="6"/>
      <c r="Y92" s="3"/>
    </row>
    <row r="93" spans="1:25">
      <c r="A93" s="6"/>
      <c r="B93" s="6"/>
      <c r="C93" s="6"/>
      <c r="D93" s="6"/>
      <c r="E93" s="6"/>
      <c r="F93" s="6"/>
      <c r="G93" s="3"/>
      <c r="H93" s="3"/>
      <c r="I93" s="6"/>
      <c r="J93" s="3"/>
      <c r="K93" s="3"/>
      <c r="L93" s="6"/>
      <c r="M93" s="3"/>
      <c r="N93" s="3"/>
      <c r="O93" s="6"/>
      <c r="P93" s="3"/>
      <c r="Q93" s="3"/>
      <c r="R93" s="6"/>
      <c r="S93" s="3"/>
      <c r="T93" s="3"/>
      <c r="U93" s="3"/>
      <c r="V93" s="3"/>
      <c r="W93" s="6"/>
      <c r="X93" s="6"/>
      <c r="Y93" s="3"/>
    </row>
    <row r="94" spans="1:25">
      <c r="A94" s="6"/>
      <c r="B94" s="6"/>
      <c r="C94" s="6"/>
      <c r="D94" s="6"/>
      <c r="E94" s="6"/>
      <c r="F94" s="6"/>
      <c r="G94" s="3"/>
      <c r="H94" s="3"/>
      <c r="I94" s="6"/>
      <c r="J94" s="3"/>
      <c r="K94" s="3"/>
      <c r="L94" s="6"/>
      <c r="M94" s="3"/>
      <c r="N94" s="3"/>
      <c r="O94" s="6"/>
      <c r="P94" s="3"/>
      <c r="Q94" s="3"/>
      <c r="R94" s="6"/>
      <c r="S94" s="3"/>
      <c r="T94" s="3"/>
      <c r="U94" s="3"/>
      <c r="V94" s="3"/>
      <c r="W94" s="6"/>
      <c r="X94" s="6"/>
      <c r="Y94" s="3"/>
    </row>
    <row r="95" spans="1:25">
      <c r="A95" s="6"/>
      <c r="B95" s="6"/>
      <c r="C95" s="6"/>
      <c r="D95" s="6"/>
      <c r="E95" s="6"/>
      <c r="F95" s="6"/>
      <c r="G95" s="3"/>
      <c r="H95" s="3"/>
      <c r="I95" s="6"/>
      <c r="J95" s="3"/>
      <c r="K95" s="3"/>
      <c r="L95" s="6"/>
      <c r="M95" s="3"/>
      <c r="N95" s="3"/>
      <c r="O95" s="6"/>
      <c r="P95" s="3"/>
      <c r="Q95" s="3"/>
      <c r="R95" s="6"/>
      <c r="S95" s="3"/>
      <c r="T95" s="3"/>
      <c r="U95" s="3"/>
      <c r="V95" s="3"/>
      <c r="W95" s="6"/>
      <c r="X95" s="6"/>
      <c r="Y95" s="3"/>
    </row>
    <row r="96" spans="1:25">
      <c r="A96" s="6"/>
      <c r="B96" s="6"/>
      <c r="C96" s="6"/>
      <c r="D96" s="6"/>
      <c r="E96" s="6"/>
      <c r="F96" s="6"/>
      <c r="G96" s="3"/>
      <c r="H96" s="3"/>
      <c r="I96" s="6"/>
      <c r="J96" s="3"/>
      <c r="K96" s="3"/>
      <c r="L96" s="6"/>
      <c r="M96" s="3"/>
      <c r="N96" s="3"/>
      <c r="O96" s="6"/>
      <c r="P96" s="3"/>
      <c r="Q96" s="3"/>
      <c r="R96" s="6"/>
      <c r="S96" s="3"/>
      <c r="T96" s="3"/>
      <c r="U96" s="3"/>
      <c r="V96" s="3"/>
      <c r="W96" s="6"/>
      <c r="X96" s="6"/>
      <c r="Y96" s="3"/>
    </row>
    <row r="97" spans="1:25">
      <c r="A97" s="6"/>
      <c r="B97" s="6"/>
      <c r="C97" s="6"/>
      <c r="D97" s="6"/>
      <c r="E97" s="6"/>
      <c r="F97" s="6"/>
      <c r="G97" s="3"/>
      <c r="H97" s="3"/>
      <c r="I97" s="6"/>
      <c r="J97" s="3"/>
      <c r="K97" s="3"/>
      <c r="L97" s="6"/>
      <c r="M97" s="3"/>
      <c r="N97" s="3"/>
      <c r="O97" s="6"/>
      <c r="P97" s="3"/>
      <c r="Q97" s="3"/>
      <c r="R97" s="6"/>
      <c r="S97" s="3"/>
      <c r="T97" s="3"/>
      <c r="U97" s="3"/>
      <c r="V97" s="3"/>
      <c r="W97" s="6"/>
      <c r="X97" s="6"/>
      <c r="Y97" s="3"/>
    </row>
    <row r="98" spans="1:25">
      <c r="A98" s="6"/>
      <c r="B98" s="6"/>
      <c r="C98" s="6"/>
      <c r="D98" s="6"/>
      <c r="E98" s="6"/>
      <c r="F98" s="6"/>
      <c r="G98" s="3"/>
      <c r="H98" s="3"/>
      <c r="I98" s="6"/>
      <c r="J98" s="3"/>
      <c r="K98" s="3"/>
      <c r="L98" s="6"/>
      <c r="M98" s="3"/>
      <c r="N98" s="3"/>
      <c r="O98" s="6"/>
      <c r="P98" s="3"/>
      <c r="Q98" s="3"/>
      <c r="R98" s="6"/>
      <c r="S98" s="3"/>
      <c r="T98" s="3"/>
      <c r="U98" s="3"/>
      <c r="V98" s="3"/>
      <c r="W98" s="6"/>
      <c r="X98" s="6"/>
      <c r="Y98" s="3"/>
    </row>
    <row r="99" spans="1:25">
      <c r="A99" s="6"/>
      <c r="B99" s="6"/>
      <c r="C99" s="6"/>
      <c r="D99" s="6"/>
      <c r="E99" s="6"/>
      <c r="F99" s="6"/>
      <c r="G99" s="3"/>
      <c r="H99" s="3"/>
      <c r="I99" s="6"/>
      <c r="J99" s="3"/>
      <c r="K99" s="3"/>
      <c r="L99" s="6"/>
      <c r="M99" s="3"/>
      <c r="N99" s="3"/>
      <c r="O99" s="6"/>
      <c r="P99" s="3"/>
      <c r="Q99" s="3"/>
      <c r="R99" s="6"/>
      <c r="S99" s="3"/>
      <c r="T99" s="3"/>
      <c r="U99" s="3"/>
      <c r="V99" s="3"/>
      <c r="W99" s="6"/>
      <c r="X99" s="6"/>
      <c r="Y99" s="3"/>
    </row>
    <row r="100" spans="1:25">
      <c r="A100" s="6"/>
      <c r="B100" s="6"/>
      <c r="C100" s="6"/>
      <c r="D100" s="6"/>
      <c r="E100" s="6"/>
      <c r="F100" s="6"/>
      <c r="G100" s="3"/>
      <c r="H100" s="3"/>
      <c r="I100" s="6"/>
      <c r="J100" s="3"/>
      <c r="K100" s="3"/>
      <c r="L100" s="6"/>
      <c r="M100" s="3"/>
      <c r="N100" s="3"/>
      <c r="O100" s="6"/>
      <c r="P100" s="3"/>
      <c r="Q100" s="3"/>
      <c r="R100" s="6"/>
      <c r="S100" s="3"/>
      <c r="T100" s="3"/>
      <c r="U100" s="3"/>
      <c r="V100" s="3"/>
      <c r="W100" s="6"/>
      <c r="X100" s="6"/>
      <c r="Y100" s="3"/>
    </row>
    <row r="101" spans="1:25">
      <c r="A101" s="6"/>
      <c r="B101" s="6"/>
      <c r="C101" s="6"/>
      <c r="D101" s="6"/>
      <c r="E101" s="6"/>
      <c r="F101" s="6"/>
      <c r="G101" s="3"/>
      <c r="H101" s="3"/>
      <c r="I101" s="6"/>
      <c r="J101" s="3"/>
      <c r="K101" s="3"/>
      <c r="L101" s="6"/>
      <c r="M101" s="3"/>
      <c r="N101" s="3"/>
      <c r="O101" s="6"/>
      <c r="P101" s="3"/>
      <c r="Q101" s="3"/>
      <c r="R101" s="6"/>
      <c r="S101" s="3"/>
      <c r="T101" s="3"/>
      <c r="U101" s="3"/>
      <c r="V101" s="3"/>
      <c r="W101" s="6"/>
      <c r="X101" s="6"/>
      <c r="Y101" s="3"/>
    </row>
    <row r="102" spans="1:25">
      <c r="A102" s="6"/>
      <c r="B102" s="6"/>
      <c r="C102" s="6"/>
      <c r="D102" s="6"/>
      <c r="E102" s="6"/>
      <c r="F102" s="6"/>
      <c r="G102" s="3"/>
      <c r="H102" s="3"/>
      <c r="I102" s="6"/>
      <c r="J102" s="3"/>
      <c r="K102" s="3"/>
      <c r="L102" s="6"/>
      <c r="M102" s="3"/>
      <c r="N102" s="3"/>
      <c r="O102" s="6"/>
      <c r="P102" s="3"/>
      <c r="Q102" s="3"/>
      <c r="R102" s="6"/>
      <c r="S102" s="3"/>
      <c r="T102" s="3"/>
      <c r="U102" s="3"/>
      <c r="V102" s="3"/>
      <c r="W102" s="6"/>
      <c r="X102" s="6"/>
      <c r="Y102" s="3"/>
    </row>
    <row r="103" spans="1:25">
      <c r="A103" s="6"/>
      <c r="B103" s="6"/>
      <c r="C103" s="6"/>
      <c r="D103" s="6"/>
      <c r="E103" s="6"/>
      <c r="F103" s="6"/>
      <c r="G103" s="3"/>
      <c r="H103" s="3"/>
      <c r="I103" s="6"/>
      <c r="J103" s="3"/>
      <c r="K103" s="3"/>
      <c r="L103" s="6"/>
      <c r="M103" s="3"/>
      <c r="N103" s="3"/>
      <c r="O103" s="6"/>
      <c r="P103" s="3"/>
      <c r="Q103" s="3"/>
      <c r="R103" s="6"/>
      <c r="S103" s="3"/>
      <c r="T103" s="3"/>
      <c r="U103" s="3"/>
      <c r="V103" s="3"/>
      <c r="W103" s="6"/>
      <c r="X103" s="6"/>
      <c r="Y103" s="3"/>
    </row>
    <row r="104" spans="1:25">
      <c r="A104" s="6"/>
      <c r="B104" s="6"/>
      <c r="C104" s="6"/>
      <c r="D104" s="6"/>
      <c r="E104" s="6"/>
      <c r="F104" s="6"/>
      <c r="G104" s="3"/>
      <c r="H104" s="3"/>
      <c r="I104" s="6"/>
      <c r="J104" s="3"/>
      <c r="K104" s="3"/>
      <c r="L104" s="6"/>
      <c r="M104" s="3"/>
      <c r="N104" s="3"/>
      <c r="O104" s="6"/>
      <c r="P104" s="3"/>
      <c r="Q104" s="3"/>
      <c r="R104" s="6"/>
      <c r="S104" s="3"/>
      <c r="T104" s="3"/>
      <c r="U104" s="3"/>
      <c r="V104" s="3"/>
      <c r="W104" s="6"/>
      <c r="X104" s="6"/>
      <c r="Y104" s="3"/>
    </row>
    <row r="105" spans="1:25">
      <c r="A105" s="6"/>
      <c r="B105" s="6"/>
      <c r="C105" s="6"/>
      <c r="D105" s="6"/>
      <c r="E105" s="6"/>
      <c r="F105" s="6"/>
      <c r="G105" s="3"/>
      <c r="H105" s="3"/>
      <c r="I105" s="6"/>
      <c r="J105" s="3"/>
      <c r="K105" s="3"/>
      <c r="L105" s="6"/>
      <c r="M105" s="3"/>
      <c r="N105" s="3"/>
      <c r="O105" s="6"/>
      <c r="P105" s="3"/>
      <c r="Q105" s="3"/>
      <c r="R105" s="6"/>
      <c r="S105" s="3"/>
      <c r="T105" s="3"/>
      <c r="U105" s="3"/>
      <c r="V105" s="3"/>
      <c r="W105" s="6"/>
      <c r="X105" s="6"/>
      <c r="Y105" s="3"/>
    </row>
    <row r="106" spans="1:25">
      <c r="A106" s="6"/>
      <c r="B106" s="6"/>
      <c r="C106" s="6"/>
      <c r="D106" s="6"/>
      <c r="E106" s="6"/>
      <c r="F106" s="6"/>
      <c r="G106" s="3"/>
      <c r="H106" s="3"/>
      <c r="I106" s="6"/>
      <c r="J106" s="3"/>
      <c r="K106" s="3"/>
      <c r="L106" s="6"/>
      <c r="M106" s="3"/>
      <c r="N106" s="3"/>
      <c r="O106" s="6"/>
      <c r="P106" s="3"/>
      <c r="Q106" s="3"/>
      <c r="R106" s="6"/>
      <c r="S106" s="3"/>
      <c r="T106" s="3"/>
      <c r="U106" s="3"/>
      <c r="V106" s="3"/>
      <c r="W106" s="6"/>
      <c r="X106" s="6"/>
      <c r="Y106" s="3"/>
    </row>
    <row r="107" spans="1:25">
      <c r="A107" s="6"/>
      <c r="B107" s="6"/>
      <c r="C107" s="6"/>
      <c r="D107" s="6"/>
      <c r="E107" s="6"/>
      <c r="F107" s="6"/>
      <c r="G107" s="3"/>
      <c r="H107" s="3"/>
      <c r="I107" s="6"/>
      <c r="J107" s="3"/>
      <c r="K107" s="3"/>
      <c r="L107" s="6"/>
      <c r="M107" s="3"/>
      <c r="N107" s="3"/>
      <c r="O107" s="6"/>
      <c r="P107" s="3"/>
      <c r="Q107" s="3"/>
      <c r="R107" s="6"/>
      <c r="S107" s="3"/>
      <c r="T107" s="3"/>
      <c r="U107" s="3"/>
      <c r="V107" s="3"/>
      <c r="W107" s="6"/>
      <c r="X107" s="6"/>
      <c r="Y107" s="3"/>
    </row>
    <row r="108" spans="1:25">
      <c r="A108" s="6"/>
      <c r="B108" s="6"/>
      <c r="C108" s="6"/>
      <c r="D108" s="6"/>
      <c r="E108" s="6"/>
      <c r="F108" s="6"/>
      <c r="G108" s="3"/>
      <c r="H108" s="3"/>
      <c r="I108" s="6"/>
      <c r="J108" s="3"/>
      <c r="K108" s="3"/>
      <c r="L108" s="6"/>
      <c r="M108" s="3"/>
      <c r="N108" s="3"/>
      <c r="O108" s="6"/>
      <c r="P108" s="3"/>
      <c r="Q108" s="3"/>
      <c r="R108" s="6"/>
      <c r="S108" s="3"/>
      <c r="T108" s="3"/>
      <c r="U108" s="3"/>
      <c r="V108" s="3"/>
      <c r="W108" s="6"/>
      <c r="X108" s="6"/>
      <c r="Y108" s="3"/>
    </row>
    <row r="109" spans="1:25">
      <c r="A109" s="6"/>
      <c r="B109" s="6"/>
      <c r="C109" s="6"/>
      <c r="D109" s="6"/>
      <c r="E109" s="6"/>
      <c r="F109" s="6"/>
      <c r="G109" s="3"/>
      <c r="H109" s="3"/>
      <c r="I109" s="6"/>
      <c r="J109" s="3"/>
      <c r="K109" s="3"/>
      <c r="L109" s="6"/>
      <c r="M109" s="3"/>
      <c r="N109" s="3"/>
      <c r="O109" s="6"/>
      <c r="P109" s="3"/>
      <c r="Q109" s="3"/>
      <c r="R109" s="6"/>
      <c r="S109" s="3"/>
      <c r="T109" s="3"/>
      <c r="U109" s="3"/>
      <c r="V109" s="3"/>
      <c r="W109" s="6"/>
      <c r="X109" s="6"/>
      <c r="Y109" s="3"/>
    </row>
    <row r="110" spans="1:25">
      <c r="A110" s="3"/>
      <c r="B110" s="3"/>
      <c r="C110" s="3"/>
      <c r="D110" s="6"/>
      <c r="E110" s="6"/>
      <c r="F110" s="6"/>
      <c r="G110" s="3"/>
      <c r="H110" s="3"/>
      <c r="I110" s="6"/>
      <c r="J110" s="3"/>
      <c r="K110" s="3"/>
      <c r="L110" s="6"/>
      <c r="M110" s="3"/>
      <c r="N110" s="3"/>
      <c r="O110" s="6"/>
      <c r="P110" s="3"/>
      <c r="Q110" s="3"/>
      <c r="R110" s="6"/>
      <c r="S110" s="3"/>
      <c r="T110" s="3"/>
      <c r="U110" s="3"/>
      <c r="V110" s="3"/>
      <c r="W110" s="6"/>
      <c r="X110" s="6"/>
      <c r="Y110" s="3"/>
    </row>
    <row r="111" spans="1:25">
      <c r="A111" s="3"/>
      <c r="B111" s="3"/>
      <c r="C111" s="3"/>
      <c r="D111" s="6"/>
      <c r="E111" s="6"/>
      <c r="F111" s="6"/>
      <c r="G111" s="3"/>
      <c r="H111" s="3"/>
      <c r="I111" s="6"/>
      <c r="J111" s="3"/>
      <c r="K111" s="3"/>
      <c r="L111" s="6"/>
      <c r="M111" s="3"/>
      <c r="N111" s="3"/>
      <c r="O111" s="6"/>
      <c r="P111" s="3"/>
      <c r="Q111" s="3"/>
      <c r="R111" s="6"/>
      <c r="S111" s="3"/>
      <c r="T111" s="3"/>
      <c r="U111" s="3"/>
      <c r="V111" s="3"/>
      <c r="W111" s="6"/>
      <c r="X111" s="6"/>
      <c r="Y111" s="3"/>
    </row>
    <row r="112" spans="1:25">
      <c r="A112" s="3"/>
      <c r="B112" s="3"/>
      <c r="C112" s="3"/>
      <c r="D112" s="6"/>
      <c r="E112" s="6"/>
      <c r="F112" s="6"/>
      <c r="G112" s="3"/>
      <c r="H112" s="3"/>
      <c r="I112" s="6"/>
      <c r="J112" s="3"/>
      <c r="K112" s="3"/>
      <c r="L112" s="6"/>
      <c r="M112" s="3"/>
      <c r="N112" s="3"/>
      <c r="O112" s="6"/>
      <c r="P112" s="3"/>
      <c r="Q112" s="3"/>
      <c r="R112" s="6"/>
      <c r="S112" s="3"/>
      <c r="T112" s="3"/>
      <c r="U112" s="3"/>
      <c r="V112" s="3"/>
      <c r="W112" s="6"/>
      <c r="X112" s="6"/>
      <c r="Y112" s="3"/>
    </row>
    <row r="113" spans="1:25">
      <c r="A113" s="3"/>
      <c r="B113" s="3"/>
      <c r="C113" s="3"/>
      <c r="D113" s="6"/>
      <c r="E113" s="6"/>
      <c r="F113" s="6"/>
      <c r="G113" s="3"/>
      <c r="H113" s="3"/>
      <c r="I113" s="6"/>
      <c r="J113" s="3"/>
      <c r="K113" s="3"/>
      <c r="L113" s="6"/>
      <c r="M113" s="3"/>
      <c r="N113" s="3"/>
      <c r="O113" s="6"/>
      <c r="P113" s="3"/>
      <c r="Q113" s="3"/>
      <c r="R113" s="6"/>
      <c r="S113" s="3"/>
      <c r="T113" s="3"/>
      <c r="U113" s="3"/>
      <c r="V113" s="3"/>
      <c r="W113" s="6"/>
      <c r="X113" s="6"/>
      <c r="Y113" s="3"/>
    </row>
    <row r="114" spans="1:25">
      <c r="A114" s="3"/>
      <c r="B114" s="3"/>
      <c r="C114" s="3"/>
      <c r="D114" s="6"/>
      <c r="E114" s="6"/>
      <c r="F114" s="6"/>
      <c r="G114" s="3"/>
      <c r="H114" s="3"/>
      <c r="I114" s="6"/>
      <c r="J114" s="3"/>
      <c r="K114" s="3"/>
      <c r="L114" s="6"/>
      <c r="M114" s="3"/>
      <c r="N114" s="3"/>
      <c r="O114" s="6"/>
      <c r="P114" s="3"/>
      <c r="Q114" s="3"/>
      <c r="R114" s="6"/>
      <c r="S114" s="3"/>
      <c r="T114" s="3"/>
      <c r="U114" s="3"/>
      <c r="V114" s="3"/>
      <c r="W114" s="6"/>
      <c r="X114" s="6"/>
      <c r="Y114" s="3"/>
    </row>
    <row r="115" spans="1:25">
      <c r="A115" s="3"/>
      <c r="B115" s="3"/>
      <c r="C115" s="3"/>
      <c r="D115" s="6"/>
      <c r="E115" s="6"/>
      <c r="F115" s="6"/>
      <c r="G115" s="3"/>
      <c r="H115" s="3"/>
      <c r="I115" s="6"/>
      <c r="J115" s="3"/>
      <c r="K115" s="3"/>
      <c r="L115" s="6"/>
      <c r="M115" s="3"/>
      <c r="N115" s="3"/>
      <c r="O115" s="6"/>
      <c r="P115" s="3"/>
      <c r="Q115" s="3"/>
      <c r="R115" s="6"/>
      <c r="S115" s="3"/>
      <c r="T115" s="3"/>
      <c r="U115" s="3"/>
      <c r="V115" s="3"/>
      <c r="W115" s="6"/>
      <c r="X115" s="6"/>
      <c r="Y115" s="3"/>
    </row>
    <row r="116" spans="1:25">
      <c r="A116" s="3"/>
      <c r="B116" s="3"/>
      <c r="C116" s="3"/>
      <c r="D116" s="6"/>
      <c r="E116" s="6"/>
      <c r="F116" s="6"/>
      <c r="G116" s="3"/>
      <c r="H116" s="3"/>
      <c r="I116" s="6"/>
      <c r="J116" s="3"/>
      <c r="K116" s="3"/>
      <c r="L116" s="6"/>
      <c r="M116" s="3"/>
      <c r="N116" s="3"/>
      <c r="O116" s="6"/>
      <c r="P116" s="3"/>
      <c r="Q116" s="3"/>
      <c r="R116" s="6"/>
      <c r="S116" s="3"/>
      <c r="T116" s="3"/>
      <c r="U116" s="3"/>
      <c r="V116" s="3"/>
      <c r="W116" s="6"/>
      <c r="X116" s="6"/>
      <c r="Y116" s="3"/>
    </row>
    <row r="117" spans="1:25">
      <c r="A117" s="3"/>
      <c r="B117" s="3"/>
      <c r="C117" s="3"/>
      <c r="D117" s="6"/>
      <c r="E117" s="6"/>
      <c r="F117" s="6"/>
      <c r="G117" s="3"/>
      <c r="H117" s="3"/>
      <c r="I117" s="6"/>
      <c r="J117" s="3"/>
      <c r="K117" s="3"/>
      <c r="L117" s="6"/>
      <c r="M117" s="3"/>
      <c r="N117" s="3"/>
      <c r="O117" s="6"/>
      <c r="P117" s="3"/>
      <c r="Q117" s="3"/>
      <c r="R117" s="6"/>
      <c r="S117" s="3"/>
      <c r="T117" s="3"/>
      <c r="U117" s="3"/>
      <c r="V117" s="3"/>
      <c r="W117" s="6"/>
      <c r="X117" s="6"/>
      <c r="Y117" s="3"/>
    </row>
    <row r="118" spans="1:25">
      <c r="A118" s="3"/>
      <c r="B118" s="3"/>
      <c r="C118" s="3"/>
      <c r="D118" s="6"/>
      <c r="E118" s="6"/>
      <c r="F118" s="6"/>
      <c r="G118" s="3"/>
      <c r="H118" s="3"/>
      <c r="I118" s="6"/>
      <c r="J118" s="3"/>
      <c r="K118" s="3"/>
      <c r="L118" s="6"/>
      <c r="M118" s="3"/>
      <c r="N118" s="3"/>
      <c r="O118" s="6"/>
      <c r="P118" s="3"/>
      <c r="Q118" s="3"/>
      <c r="R118" s="6"/>
      <c r="S118" s="3"/>
      <c r="T118" s="3"/>
      <c r="U118" s="3"/>
      <c r="V118" s="3"/>
      <c r="W118" s="6"/>
      <c r="X118" s="6"/>
      <c r="Y118" s="3"/>
    </row>
    <row r="119" spans="1:25">
      <c r="A119" s="3"/>
      <c r="B119" s="3"/>
      <c r="C119" s="3"/>
      <c r="D119" s="6"/>
      <c r="E119" s="6"/>
      <c r="F119" s="6"/>
      <c r="G119" s="3"/>
      <c r="H119" s="3"/>
      <c r="I119" s="6"/>
      <c r="J119" s="3"/>
      <c r="K119" s="3"/>
      <c r="L119" s="6"/>
      <c r="M119" s="3"/>
      <c r="N119" s="3"/>
      <c r="O119" s="6"/>
      <c r="P119" s="3"/>
      <c r="Q119" s="3"/>
      <c r="R119" s="6"/>
      <c r="S119" s="3"/>
      <c r="T119" s="3"/>
      <c r="U119" s="3"/>
      <c r="V119" s="3"/>
      <c r="W119" s="6"/>
      <c r="X119" s="6"/>
      <c r="Y119" s="3"/>
    </row>
    <row r="120" spans="1:25">
      <c r="A120" s="3"/>
      <c r="B120" s="3"/>
      <c r="C120" s="3"/>
      <c r="D120" s="6"/>
      <c r="E120" s="6"/>
      <c r="F120" s="6"/>
      <c r="G120" s="3"/>
      <c r="H120" s="3"/>
      <c r="I120" s="6"/>
      <c r="J120" s="3"/>
      <c r="K120" s="3"/>
      <c r="L120" s="6"/>
      <c r="M120" s="3"/>
      <c r="N120" s="3"/>
      <c r="O120" s="6"/>
      <c r="P120" s="3"/>
      <c r="Q120" s="3"/>
      <c r="R120" s="6"/>
      <c r="S120" s="3"/>
      <c r="T120" s="3"/>
      <c r="U120" s="3"/>
      <c r="V120" s="3"/>
      <c r="W120" s="6"/>
      <c r="X120" s="6"/>
      <c r="Y120" s="3"/>
    </row>
    <row r="121" spans="1:25">
      <c r="A121" s="3"/>
      <c r="B121" s="3"/>
      <c r="C121" s="3"/>
      <c r="D121" s="6"/>
      <c r="E121" s="6"/>
      <c r="F121" s="6"/>
      <c r="G121" s="3"/>
      <c r="H121" s="3"/>
      <c r="I121" s="6"/>
      <c r="J121" s="3"/>
      <c r="K121" s="3"/>
      <c r="L121" s="6"/>
      <c r="M121" s="3"/>
      <c r="N121" s="3"/>
      <c r="O121" s="6"/>
      <c r="P121" s="3"/>
      <c r="Q121" s="3"/>
      <c r="R121" s="6"/>
      <c r="S121" s="3"/>
      <c r="T121" s="3"/>
      <c r="U121" s="3"/>
      <c r="V121" s="3"/>
      <c r="W121" s="6"/>
      <c r="X121" s="6"/>
      <c r="Y121" s="3"/>
    </row>
    <row r="122" spans="1:25">
      <c r="A122" s="3"/>
      <c r="B122" s="3"/>
      <c r="C122" s="3"/>
      <c r="D122" s="6"/>
      <c r="E122" s="6"/>
      <c r="F122" s="6"/>
      <c r="G122" s="3"/>
      <c r="H122" s="3"/>
      <c r="I122" s="6"/>
      <c r="J122" s="3"/>
      <c r="K122" s="3"/>
      <c r="L122" s="6"/>
      <c r="M122" s="3"/>
      <c r="N122" s="3"/>
      <c r="O122" s="6"/>
      <c r="P122" s="3"/>
      <c r="Q122" s="3"/>
      <c r="R122" s="6"/>
      <c r="S122" s="3"/>
      <c r="T122" s="3"/>
      <c r="U122" s="3"/>
      <c r="V122" s="3"/>
      <c r="W122" s="6"/>
      <c r="X122" s="6"/>
      <c r="Y122" s="3"/>
    </row>
    <row r="123" spans="1:25">
      <c r="A123" s="3"/>
      <c r="B123" s="3"/>
      <c r="C123" s="3"/>
      <c r="D123" s="6"/>
      <c r="E123" s="6"/>
      <c r="F123" s="6"/>
      <c r="G123" s="3"/>
      <c r="H123" s="3"/>
      <c r="I123" s="6"/>
      <c r="J123" s="3"/>
      <c r="K123" s="3"/>
      <c r="L123" s="6"/>
      <c r="M123" s="3"/>
      <c r="N123" s="3"/>
      <c r="O123" s="6"/>
      <c r="P123" s="3"/>
      <c r="Q123" s="3"/>
      <c r="R123" s="6"/>
      <c r="S123" s="3"/>
      <c r="T123" s="3"/>
      <c r="U123" s="3"/>
      <c r="V123" s="3"/>
      <c r="W123" s="6"/>
      <c r="X123" s="6"/>
      <c r="Y123" s="3"/>
    </row>
    <row r="124" spans="1:25">
      <c r="A124" s="3"/>
      <c r="B124" s="3"/>
      <c r="C124" s="3"/>
      <c r="D124" s="6"/>
      <c r="E124" s="6"/>
      <c r="F124" s="6"/>
      <c r="G124" s="3"/>
      <c r="H124" s="3"/>
      <c r="I124" s="6"/>
      <c r="J124" s="3"/>
      <c r="K124" s="3"/>
      <c r="L124" s="6"/>
      <c r="M124" s="3"/>
      <c r="N124" s="3"/>
      <c r="O124" s="6"/>
      <c r="P124" s="3"/>
      <c r="Q124" s="3"/>
      <c r="R124" s="6"/>
      <c r="S124" s="3"/>
      <c r="T124" s="3"/>
      <c r="U124" s="3"/>
      <c r="V124" s="3"/>
      <c r="W124" s="6"/>
      <c r="X124" s="6"/>
      <c r="Y124" s="3"/>
    </row>
    <row r="125" spans="1:25">
      <c r="A125" s="3"/>
      <c r="B125" s="3"/>
      <c r="C125" s="3"/>
      <c r="D125" s="6"/>
      <c r="E125" s="6"/>
      <c r="F125" s="6"/>
      <c r="G125" s="3"/>
      <c r="H125" s="3"/>
      <c r="I125" s="6"/>
      <c r="J125" s="3"/>
      <c r="K125" s="3"/>
      <c r="L125" s="6"/>
      <c r="M125" s="3"/>
      <c r="N125" s="3"/>
      <c r="O125" s="6"/>
      <c r="P125" s="3"/>
      <c r="Q125" s="3"/>
      <c r="R125" s="6"/>
      <c r="S125" s="3"/>
      <c r="T125" s="3"/>
      <c r="U125" s="3"/>
      <c r="V125" s="3"/>
      <c r="W125" s="6"/>
      <c r="X125" s="6"/>
      <c r="Y125" s="3"/>
    </row>
    <row r="126" spans="1:25">
      <c r="A126" s="3"/>
      <c r="B126" s="3"/>
      <c r="C126" s="3"/>
      <c r="D126" s="6"/>
      <c r="E126" s="6"/>
      <c r="F126" s="6"/>
      <c r="G126" s="3"/>
      <c r="H126" s="3"/>
      <c r="I126" s="6"/>
      <c r="J126" s="3"/>
      <c r="K126" s="3"/>
      <c r="L126" s="6"/>
      <c r="M126" s="3"/>
      <c r="N126" s="3"/>
      <c r="O126" s="6"/>
      <c r="P126" s="3"/>
      <c r="Q126" s="3"/>
      <c r="R126" s="6"/>
      <c r="S126" s="3"/>
      <c r="T126" s="3"/>
      <c r="U126" s="3"/>
      <c r="V126" s="3"/>
      <c r="W126" s="6"/>
      <c r="X126" s="6"/>
      <c r="Y126" s="3"/>
    </row>
    <row r="127" spans="1:25">
      <c r="A127" s="3"/>
      <c r="B127" s="3"/>
      <c r="C127" s="3"/>
      <c r="D127" s="6"/>
      <c r="E127" s="6"/>
      <c r="F127" s="6"/>
      <c r="G127" s="3"/>
      <c r="H127" s="3"/>
      <c r="I127" s="6"/>
      <c r="J127" s="3"/>
      <c r="K127" s="3"/>
      <c r="L127" s="6"/>
      <c r="M127" s="3"/>
      <c r="N127" s="3"/>
      <c r="O127" s="6"/>
      <c r="P127" s="3"/>
      <c r="Q127" s="3"/>
      <c r="R127" s="6"/>
      <c r="S127" s="3"/>
      <c r="T127" s="3"/>
      <c r="U127" s="3"/>
      <c r="V127" s="3"/>
      <c r="W127" s="6"/>
      <c r="X127" s="6"/>
      <c r="Y127" s="3"/>
    </row>
    <row r="128" spans="1:25">
      <c r="A128" s="3"/>
      <c r="B128" s="3"/>
      <c r="C128" s="3"/>
      <c r="D128" s="6"/>
      <c r="E128" s="6"/>
      <c r="F128" s="6"/>
      <c r="G128" s="3"/>
      <c r="H128" s="3"/>
      <c r="I128" s="6"/>
      <c r="J128" s="3"/>
      <c r="K128" s="3"/>
      <c r="L128" s="6"/>
      <c r="M128" s="3"/>
      <c r="N128" s="3"/>
      <c r="O128" s="6"/>
      <c r="P128" s="3"/>
      <c r="Q128" s="3"/>
      <c r="R128" s="6"/>
      <c r="S128" s="3"/>
      <c r="T128" s="3"/>
      <c r="U128" s="3"/>
      <c r="V128" s="3"/>
      <c r="W128" s="6"/>
      <c r="X128" s="6"/>
      <c r="Y128" s="3"/>
    </row>
    <row r="129" spans="1:25">
      <c r="A129" s="3"/>
      <c r="B129" s="3"/>
      <c r="C129" s="3"/>
      <c r="D129" s="6"/>
      <c r="E129" s="6"/>
      <c r="F129" s="6"/>
      <c r="G129" s="3"/>
      <c r="H129" s="3"/>
      <c r="I129" s="6"/>
      <c r="J129" s="3"/>
      <c r="K129" s="3"/>
      <c r="L129" s="6"/>
      <c r="M129" s="3"/>
      <c r="N129" s="3"/>
      <c r="O129" s="6"/>
      <c r="P129" s="3"/>
      <c r="Q129" s="3"/>
      <c r="R129" s="6"/>
      <c r="S129" s="3"/>
      <c r="T129" s="3"/>
      <c r="U129" s="3"/>
      <c r="V129" s="3"/>
      <c r="W129" s="6"/>
      <c r="X129" s="6"/>
      <c r="Y129" s="3"/>
    </row>
    <row r="130" spans="1:25">
      <c r="A130" s="3"/>
      <c r="B130" s="3"/>
      <c r="C130" s="3"/>
      <c r="D130" s="6"/>
      <c r="E130" s="6"/>
      <c r="F130" s="6"/>
      <c r="G130" s="3"/>
      <c r="H130" s="3"/>
      <c r="I130" s="6"/>
      <c r="J130" s="3"/>
      <c r="K130" s="3"/>
      <c r="L130" s="6"/>
      <c r="M130" s="3"/>
      <c r="N130" s="3"/>
      <c r="O130" s="6"/>
      <c r="P130" s="3"/>
      <c r="Q130" s="3"/>
      <c r="R130" s="6"/>
      <c r="S130" s="3"/>
      <c r="T130" s="3"/>
      <c r="U130" s="3"/>
      <c r="V130" s="3"/>
      <c r="W130" s="6"/>
      <c r="X130" s="6"/>
      <c r="Y130" s="3"/>
    </row>
    <row r="131" spans="1:25">
      <c r="A131" s="3"/>
      <c r="B131" s="3"/>
      <c r="C131" s="3"/>
      <c r="D131" s="6"/>
      <c r="E131" s="6"/>
      <c r="F131" s="6"/>
      <c r="G131" s="3"/>
      <c r="H131" s="3"/>
      <c r="I131" s="6"/>
      <c r="J131" s="3"/>
      <c r="K131" s="3"/>
      <c r="L131" s="6"/>
      <c r="M131" s="3"/>
      <c r="N131" s="3"/>
      <c r="O131" s="6"/>
      <c r="P131" s="3"/>
      <c r="Q131" s="3"/>
      <c r="R131" s="6"/>
      <c r="S131" s="3"/>
      <c r="T131" s="3"/>
      <c r="U131" s="3"/>
      <c r="V131" s="3"/>
      <c r="W131" s="6"/>
      <c r="X131" s="6"/>
      <c r="Y131" s="3"/>
    </row>
    <row r="132" spans="1:25">
      <c r="A132" s="3"/>
      <c r="B132" s="3"/>
      <c r="C132" s="3"/>
      <c r="D132" s="6"/>
      <c r="E132" s="6"/>
      <c r="F132" s="6"/>
      <c r="G132" s="3"/>
      <c r="H132" s="3"/>
      <c r="I132" s="6"/>
      <c r="J132" s="3"/>
      <c r="K132" s="3"/>
      <c r="L132" s="6"/>
      <c r="M132" s="3"/>
      <c r="N132" s="3"/>
      <c r="O132" s="6"/>
      <c r="P132" s="3"/>
      <c r="Q132" s="3"/>
      <c r="R132" s="6"/>
      <c r="S132" s="3"/>
      <c r="T132" s="3"/>
      <c r="U132" s="3"/>
      <c r="V132" s="3"/>
      <c r="W132" s="6"/>
      <c r="X132" s="6"/>
      <c r="Y132" s="3"/>
    </row>
    <row r="133" spans="1:25">
      <c r="A133" s="3"/>
      <c r="B133" s="3"/>
      <c r="C133" s="3"/>
      <c r="D133" s="6"/>
      <c r="E133" s="6"/>
      <c r="F133" s="6"/>
      <c r="G133" s="3"/>
      <c r="H133" s="3"/>
      <c r="I133" s="6"/>
      <c r="J133" s="3"/>
      <c r="K133" s="3"/>
      <c r="L133" s="6"/>
      <c r="M133" s="3"/>
      <c r="N133" s="3"/>
      <c r="O133" s="6"/>
      <c r="P133" s="3"/>
      <c r="Q133" s="3"/>
      <c r="R133" s="6"/>
      <c r="S133" s="3"/>
      <c r="T133" s="3"/>
      <c r="U133" s="3"/>
      <c r="V133" s="3"/>
      <c r="W133" s="6"/>
      <c r="X133" s="6"/>
      <c r="Y133" s="3"/>
    </row>
    <row r="134" spans="1:25">
      <c r="A134" s="3"/>
      <c r="B134" s="3"/>
      <c r="C134" s="3"/>
      <c r="D134" s="6"/>
      <c r="E134" s="6"/>
      <c r="F134" s="6"/>
      <c r="G134" s="3"/>
      <c r="H134" s="3"/>
      <c r="I134" s="6"/>
      <c r="J134" s="3"/>
      <c r="K134" s="3"/>
      <c r="L134" s="6"/>
      <c r="M134" s="3"/>
      <c r="N134" s="3"/>
      <c r="O134" s="6"/>
      <c r="P134" s="3"/>
      <c r="Q134" s="3"/>
      <c r="R134" s="6"/>
      <c r="S134" s="3"/>
      <c r="T134" s="3"/>
      <c r="U134" s="3"/>
      <c r="V134" s="3"/>
      <c r="W134" s="6"/>
      <c r="X134" s="6"/>
      <c r="Y134" s="3"/>
    </row>
    <row r="135" spans="1:25">
      <c r="A135" s="3"/>
      <c r="B135" s="3"/>
      <c r="C135" s="3"/>
      <c r="D135" s="6"/>
      <c r="E135" s="6"/>
      <c r="F135" s="6"/>
      <c r="G135" s="3"/>
      <c r="H135" s="3"/>
      <c r="I135" s="6"/>
      <c r="J135" s="3"/>
      <c r="K135" s="3"/>
      <c r="L135" s="6"/>
      <c r="M135" s="3"/>
      <c r="N135" s="3"/>
      <c r="O135" s="6"/>
      <c r="P135" s="3"/>
      <c r="Q135" s="3"/>
      <c r="R135" s="6"/>
      <c r="S135" s="3"/>
      <c r="T135" s="3"/>
      <c r="U135" s="3"/>
      <c r="V135" s="3"/>
      <c r="W135" s="6"/>
      <c r="X135" s="6"/>
      <c r="Y135" s="3"/>
    </row>
    <row r="136" spans="1:25">
      <c r="A136" s="3"/>
      <c r="B136" s="3"/>
      <c r="C136" s="3"/>
      <c r="D136" s="6"/>
      <c r="E136" s="6"/>
      <c r="F136" s="6"/>
      <c r="G136" s="3"/>
      <c r="H136" s="3"/>
      <c r="I136" s="6"/>
      <c r="J136" s="3"/>
      <c r="K136" s="3"/>
      <c r="L136" s="6"/>
      <c r="M136" s="3"/>
      <c r="N136" s="3"/>
      <c r="O136" s="6"/>
      <c r="P136" s="3"/>
      <c r="Q136" s="3"/>
      <c r="R136" s="6"/>
      <c r="S136" s="3"/>
      <c r="T136" s="3"/>
      <c r="U136" s="3"/>
      <c r="V136" s="3"/>
      <c r="W136" s="6"/>
      <c r="X136" s="6"/>
      <c r="Y136" s="3"/>
    </row>
    <row r="137" spans="1:25">
      <c r="A137" s="3"/>
      <c r="B137" s="3"/>
      <c r="C137" s="3"/>
      <c r="D137" s="6"/>
      <c r="E137" s="6"/>
      <c r="F137" s="6"/>
      <c r="G137" s="3"/>
      <c r="H137" s="3"/>
      <c r="I137" s="6"/>
      <c r="J137" s="3"/>
      <c r="K137" s="3"/>
      <c r="L137" s="6"/>
      <c r="M137" s="3"/>
      <c r="N137" s="3"/>
      <c r="O137" s="6"/>
      <c r="P137" s="3"/>
      <c r="Q137" s="3"/>
      <c r="R137" s="6"/>
      <c r="S137" s="3"/>
      <c r="T137" s="3"/>
      <c r="U137" s="3"/>
      <c r="V137" s="3"/>
      <c r="W137" s="6"/>
      <c r="X137" s="6"/>
      <c r="Y137" s="3"/>
    </row>
    <row r="138" spans="1:25">
      <c r="A138" s="3"/>
      <c r="B138" s="3"/>
      <c r="C138" s="3"/>
      <c r="D138" s="6"/>
      <c r="E138" s="6"/>
      <c r="F138" s="6"/>
      <c r="G138" s="3"/>
      <c r="H138" s="3"/>
      <c r="I138" s="6"/>
      <c r="J138" s="3"/>
      <c r="K138" s="3"/>
      <c r="L138" s="6"/>
      <c r="M138" s="3"/>
      <c r="N138" s="3"/>
      <c r="O138" s="6"/>
      <c r="P138" s="3"/>
      <c r="Q138" s="3"/>
      <c r="R138" s="6"/>
      <c r="S138" s="3"/>
      <c r="T138" s="3"/>
      <c r="U138" s="3"/>
      <c r="V138" s="3"/>
      <c r="W138" s="6"/>
      <c r="X138" s="6"/>
      <c r="Y138" s="3"/>
    </row>
    <row r="139" spans="1:25">
      <c r="A139" s="3"/>
      <c r="B139" s="3"/>
      <c r="C139" s="3"/>
      <c r="D139" s="6"/>
      <c r="E139" s="6"/>
      <c r="F139" s="6"/>
      <c r="G139" s="3"/>
      <c r="H139" s="3"/>
      <c r="I139" s="6"/>
      <c r="J139" s="3"/>
      <c r="K139" s="3"/>
      <c r="L139" s="6"/>
      <c r="M139" s="3"/>
      <c r="N139" s="3"/>
      <c r="O139" s="6"/>
      <c r="P139" s="3"/>
      <c r="Q139" s="3"/>
      <c r="R139" s="6"/>
      <c r="S139" s="3"/>
      <c r="T139" s="3"/>
      <c r="U139" s="3"/>
      <c r="V139" s="3"/>
      <c r="W139" s="6"/>
      <c r="X139" s="6"/>
      <c r="Y139" s="3"/>
    </row>
    <row r="140" spans="1:25">
      <c r="A140" s="3"/>
      <c r="B140" s="3"/>
      <c r="C140" s="3"/>
      <c r="D140" s="6"/>
      <c r="E140" s="6"/>
      <c r="F140" s="6"/>
      <c r="G140" s="3"/>
      <c r="H140" s="3"/>
      <c r="I140" s="6"/>
      <c r="J140" s="3"/>
      <c r="K140" s="3"/>
      <c r="L140" s="6"/>
      <c r="M140" s="3"/>
      <c r="N140" s="3"/>
      <c r="O140" s="6"/>
      <c r="P140" s="3"/>
      <c r="Q140" s="3"/>
      <c r="R140" s="6"/>
      <c r="S140" s="3"/>
      <c r="T140" s="3"/>
      <c r="U140" s="3"/>
      <c r="V140" s="3"/>
      <c r="W140" s="6"/>
      <c r="X140" s="6"/>
      <c r="Y140" s="3"/>
    </row>
    <row r="141" spans="1:25">
      <c r="A141" s="3"/>
      <c r="B141" s="3"/>
      <c r="C141" s="3"/>
      <c r="D141" s="6"/>
      <c r="E141" s="6"/>
      <c r="F141" s="6"/>
      <c r="G141" s="3"/>
      <c r="H141" s="3"/>
      <c r="I141" s="6"/>
      <c r="J141" s="3"/>
      <c r="K141" s="3"/>
      <c r="L141" s="6"/>
      <c r="M141" s="3"/>
      <c r="N141" s="3"/>
      <c r="O141" s="6"/>
      <c r="P141" s="3"/>
      <c r="Q141" s="3"/>
      <c r="R141" s="6"/>
      <c r="S141" s="3"/>
      <c r="T141" s="3"/>
      <c r="U141" s="3"/>
      <c r="V141" s="3"/>
      <c r="W141" s="6"/>
      <c r="X141" s="6"/>
      <c r="Y141" s="3"/>
    </row>
    <row r="142" spans="1:25">
      <c r="A142" s="3"/>
      <c r="B142" s="3"/>
      <c r="C142" s="3"/>
      <c r="D142" s="6"/>
      <c r="E142" s="6"/>
      <c r="F142" s="6"/>
      <c r="G142" s="3"/>
      <c r="H142" s="3"/>
      <c r="I142" s="6"/>
      <c r="J142" s="3"/>
      <c r="K142" s="3"/>
      <c r="L142" s="6"/>
      <c r="M142" s="3"/>
      <c r="N142" s="3"/>
      <c r="O142" s="6"/>
      <c r="P142" s="3"/>
      <c r="Q142" s="3"/>
      <c r="R142" s="6"/>
      <c r="S142" s="3"/>
      <c r="T142" s="3"/>
      <c r="U142" s="3"/>
      <c r="V142" s="3"/>
      <c r="W142" s="6"/>
      <c r="X142" s="6"/>
      <c r="Y142" s="3"/>
    </row>
    <row r="143" spans="1:25">
      <c r="A143" s="3"/>
      <c r="B143" s="3"/>
      <c r="C143" s="3"/>
      <c r="D143" s="6"/>
      <c r="E143" s="6"/>
      <c r="F143" s="6"/>
      <c r="G143" s="3"/>
      <c r="H143" s="3"/>
      <c r="I143" s="6"/>
      <c r="J143" s="3"/>
      <c r="K143" s="3"/>
      <c r="L143" s="6"/>
      <c r="M143" s="3"/>
      <c r="N143" s="3"/>
      <c r="O143" s="6"/>
      <c r="P143" s="3"/>
      <c r="Q143" s="3"/>
      <c r="R143" s="6"/>
      <c r="S143" s="3"/>
      <c r="T143" s="3"/>
      <c r="U143" s="3"/>
      <c r="V143" s="3"/>
      <c r="W143" s="6"/>
      <c r="X143" s="6"/>
      <c r="Y143" s="3"/>
    </row>
    <row r="144" spans="1:25">
      <c r="A144" s="3"/>
      <c r="B144" s="3"/>
      <c r="C144" s="3"/>
      <c r="D144" s="6"/>
      <c r="E144" s="6"/>
      <c r="F144" s="6"/>
      <c r="G144" s="3"/>
      <c r="H144" s="3"/>
      <c r="I144" s="6"/>
      <c r="J144" s="3"/>
      <c r="K144" s="3"/>
      <c r="L144" s="6"/>
      <c r="M144" s="3"/>
      <c r="N144" s="3"/>
      <c r="O144" s="6"/>
      <c r="P144" s="3"/>
      <c r="Q144" s="3"/>
      <c r="R144" s="6"/>
      <c r="S144" s="3"/>
      <c r="T144" s="3"/>
      <c r="U144" s="3"/>
      <c r="V144" s="3"/>
      <c r="W144" s="6"/>
      <c r="X144" s="6"/>
      <c r="Y144" s="3"/>
    </row>
    <row r="145" spans="1:25">
      <c r="A145" s="3"/>
      <c r="B145" s="3"/>
      <c r="C145" s="3"/>
      <c r="D145" s="6"/>
      <c r="E145" s="6"/>
      <c r="F145" s="6"/>
      <c r="G145" s="3"/>
      <c r="H145" s="3"/>
      <c r="I145" s="6"/>
      <c r="J145" s="3"/>
      <c r="K145" s="3"/>
      <c r="L145" s="6"/>
      <c r="M145" s="3"/>
      <c r="N145" s="3"/>
      <c r="O145" s="6"/>
      <c r="P145" s="3"/>
      <c r="Q145" s="3"/>
      <c r="R145" s="6"/>
      <c r="S145" s="3"/>
      <c r="T145" s="3"/>
      <c r="U145" s="3"/>
      <c r="V145" s="3"/>
      <c r="W145" s="6"/>
      <c r="X145" s="6"/>
      <c r="Y145" s="3"/>
    </row>
    <row r="146" spans="1:25">
      <c r="A146" s="3"/>
      <c r="B146" s="3"/>
      <c r="C146" s="3"/>
      <c r="D146" s="6"/>
      <c r="E146" s="6"/>
      <c r="F146" s="6"/>
      <c r="G146" s="3"/>
      <c r="H146" s="3"/>
      <c r="I146" s="6"/>
      <c r="J146" s="3"/>
      <c r="K146" s="3"/>
      <c r="L146" s="6"/>
      <c r="M146" s="3"/>
      <c r="N146" s="3"/>
      <c r="O146" s="6"/>
      <c r="P146" s="3"/>
      <c r="Q146" s="3"/>
      <c r="R146" s="6"/>
      <c r="S146" s="3"/>
      <c r="T146" s="3"/>
      <c r="U146" s="3"/>
      <c r="V146" s="3"/>
      <c r="W146" s="6"/>
      <c r="X146" s="6"/>
      <c r="Y146" s="3"/>
    </row>
    <row r="147" spans="1:25">
      <c r="A147" s="3"/>
      <c r="B147" s="3"/>
      <c r="C147" s="3"/>
      <c r="D147" s="6"/>
      <c r="E147" s="6"/>
      <c r="F147" s="6"/>
      <c r="G147" s="3"/>
      <c r="H147" s="3"/>
      <c r="I147" s="6"/>
      <c r="J147" s="3"/>
      <c r="K147" s="3"/>
      <c r="L147" s="6"/>
      <c r="M147" s="3"/>
      <c r="N147" s="3"/>
      <c r="O147" s="6"/>
      <c r="P147" s="3"/>
      <c r="Q147" s="3"/>
      <c r="R147" s="6"/>
      <c r="S147" s="3"/>
      <c r="T147" s="3"/>
      <c r="U147" s="3"/>
      <c r="V147" s="3"/>
      <c r="W147" s="6"/>
      <c r="X147" s="6"/>
      <c r="Y147" s="3"/>
    </row>
    <row r="148" spans="1:25">
      <c r="A148" s="3"/>
      <c r="B148" s="3"/>
      <c r="C148" s="3"/>
      <c r="D148" s="6"/>
      <c r="E148" s="6"/>
      <c r="F148" s="6"/>
      <c r="G148" s="3"/>
      <c r="H148" s="3"/>
      <c r="I148" s="6"/>
      <c r="J148" s="3"/>
      <c r="K148" s="3"/>
      <c r="L148" s="6"/>
      <c r="M148" s="3"/>
      <c r="N148" s="3"/>
      <c r="O148" s="6"/>
      <c r="P148" s="3"/>
      <c r="Q148" s="3"/>
      <c r="R148" s="6"/>
      <c r="S148" s="3"/>
      <c r="T148" s="3"/>
      <c r="U148" s="3"/>
      <c r="V148" s="3"/>
      <c r="W148" s="6"/>
      <c r="X148" s="6"/>
      <c r="Y148" s="3"/>
    </row>
    <row r="149" spans="1:25">
      <c r="A149" s="3"/>
      <c r="B149" s="3"/>
      <c r="C149" s="3"/>
      <c r="D149" s="6"/>
      <c r="E149" s="6"/>
      <c r="F149" s="6"/>
      <c r="G149" s="3"/>
      <c r="H149" s="3"/>
      <c r="I149" s="6"/>
      <c r="J149" s="3"/>
      <c r="K149" s="3"/>
      <c r="L149" s="6"/>
      <c r="M149" s="3"/>
      <c r="N149" s="3"/>
      <c r="O149" s="6"/>
      <c r="P149" s="3"/>
      <c r="Q149" s="3"/>
      <c r="R149" s="6"/>
      <c r="S149" s="3"/>
      <c r="T149" s="3"/>
      <c r="U149" s="3"/>
      <c r="V149" s="3"/>
      <c r="W149" s="6"/>
      <c r="X149" s="6"/>
      <c r="Y149" s="3"/>
    </row>
    <row r="150" spans="1:25">
      <c r="A150" s="3"/>
      <c r="B150" s="3"/>
      <c r="C150" s="3"/>
      <c r="D150" s="6"/>
      <c r="E150" s="6"/>
      <c r="F150" s="6"/>
      <c r="G150" s="3"/>
      <c r="H150" s="3"/>
      <c r="I150" s="6"/>
      <c r="J150" s="3"/>
      <c r="K150" s="3"/>
      <c r="L150" s="6"/>
      <c r="M150" s="3"/>
      <c r="N150" s="3"/>
      <c r="O150" s="6"/>
      <c r="P150" s="3"/>
      <c r="Q150" s="3"/>
      <c r="R150" s="6"/>
      <c r="S150" s="3"/>
      <c r="T150" s="3"/>
      <c r="U150" s="3"/>
      <c r="V150" s="3"/>
      <c r="W150" s="6"/>
      <c r="X150" s="6"/>
      <c r="Y150" s="3"/>
    </row>
    <row r="151" spans="1:25">
      <c r="A151" s="3"/>
      <c r="B151" s="3"/>
      <c r="C151" s="3"/>
      <c r="D151" s="6"/>
      <c r="E151" s="6"/>
      <c r="F151" s="6"/>
      <c r="G151" s="3"/>
      <c r="H151" s="3"/>
      <c r="I151" s="6"/>
      <c r="J151" s="3"/>
      <c r="K151" s="3"/>
      <c r="L151" s="6"/>
      <c r="M151" s="3"/>
      <c r="N151" s="3"/>
      <c r="O151" s="6"/>
      <c r="P151" s="3"/>
      <c r="Q151" s="3"/>
      <c r="R151" s="6"/>
      <c r="S151" s="3"/>
      <c r="T151" s="3"/>
      <c r="U151" s="3"/>
      <c r="V151" s="3"/>
      <c r="W151" s="6"/>
      <c r="X151" s="6"/>
      <c r="Y151" s="3"/>
    </row>
    <row r="152" spans="1:25">
      <c r="A152" s="3"/>
      <c r="B152" s="3"/>
      <c r="C152" s="3"/>
      <c r="D152" s="6"/>
      <c r="E152" s="6"/>
      <c r="F152" s="6"/>
      <c r="G152" s="3"/>
      <c r="H152" s="3"/>
      <c r="I152" s="6"/>
      <c r="J152" s="3"/>
      <c r="K152" s="3"/>
      <c r="L152" s="6"/>
      <c r="M152" s="3"/>
      <c r="N152" s="3"/>
      <c r="O152" s="6"/>
      <c r="P152" s="3"/>
      <c r="Q152" s="3"/>
      <c r="R152" s="6"/>
      <c r="S152" s="3"/>
      <c r="T152" s="3"/>
      <c r="U152" s="3"/>
      <c r="V152" s="3"/>
      <c r="W152" s="6"/>
      <c r="X152" s="6"/>
      <c r="Y152" s="3"/>
    </row>
    <row r="153" spans="1:25">
      <c r="A153" s="3"/>
      <c r="B153" s="3"/>
      <c r="C153" s="3"/>
      <c r="D153" s="6"/>
      <c r="E153" s="6"/>
      <c r="F153" s="6"/>
      <c r="G153" s="3"/>
      <c r="H153" s="3"/>
      <c r="I153" s="6"/>
      <c r="J153" s="3"/>
      <c r="K153" s="3"/>
      <c r="L153" s="6"/>
      <c r="M153" s="3"/>
      <c r="N153" s="3"/>
      <c r="O153" s="6"/>
      <c r="P153" s="3"/>
      <c r="Q153" s="3"/>
      <c r="R153" s="6"/>
      <c r="S153" s="3"/>
      <c r="T153" s="3"/>
      <c r="U153" s="3"/>
      <c r="V153" s="3"/>
      <c r="W153" s="6"/>
      <c r="X153" s="6"/>
      <c r="Y153" s="3"/>
    </row>
    <row r="154" spans="1:25">
      <c r="A154" s="3"/>
      <c r="B154" s="3"/>
      <c r="C154" s="3"/>
      <c r="D154" s="6"/>
      <c r="E154" s="6"/>
      <c r="F154" s="6"/>
      <c r="G154" s="3"/>
      <c r="H154" s="3"/>
      <c r="I154" s="6"/>
      <c r="J154" s="3"/>
      <c r="K154" s="3"/>
      <c r="L154" s="6"/>
      <c r="M154" s="3"/>
      <c r="N154" s="3"/>
      <c r="O154" s="6"/>
      <c r="P154" s="3"/>
      <c r="Q154" s="3"/>
      <c r="R154" s="6"/>
      <c r="S154" s="3"/>
      <c r="T154" s="3"/>
      <c r="U154" s="3"/>
      <c r="V154" s="3"/>
      <c r="W154" s="6"/>
      <c r="X154" s="6"/>
      <c r="Y154" s="3"/>
    </row>
    <row r="155" spans="1:25">
      <c r="A155" s="3"/>
      <c r="B155" s="3"/>
      <c r="C155" s="3"/>
      <c r="D155" s="6"/>
      <c r="E155" s="6"/>
      <c r="F155" s="6"/>
      <c r="G155" s="3"/>
      <c r="H155" s="3"/>
      <c r="I155" s="6"/>
      <c r="J155" s="3"/>
      <c r="K155" s="3"/>
      <c r="L155" s="6"/>
      <c r="M155" s="3"/>
      <c r="N155" s="3"/>
      <c r="O155" s="6"/>
      <c r="P155" s="3"/>
      <c r="Q155" s="3"/>
      <c r="R155" s="6"/>
      <c r="S155" s="3"/>
      <c r="T155" s="3"/>
      <c r="U155" s="3"/>
      <c r="V155" s="3"/>
      <c r="W155" s="6"/>
      <c r="X155" s="6"/>
      <c r="Y155" s="3"/>
    </row>
    <row r="156" spans="1:25">
      <c r="A156" s="3"/>
      <c r="B156" s="3"/>
      <c r="C156" s="3"/>
      <c r="D156" s="6"/>
      <c r="E156" s="6"/>
      <c r="F156" s="6"/>
      <c r="G156" s="3"/>
      <c r="H156" s="3"/>
      <c r="I156" s="6"/>
      <c r="J156" s="3"/>
      <c r="K156" s="3"/>
      <c r="L156" s="6"/>
      <c r="M156" s="3"/>
      <c r="N156" s="3"/>
      <c r="O156" s="6"/>
      <c r="P156" s="3"/>
      <c r="Q156" s="3"/>
      <c r="R156" s="6"/>
      <c r="S156" s="3"/>
      <c r="T156" s="3"/>
      <c r="U156" s="3"/>
      <c r="V156" s="3"/>
      <c r="W156" s="6"/>
      <c r="X156" s="6"/>
      <c r="Y156" s="3"/>
    </row>
    <row r="157" spans="1:25">
      <c r="A157" s="3"/>
      <c r="B157" s="3"/>
      <c r="C157" s="3"/>
      <c r="D157" s="6"/>
      <c r="E157" s="6"/>
      <c r="F157" s="6"/>
      <c r="G157" s="3"/>
      <c r="H157" s="3"/>
      <c r="I157" s="6"/>
      <c r="J157" s="3"/>
      <c r="K157" s="3"/>
      <c r="L157" s="6"/>
      <c r="M157" s="3"/>
      <c r="N157" s="3"/>
      <c r="O157" s="6"/>
      <c r="P157" s="3"/>
      <c r="Q157" s="3"/>
      <c r="R157" s="6"/>
      <c r="S157" s="3"/>
      <c r="T157" s="3"/>
      <c r="U157" s="3"/>
      <c r="V157" s="3"/>
      <c r="W157" s="6"/>
      <c r="X157" s="6"/>
      <c r="Y157" s="3"/>
    </row>
    <row r="158" spans="1:25">
      <c r="A158" s="3"/>
      <c r="B158" s="3"/>
      <c r="C158" s="3"/>
      <c r="D158" s="6"/>
      <c r="E158" s="6"/>
      <c r="F158" s="6"/>
      <c r="G158" s="3"/>
      <c r="H158" s="3"/>
      <c r="I158" s="6"/>
      <c r="J158" s="3"/>
      <c r="K158" s="3"/>
      <c r="L158" s="6"/>
      <c r="M158" s="3"/>
      <c r="N158" s="3"/>
      <c r="O158" s="6"/>
      <c r="P158" s="3"/>
      <c r="Q158" s="3"/>
      <c r="R158" s="6"/>
      <c r="S158" s="3"/>
      <c r="T158" s="3"/>
      <c r="U158" s="3"/>
      <c r="V158" s="3"/>
      <c r="W158" s="6"/>
      <c r="X158" s="6"/>
      <c r="Y158" s="3"/>
    </row>
    <row r="159" spans="1:25">
      <c r="A159" s="3"/>
      <c r="B159" s="3"/>
      <c r="C159" s="3"/>
      <c r="D159" s="6"/>
      <c r="E159" s="6"/>
      <c r="F159" s="6"/>
      <c r="G159" s="3"/>
      <c r="H159" s="3"/>
      <c r="I159" s="6"/>
      <c r="J159" s="3"/>
      <c r="K159" s="3"/>
      <c r="L159" s="6"/>
      <c r="M159" s="3"/>
      <c r="N159" s="3"/>
      <c r="O159" s="6"/>
      <c r="P159" s="3"/>
      <c r="Q159" s="3"/>
      <c r="R159" s="6"/>
      <c r="S159" s="3"/>
      <c r="T159" s="3"/>
      <c r="U159" s="3"/>
      <c r="V159" s="3"/>
      <c r="W159" s="6"/>
      <c r="X159" s="6"/>
      <c r="Y159" s="3"/>
    </row>
    <row r="160" spans="1:25">
      <c r="A160" s="3"/>
      <c r="B160" s="3"/>
      <c r="C160" s="3"/>
      <c r="D160" s="6"/>
      <c r="E160" s="6"/>
      <c r="F160" s="6"/>
      <c r="G160" s="3"/>
      <c r="H160" s="3"/>
      <c r="I160" s="6"/>
      <c r="J160" s="3"/>
      <c r="K160" s="3"/>
      <c r="L160" s="6"/>
      <c r="M160" s="3"/>
      <c r="N160" s="3"/>
      <c r="O160" s="6"/>
      <c r="P160" s="3"/>
      <c r="Q160" s="3"/>
      <c r="R160" s="6"/>
      <c r="S160" s="3"/>
      <c r="T160" s="3"/>
      <c r="U160" s="3"/>
      <c r="V160" s="3"/>
      <c r="W160" s="6"/>
      <c r="X160" s="6"/>
      <c r="Y160" s="3"/>
    </row>
    <row r="161" spans="1:25">
      <c r="A161" s="3"/>
      <c r="B161" s="3"/>
      <c r="C161" s="3"/>
      <c r="D161" s="6"/>
      <c r="E161" s="6"/>
      <c r="F161" s="6"/>
      <c r="G161" s="3"/>
      <c r="H161" s="3"/>
      <c r="I161" s="6"/>
      <c r="J161" s="3"/>
      <c r="K161" s="3"/>
      <c r="L161" s="6"/>
      <c r="M161" s="3"/>
      <c r="N161" s="3"/>
      <c r="O161" s="6"/>
      <c r="P161" s="3"/>
      <c r="Q161" s="3"/>
      <c r="R161" s="6"/>
      <c r="S161" s="3"/>
      <c r="T161" s="3"/>
      <c r="U161" s="3"/>
      <c r="V161" s="3"/>
      <c r="W161" s="6"/>
      <c r="X161" s="6"/>
      <c r="Y161" s="3"/>
    </row>
    <row r="162" spans="1:25">
      <c r="A162" s="3"/>
      <c r="B162" s="3"/>
      <c r="C162" s="3"/>
      <c r="D162" s="6"/>
      <c r="E162" s="6"/>
      <c r="F162" s="6"/>
      <c r="G162" s="3"/>
      <c r="H162" s="3"/>
      <c r="I162" s="6"/>
      <c r="J162" s="3"/>
      <c r="K162" s="3"/>
      <c r="L162" s="6"/>
      <c r="M162" s="3"/>
      <c r="N162" s="3"/>
      <c r="O162" s="6"/>
      <c r="P162" s="3"/>
      <c r="Q162" s="3"/>
      <c r="R162" s="6"/>
      <c r="S162" s="3"/>
      <c r="T162" s="3"/>
      <c r="U162" s="3"/>
      <c r="V162" s="3"/>
      <c r="W162" s="6"/>
      <c r="X162" s="6"/>
      <c r="Y162" s="3"/>
    </row>
    <row r="163" spans="1:25">
      <c r="A163" s="3"/>
      <c r="B163" s="3"/>
      <c r="C163" s="3"/>
      <c r="D163" s="6"/>
      <c r="E163" s="6"/>
      <c r="F163" s="6"/>
      <c r="G163" s="3"/>
      <c r="H163" s="3"/>
      <c r="I163" s="6"/>
      <c r="J163" s="3"/>
      <c r="K163" s="3"/>
      <c r="L163" s="6"/>
      <c r="M163" s="3"/>
      <c r="N163" s="3"/>
      <c r="O163" s="6"/>
      <c r="P163" s="3"/>
      <c r="Q163" s="3"/>
      <c r="R163" s="6"/>
      <c r="S163" s="3"/>
      <c r="T163" s="3"/>
      <c r="U163" s="3"/>
      <c r="V163" s="3"/>
      <c r="W163" s="6"/>
      <c r="X163" s="6"/>
      <c r="Y163" s="3"/>
    </row>
    <row r="164" spans="1:25">
      <c r="A164" s="3"/>
      <c r="B164" s="3"/>
      <c r="C164" s="3"/>
      <c r="D164" s="6"/>
      <c r="E164" s="6"/>
      <c r="F164" s="6"/>
      <c r="G164" s="3"/>
      <c r="H164" s="3"/>
      <c r="I164" s="6"/>
      <c r="J164" s="3"/>
      <c r="K164" s="3"/>
      <c r="L164" s="6"/>
      <c r="M164" s="3"/>
      <c r="N164" s="3"/>
      <c r="O164" s="6"/>
      <c r="P164" s="3"/>
      <c r="Q164" s="3"/>
      <c r="R164" s="6"/>
      <c r="S164" s="3"/>
      <c r="T164" s="3"/>
      <c r="U164" s="3"/>
      <c r="V164" s="3"/>
      <c r="W164" s="6"/>
      <c r="X164" s="6"/>
      <c r="Y164" s="3"/>
    </row>
    <row r="165" spans="1:25">
      <c r="A165" s="3"/>
      <c r="B165" s="3"/>
      <c r="C165" s="3"/>
      <c r="D165" s="6"/>
      <c r="E165" s="6"/>
      <c r="F165" s="6"/>
      <c r="G165" s="3"/>
      <c r="H165" s="3"/>
      <c r="I165" s="6"/>
      <c r="J165" s="3"/>
      <c r="K165" s="3"/>
      <c r="L165" s="6"/>
      <c r="M165" s="3"/>
      <c r="N165" s="3"/>
      <c r="O165" s="6"/>
      <c r="P165" s="3"/>
      <c r="Q165" s="3"/>
      <c r="R165" s="6"/>
      <c r="S165" s="3"/>
      <c r="T165" s="3"/>
      <c r="U165" s="3"/>
      <c r="V165" s="3"/>
      <c r="W165" s="6"/>
      <c r="X165" s="6"/>
      <c r="Y165" s="3"/>
    </row>
    <row r="166" spans="1:25">
      <c r="A166" s="3"/>
      <c r="B166" s="3"/>
      <c r="C166" s="3"/>
      <c r="D166" s="6"/>
      <c r="E166" s="6"/>
      <c r="F166" s="6"/>
      <c r="G166" s="3"/>
      <c r="H166" s="3"/>
      <c r="I166" s="6"/>
      <c r="J166" s="3"/>
      <c r="K166" s="3"/>
      <c r="L166" s="6"/>
      <c r="M166" s="3"/>
      <c r="N166" s="3"/>
      <c r="O166" s="6"/>
      <c r="P166" s="3"/>
      <c r="Q166" s="3"/>
      <c r="R166" s="6"/>
      <c r="S166" s="3"/>
      <c r="T166" s="3"/>
      <c r="U166" s="3"/>
      <c r="V166" s="3"/>
      <c r="W166" s="6"/>
      <c r="X166" s="6"/>
      <c r="Y166" s="3"/>
    </row>
    <row r="167" spans="1:25">
      <c r="A167" s="3"/>
      <c r="B167" s="3"/>
      <c r="C167" s="3"/>
      <c r="D167" s="6"/>
      <c r="E167" s="6"/>
      <c r="F167" s="6"/>
      <c r="G167" s="3"/>
      <c r="H167" s="3"/>
      <c r="I167" s="6"/>
      <c r="J167" s="3"/>
      <c r="K167" s="3"/>
      <c r="L167" s="6"/>
      <c r="M167" s="3"/>
      <c r="N167" s="3"/>
      <c r="O167" s="6"/>
      <c r="P167" s="3"/>
      <c r="Q167" s="3"/>
      <c r="R167" s="6"/>
      <c r="S167" s="3"/>
      <c r="T167" s="3"/>
      <c r="U167" s="3"/>
      <c r="V167" s="3"/>
      <c r="W167" s="6"/>
      <c r="X167" s="6"/>
      <c r="Y167" s="3"/>
    </row>
    <row r="168" spans="1:25">
      <c r="A168" s="3"/>
      <c r="B168" s="3"/>
      <c r="C168" s="3"/>
      <c r="D168" s="6"/>
      <c r="E168" s="6"/>
      <c r="F168" s="6"/>
      <c r="G168" s="3"/>
      <c r="H168" s="3"/>
      <c r="I168" s="6"/>
      <c r="J168" s="3"/>
      <c r="K168" s="3"/>
      <c r="L168" s="6"/>
      <c r="M168" s="3"/>
      <c r="N168" s="3"/>
      <c r="O168" s="6"/>
      <c r="P168" s="3"/>
      <c r="Q168" s="3"/>
      <c r="R168" s="6"/>
      <c r="S168" s="3"/>
      <c r="T168" s="3"/>
      <c r="U168" s="3"/>
      <c r="V168" s="3"/>
      <c r="W168" s="6"/>
      <c r="X168" s="6"/>
      <c r="Y168" s="3"/>
    </row>
    <row r="169" spans="1:25">
      <c r="A169" s="3"/>
      <c r="B169" s="3"/>
      <c r="C169" s="3"/>
      <c r="D169" s="6"/>
      <c r="E169" s="6"/>
      <c r="F169" s="6"/>
      <c r="G169" s="3"/>
      <c r="H169" s="3"/>
      <c r="I169" s="6"/>
      <c r="J169" s="3"/>
      <c r="K169" s="3"/>
      <c r="L169" s="6"/>
      <c r="M169" s="3"/>
      <c r="N169" s="3"/>
      <c r="O169" s="6"/>
      <c r="P169" s="3"/>
      <c r="Q169" s="3"/>
      <c r="R169" s="6"/>
      <c r="S169" s="3"/>
      <c r="T169" s="3"/>
      <c r="U169" s="3"/>
      <c r="V169" s="3"/>
      <c r="W169" s="6"/>
      <c r="X169" s="6"/>
      <c r="Y169" s="3"/>
    </row>
    <row r="170" spans="1:25">
      <c r="A170" s="3"/>
      <c r="B170" s="3"/>
      <c r="C170" s="3"/>
      <c r="D170" s="6"/>
      <c r="E170" s="6"/>
      <c r="F170" s="6"/>
      <c r="G170" s="3"/>
      <c r="H170" s="3"/>
      <c r="I170" s="6"/>
      <c r="J170" s="3"/>
      <c r="K170" s="3"/>
      <c r="L170" s="6"/>
      <c r="M170" s="3"/>
      <c r="N170" s="3"/>
      <c r="O170" s="6"/>
      <c r="P170" s="3"/>
      <c r="Q170" s="3"/>
      <c r="R170" s="6"/>
      <c r="S170" s="3"/>
      <c r="T170" s="3"/>
      <c r="U170" s="3"/>
      <c r="V170" s="3"/>
      <c r="W170" s="6"/>
      <c r="X170" s="6"/>
      <c r="Y170" s="3"/>
    </row>
    <row r="171" spans="1:25">
      <c r="A171" s="3"/>
      <c r="B171" s="3"/>
      <c r="C171" s="3"/>
      <c r="D171" s="6"/>
      <c r="E171" s="6"/>
      <c r="F171" s="6"/>
      <c r="G171" s="3"/>
      <c r="H171" s="3"/>
      <c r="I171" s="6"/>
      <c r="J171" s="3"/>
      <c r="K171" s="3"/>
      <c r="L171" s="6"/>
      <c r="M171" s="3"/>
      <c r="N171" s="3"/>
      <c r="O171" s="6"/>
      <c r="P171" s="3"/>
      <c r="Q171" s="3"/>
      <c r="R171" s="6"/>
      <c r="S171" s="3"/>
      <c r="T171" s="3"/>
      <c r="U171" s="3"/>
      <c r="V171" s="3"/>
      <c r="W171" s="6"/>
      <c r="X171" s="6"/>
      <c r="Y171" s="3"/>
    </row>
    <row r="172" spans="1:25">
      <c r="A172" s="3"/>
      <c r="B172" s="3"/>
      <c r="C172" s="3"/>
      <c r="D172" s="6"/>
      <c r="E172" s="6"/>
      <c r="F172" s="6"/>
      <c r="G172" s="3"/>
      <c r="H172" s="3"/>
      <c r="I172" s="6"/>
      <c r="J172" s="3"/>
      <c r="K172" s="3"/>
      <c r="L172" s="6"/>
      <c r="M172" s="3"/>
      <c r="N172" s="3"/>
      <c r="O172" s="6"/>
      <c r="P172" s="3"/>
      <c r="Q172" s="3"/>
      <c r="R172" s="6"/>
      <c r="S172" s="3"/>
      <c r="T172" s="3"/>
      <c r="U172" s="3"/>
      <c r="V172" s="3"/>
      <c r="W172" s="6"/>
      <c r="X172" s="6"/>
      <c r="Y172" s="3"/>
    </row>
    <row r="173" spans="1:25">
      <c r="A173" s="3"/>
      <c r="B173" s="3"/>
      <c r="C173" s="3"/>
      <c r="D173" s="6"/>
      <c r="E173" s="6"/>
      <c r="F173" s="6"/>
      <c r="G173" s="3"/>
      <c r="H173" s="3"/>
      <c r="I173" s="6"/>
      <c r="J173" s="3"/>
      <c r="K173" s="3"/>
      <c r="L173" s="6"/>
      <c r="M173" s="3"/>
      <c r="N173" s="3"/>
      <c r="O173" s="6"/>
      <c r="P173" s="3"/>
      <c r="Q173" s="3"/>
      <c r="R173" s="6"/>
      <c r="S173" s="3"/>
      <c r="T173" s="3"/>
      <c r="U173" s="3"/>
      <c r="V173" s="3"/>
      <c r="W173" s="6"/>
      <c r="X173" s="6"/>
      <c r="Y173" s="3"/>
    </row>
    <row r="174" spans="1:25">
      <c r="A174" s="3"/>
      <c r="B174" s="3"/>
      <c r="C174" s="3"/>
      <c r="D174" s="6"/>
      <c r="E174" s="6"/>
      <c r="F174" s="6"/>
      <c r="G174" s="3"/>
      <c r="H174" s="3"/>
      <c r="I174" s="6"/>
      <c r="J174" s="3"/>
      <c r="K174" s="3"/>
      <c r="L174" s="6"/>
      <c r="M174" s="3"/>
      <c r="N174" s="3"/>
      <c r="O174" s="6"/>
      <c r="P174" s="3"/>
      <c r="Q174" s="3"/>
      <c r="R174" s="6"/>
      <c r="S174" s="3"/>
      <c r="T174" s="3"/>
      <c r="U174" s="3"/>
      <c r="V174" s="3"/>
      <c r="W174" s="6"/>
      <c r="X174" s="6"/>
      <c r="Y174" s="3"/>
    </row>
    <row r="175" spans="1:25">
      <c r="A175" s="3"/>
      <c r="B175" s="3"/>
      <c r="C175" s="3"/>
      <c r="D175" s="6"/>
      <c r="E175" s="6"/>
      <c r="F175" s="6"/>
      <c r="G175" s="3"/>
      <c r="H175" s="3"/>
      <c r="I175" s="6"/>
      <c r="J175" s="3"/>
      <c r="K175" s="3"/>
      <c r="L175" s="6"/>
      <c r="M175" s="3"/>
      <c r="N175" s="3"/>
      <c r="O175" s="6"/>
      <c r="P175" s="3"/>
      <c r="Q175" s="3"/>
      <c r="R175" s="6"/>
      <c r="S175" s="3"/>
      <c r="T175" s="3"/>
      <c r="U175" s="3"/>
      <c r="V175" s="3"/>
      <c r="W175" s="6"/>
      <c r="X175" s="6"/>
      <c r="Y175" s="3"/>
    </row>
    <row r="176" spans="1:25">
      <c r="A176" s="3"/>
      <c r="B176" s="3"/>
      <c r="C176" s="3"/>
      <c r="D176" s="6"/>
      <c r="E176" s="6"/>
      <c r="F176" s="6"/>
      <c r="G176" s="3"/>
      <c r="H176" s="3"/>
      <c r="I176" s="6"/>
      <c r="J176" s="3"/>
      <c r="K176" s="3"/>
      <c r="L176" s="6"/>
      <c r="M176" s="3"/>
      <c r="N176" s="3"/>
      <c r="O176" s="6"/>
      <c r="P176" s="3"/>
      <c r="Q176" s="3"/>
      <c r="R176" s="6"/>
      <c r="S176" s="3"/>
      <c r="T176" s="3"/>
      <c r="U176" s="3"/>
      <c r="V176" s="3"/>
      <c r="W176" s="6"/>
      <c r="X176" s="6"/>
      <c r="Y176" s="3"/>
    </row>
    <row r="177" spans="1:25">
      <c r="A177" s="3"/>
      <c r="B177" s="3"/>
      <c r="C177" s="3"/>
      <c r="D177" s="6"/>
      <c r="E177" s="6"/>
      <c r="F177" s="6"/>
      <c r="G177" s="3"/>
      <c r="H177" s="3"/>
      <c r="I177" s="6"/>
      <c r="J177" s="3"/>
      <c r="K177" s="3"/>
      <c r="L177" s="6"/>
      <c r="M177" s="3"/>
      <c r="N177" s="3"/>
      <c r="O177" s="6"/>
      <c r="P177" s="3"/>
      <c r="Q177" s="3"/>
      <c r="R177" s="6"/>
      <c r="S177" s="3"/>
      <c r="T177" s="3"/>
      <c r="U177" s="3"/>
      <c r="V177" s="3"/>
      <c r="W177" s="6"/>
      <c r="X177" s="6"/>
      <c r="Y177" s="3"/>
    </row>
    <row r="178" spans="1:25">
      <c r="A178" s="3"/>
      <c r="B178" s="3"/>
      <c r="C178" s="3"/>
      <c r="D178" s="6"/>
      <c r="E178" s="6"/>
      <c r="F178" s="6"/>
      <c r="G178" s="3"/>
      <c r="H178" s="3"/>
      <c r="I178" s="6"/>
      <c r="J178" s="3"/>
      <c r="K178" s="3"/>
      <c r="L178" s="6"/>
      <c r="M178" s="3"/>
      <c r="N178" s="3"/>
      <c r="O178" s="6"/>
      <c r="P178" s="3"/>
      <c r="Q178" s="3"/>
      <c r="R178" s="6"/>
      <c r="S178" s="3"/>
      <c r="T178" s="3"/>
      <c r="U178" s="3"/>
      <c r="V178" s="3"/>
      <c r="W178" s="6"/>
      <c r="X178" s="6"/>
      <c r="Y178" s="3"/>
    </row>
  </sheetData>
  <autoFilter ref="A1:Y57" xr:uid="{0943F679-E828-450B-AA4B-D88F1D9682DF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39CA-F154-41DF-94FA-EF054D3004FC}">
  <dimension ref="A1:E13"/>
  <sheetViews>
    <sheetView workbookViewId="0">
      <selection activeCell="I10" sqref="I10"/>
    </sheetView>
  </sheetViews>
  <sheetFormatPr defaultRowHeight="15"/>
  <cols>
    <col min="1" max="1" width="11.28515625" bestFit="1" customWidth="1"/>
    <col min="2" max="2" width="31.85546875" bestFit="1" customWidth="1"/>
    <col min="3" max="3" width="6.140625" bestFit="1" customWidth="1"/>
    <col min="4" max="4" width="13.7109375" bestFit="1" customWidth="1"/>
    <col min="5" max="5" width="31.85546875" bestFit="1" customWidth="1"/>
  </cols>
  <sheetData>
    <row r="1" spans="1:5" s="2" customFormat="1">
      <c r="A1" s="2" t="s">
        <v>10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s="6">
        <v>8306</v>
      </c>
      <c r="B2" s="3" t="s">
        <v>47</v>
      </c>
      <c r="C2" s="3">
        <v>4093</v>
      </c>
      <c r="D2" s="3">
        <f>_xlfn.XLOOKUP(A2,Resultado!A:A,Resultado!Z:Z,1,0)</f>
        <v>6</v>
      </c>
      <c r="E2" s="3" t="s">
        <v>168</v>
      </c>
    </row>
    <row r="3" spans="1:5">
      <c r="A3" s="6">
        <v>31303</v>
      </c>
      <c r="B3" s="3" t="s">
        <v>67</v>
      </c>
      <c r="C3" s="3">
        <v>105237</v>
      </c>
      <c r="D3" s="3">
        <f>_xlfn.XLOOKUP(A3,Resultado!A:A,Resultado!Z:Z,1,0)</f>
        <v>84</v>
      </c>
      <c r="E3" s="3" t="s">
        <v>167</v>
      </c>
    </row>
    <row r="4" spans="1:5">
      <c r="A4" s="6">
        <v>90003306</v>
      </c>
      <c r="B4" s="3" t="s">
        <v>55</v>
      </c>
      <c r="C4" s="3">
        <v>105237</v>
      </c>
      <c r="D4" s="3">
        <f>_xlfn.XLOOKUP(A4,Resultado!A:A,Resultado!Z:Z,1,0)</f>
        <v>16</v>
      </c>
      <c r="E4" s="3" t="s">
        <v>167</v>
      </c>
    </row>
    <row r="5" spans="1:5">
      <c r="A5" s="6">
        <v>90004950</v>
      </c>
      <c r="B5" s="3" t="s">
        <v>63</v>
      </c>
      <c r="C5" s="3">
        <v>3541</v>
      </c>
      <c r="D5" s="3">
        <f>_xlfn.XLOOKUP(A5,Resultado!A:A,Resultado!Z:Z,1,0)</f>
        <v>15</v>
      </c>
      <c r="E5" s="3" t="s">
        <v>168</v>
      </c>
    </row>
    <row r="6" spans="1:5">
      <c r="A6" s="6">
        <v>90001409</v>
      </c>
      <c r="B6" s="3" t="s">
        <v>60</v>
      </c>
      <c r="C6" s="3">
        <v>105237</v>
      </c>
      <c r="D6" s="3">
        <f>_xlfn.XLOOKUP(A6,Resultado!A:A,Resultado!Z:Z,1,0)</f>
        <v>60</v>
      </c>
      <c r="E6" s="3" t="s">
        <v>168</v>
      </c>
    </row>
    <row r="7" spans="1:5">
      <c r="A7" s="6">
        <v>3363</v>
      </c>
      <c r="B7" s="3" t="s">
        <v>65</v>
      </c>
      <c r="C7" s="3">
        <v>409</v>
      </c>
      <c r="D7" s="3">
        <f>_xlfn.XLOOKUP(A7,Resultado!A:A,Resultado!Z:Z,1,0)</f>
        <v>8</v>
      </c>
      <c r="E7" s="3" t="s">
        <v>167</v>
      </c>
    </row>
    <row r="8" spans="1:5">
      <c r="A8" s="6">
        <v>90010292</v>
      </c>
      <c r="B8" s="3" t="s">
        <v>66</v>
      </c>
      <c r="C8" s="3">
        <v>105237</v>
      </c>
      <c r="D8" s="3">
        <f>_xlfn.XLOOKUP(A8,Resultado!A:A,Resultado!Z:Z,1,0)</f>
        <v>24</v>
      </c>
      <c r="E8" s="3" t="s">
        <v>167</v>
      </c>
    </row>
    <row r="9" spans="1:5">
      <c r="A9" s="6">
        <v>90005226</v>
      </c>
      <c r="B9" s="3" t="s">
        <v>51</v>
      </c>
      <c r="C9" s="3">
        <v>105237</v>
      </c>
      <c r="D9" s="3">
        <f>_xlfn.XLOOKUP(A9,Resultado!A:A,Resultado!Z:Z,1,0)</f>
        <v>42</v>
      </c>
      <c r="E9" s="3" t="s">
        <v>167</v>
      </c>
    </row>
    <row r="10" spans="1:5">
      <c r="A10" s="6">
        <v>90009703</v>
      </c>
      <c r="B10" s="3" t="s">
        <v>49</v>
      </c>
      <c r="C10" s="3">
        <v>2062</v>
      </c>
      <c r="D10" s="3">
        <f>_xlfn.XLOOKUP(A10,Resultado!A:A,Resultado!Z:Z,1,0)</f>
        <v>54</v>
      </c>
      <c r="E10" s="3" t="s">
        <v>169</v>
      </c>
    </row>
    <row r="11" spans="1:5">
      <c r="A11" s="6">
        <v>90013955</v>
      </c>
      <c r="B11" s="3" t="s">
        <v>53</v>
      </c>
      <c r="C11" s="3">
        <v>3541</v>
      </c>
      <c r="D11" s="3">
        <f>_xlfn.XLOOKUP(A11,Resultado!A:A,Resultado!Z:Z,1,0)</f>
        <v>9</v>
      </c>
      <c r="E11" s="3" t="s">
        <v>167</v>
      </c>
    </row>
    <row r="12" spans="1:5">
      <c r="A12" s="6">
        <v>90013958</v>
      </c>
      <c r="B12" s="3" t="s">
        <v>58</v>
      </c>
      <c r="C12" s="3">
        <v>4267</v>
      </c>
      <c r="D12" s="3">
        <f>_xlfn.XLOOKUP(A12,Resultado!A:A,Resultado!Z:Z,1,0)</f>
        <v>6</v>
      </c>
      <c r="E12" s="3" t="s">
        <v>168</v>
      </c>
    </row>
    <row r="13" spans="1:5">
      <c r="A13" s="6"/>
      <c r="B13" s="3"/>
      <c r="E13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78bd89-2534-4b6e-ba1b-3a4d893a78f6" xsi:nil="true"/>
    <lcf76f155ced4ddcb4097134ff3c332f xmlns="5a27a990-65ee-49d8-b66b-3a6f169a771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7E69E5-BA09-4401-8953-DE7A06227BA2}">
  <ds:schemaRefs>
    <ds:schemaRef ds:uri="http://schemas.microsoft.com/office/2006/metadata/properties"/>
    <ds:schemaRef ds:uri="http://schemas.microsoft.com/office/infopath/2007/PartnerControls"/>
    <ds:schemaRef ds:uri="fa78bd89-2534-4b6e-ba1b-3a4d893a78f6"/>
    <ds:schemaRef ds:uri="5a27a990-65ee-49d8-b66b-3a6f169a7712"/>
  </ds:schemaRefs>
</ds:datastoreItem>
</file>

<file path=customXml/itemProps2.xml><?xml version="1.0" encoding="utf-8"?>
<ds:datastoreItem xmlns:ds="http://schemas.openxmlformats.org/officeDocument/2006/customXml" ds:itemID="{6C7967BB-9EBB-4E64-A498-E2D50FDCE6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C04734-CC26-40EF-8BD6-62110CB558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27a990-65ee-49d8-b66b-3a6f169a7712"/>
    <ds:schemaRef ds:uri="fa78bd89-2534-4b6e-ba1b-3a4d893a7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01.06</vt:lpstr>
      <vt:lpstr>08.06</vt:lpstr>
      <vt:lpstr>15.06</vt:lpstr>
      <vt:lpstr>22.06</vt:lpstr>
      <vt:lpstr>Resultado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Laura Alves Santos</cp:lastModifiedBy>
  <cp:revision/>
  <dcterms:created xsi:type="dcterms:W3CDTF">2016-07-06T08:22:49Z</dcterms:created>
  <dcterms:modified xsi:type="dcterms:W3CDTF">2026-07-01T16:44:24Z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  <property fmtid="{D5CDD505-2E9C-101B-9397-08002B2CF9AE}" pid="3" name="MediaServiceImageTags">
    <vt:lpwstr/>
  </property>
</Properties>
</file>