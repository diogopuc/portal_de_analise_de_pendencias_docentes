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ucpredu.sharepoint.com/teams/DiretriosCCPA/Documentos Compartilhados/10_Analistas/10.10_Diogo/3 - Automações/4 - Pendencias_Agenda_E_TACH/"/>
    </mc:Choice>
  </mc:AlternateContent>
  <xr:revisionPtr revIDLastSave="0" documentId="8_{A5EF617D-2487-4BF2-B215-05077D830281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01.04" sheetId="1" r:id="rId1"/>
    <sheet name="06.04" sheetId="8" r:id="rId2"/>
    <sheet name="13.04" sheetId="3" r:id="rId3"/>
    <sheet name="20.04" sheetId="9" r:id="rId4"/>
    <sheet name="27.04" sheetId="10" r:id="rId5"/>
    <sheet name="Resultado" sheetId="5" r:id="rId6"/>
    <sheet name="Planilha2" sheetId="1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6" hidden="1">Planilha2!$A$1:$E$69</definedName>
    <definedName name="_xlnm._FilterDatabase" localSheetId="5" hidden="1">Resultado!$A$1:$X$105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2" l="1"/>
  <c r="T31" i="5"/>
  <c r="U31" i="5"/>
  <c r="V31" i="5"/>
  <c r="W31" i="5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1" i="12"/>
  <c r="E49" i="12"/>
  <c r="E46" i="12"/>
  <c r="E45" i="12"/>
  <c r="E44" i="12"/>
  <c r="E43" i="12"/>
  <c r="E22" i="12"/>
  <c r="E21" i="12"/>
  <c r="E18" i="12"/>
  <c r="T91" i="5"/>
  <c r="T9" i="5"/>
  <c r="U15" i="5"/>
  <c r="U16" i="5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M41" i="9"/>
  <c r="M45" i="9"/>
  <c r="M46" i="9"/>
  <c r="M47" i="9"/>
  <c r="M49" i="9"/>
  <c r="M50" i="9"/>
  <c r="M51" i="9"/>
  <c r="M52" i="9"/>
  <c r="M53" i="9"/>
  <c r="M54" i="9"/>
  <c r="M55" i="9"/>
  <c r="M56" i="9"/>
  <c r="M42" i="9"/>
  <c r="M43" i="9"/>
  <c r="M44" i="9"/>
  <c r="M48" i="9"/>
  <c r="M8" i="3"/>
  <c r="M9" i="3"/>
  <c r="M16" i="3"/>
  <c r="M17" i="3"/>
  <c r="M24" i="3"/>
  <c r="M25" i="3"/>
  <c r="M32" i="3"/>
  <c r="M33" i="3"/>
  <c r="M37" i="3"/>
  <c r="M43" i="3"/>
  <c r="M48" i="3"/>
  <c r="M50" i="3"/>
  <c r="M53" i="3"/>
  <c r="M55" i="3"/>
  <c r="M57" i="3"/>
  <c r="M58" i="3"/>
  <c r="M59" i="3"/>
  <c r="M60" i="3"/>
  <c r="M61" i="3"/>
  <c r="M62" i="3"/>
  <c r="M63" i="3"/>
  <c r="M64" i="3"/>
  <c r="M65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4" i="3"/>
  <c r="M85" i="3"/>
  <c r="M86" i="3"/>
  <c r="M87" i="3"/>
  <c r="M88" i="3"/>
  <c r="M89" i="3"/>
  <c r="M90" i="3"/>
  <c r="M91" i="3"/>
  <c r="M92" i="3"/>
  <c r="M93" i="3"/>
  <c r="N2" i="3" a="1"/>
  <c r="N2" i="3" s="1"/>
  <c r="N5" i="3" a="1"/>
  <c r="N5" i="3" s="1"/>
  <c r="N6" i="3" a="1"/>
  <c r="N6" i="3" s="1"/>
  <c r="N13" i="3" a="1"/>
  <c r="N13" i="3" s="1"/>
  <c r="N14" i="3" a="1"/>
  <c r="N14" i="3" s="1"/>
  <c r="N21" i="3" a="1"/>
  <c r="N21" i="3" s="1"/>
  <c r="N29" i="3" a="1"/>
  <c r="N29" i="3" s="1"/>
  <c r="N2" i="8" a="1"/>
  <c r="N2" i="8" s="1"/>
  <c r="L72" i="10"/>
  <c r="L71" i="10"/>
  <c r="L70" i="10"/>
  <c r="L69" i="10"/>
  <c r="L68" i="10"/>
  <c r="L67" i="10"/>
  <c r="L66" i="10"/>
  <c r="L65" i="10"/>
  <c r="L64" i="10"/>
  <c r="L63" i="10"/>
  <c r="L62" i="10"/>
  <c r="L61" i="10"/>
  <c r="L60" i="10"/>
  <c r="L59" i="10"/>
  <c r="L58" i="10"/>
  <c r="L57" i="10"/>
  <c r="L56" i="10"/>
  <c r="L55" i="10"/>
  <c r="L54" i="10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L2" i="10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M2" i="9"/>
  <c r="M3" i="3"/>
  <c r="M4" i="3"/>
  <c r="M5" i="3"/>
  <c r="M6" i="3"/>
  <c r="M7" i="3"/>
  <c r="M10" i="3"/>
  <c r="M11" i="3"/>
  <c r="M12" i="3"/>
  <c r="M13" i="3"/>
  <c r="M14" i="3"/>
  <c r="M15" i="3"/>
  <c r="M18" i="3"/>
  <c r="M19" i="3"/>
  <c r="M20" i="3"/>
  <c r="M21" i="3"/>
  <c r="M22" i="3"/>
  <c r="M23" i="3"/>
  <c r="M26" i="3"/>
  <c r="M27" i="3"/>
  <c r="M28" i="3"/>
  <c r="M29" i="3"/>
  <c r="M30" i="3"/>
  <c r="M31" i="3"/>
  <c r="M34" i="3"/>
  <c r="M35" i="3"/>
  <c r="M36" i="3"/>
  <c r="M38" i="3"/>
  <c r="M39" i="3"/>
  <c r="M40" i="3"/>
  <c r="M41" i="3"/>
  <c r="M42" i="3"/>
  <c r="M44" i="3"/>
  <c r="M45" i="3"/>
  <c r="M46" i="3"/>
  <c r="M47" i="3"/>
  <c r="M49" i="3"/>
  <c r="M51" i="3"/>
  <c r="M52" i="3"/>
  <c r="M54" i="3"/>
  <c r="M56" i="3"/>
  <c r="M66" i="3"/>
  <c r="M83" i="3"/>
  <c r="M2" i="3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2" i="8"/>
  <c r="E80" i="8"/>
  <c r="G80" i="8"/>
  <c r="M80" i="8" s="1"/>
  <c r="N23" i="8"/>
  <c r="N24" i="8"/>
  <c r="N25" i="8"/>
  <c r="N26" i="8"/>
  <c r="N27" i="8"/>
  <c r="N29" i="8"/>
  <c r="N30" i="8"/>
  <c r="N33" i="8"/>
  <c r="N35" i="8"/>
  <c r="C80" i="8"/>
  <c r="N80" i="8" s="1"/>
  <c r="N3" i="8"/>
  <c r="N4" i="8"/>
  <c r="N5" i="8"/>
  <c r="N6" i="8"/>
  <c r="N7" i="8"/>
  <c r="N8" i="8"/>
  <c r="N9" i="8"/>
  <c r="N10" i="8"/>
  <c r="N11" i="8"/>
  <c r="N12" i="8"/>
  <c r="N13" i="8"/>
  <c r="N15" i="8"/>
  <c r="N16" i="8"/>
  <c r="N17" i="8"/>
  <c r="N18" i="8"/>
  <c r="N19" i="8"/>
  <c r="N20" i="8"/>
  <c r="N21" i="8"/>
  <c r="N22" i="8"/>
  <c r="U36" i="5"/>
  <c r="J2" i="1"/>
  <c r="J5" i="1"/>
  <c r="J11" i="1"/>
  <c r="J16" i="1"/>
  <c r="J20" i="1"/>
  <c r="J21" i="1"/>
  <c r="J22" i="1"/>
  <c r="J26" i="1"/>
  <c r="J33" i="1"/>
  <c r="J39" i="1"/>
  <c r="J42" i="1"/>
  <c r="J44" i="1"/>
  <c r="J46" i="1"/>
  <c r="J52" i="1"/>
  <c r="I52" i="1"/>
  <c r="J53" i="1"/>
  <c r="J54" i="1"/>
  <c r="J55" i="1"/>
  <c r="J56" i="1"/>
  <c r="J57" i="1"/>
  <c r="J58" i="1"/>
  <c r="J59" i="1"/>
  <c r="J60" i="1"/>
  <c r="J61" i="1"/>
  <c r="I53" i="1"/>
  <c r="I54" i="1"/>
  <c r="I55" i="1"/>
  <c r="I56" i="1"/>
  <c r="I57" i="1"/>
  <c r="I58" i="1"/>
  <c r="I59" i="1"/>
  <c r="I60" i="1"/>
  <c r="I61" i="1"/>
  <c r="J3" i="1"/>
  <c r="J4" i="1"/>
  <c r="J6" i="1"/>
  <c r="J7" i="1"/>
  <c r="U7" i="5" s="1"/>
  <c r="J8" i="1"/>
  <c r="J9" i="1"/>
  <c r="J10" i="1"/>
  <c r="J12" i="1"/>
  <c r="J13" i="1"/>
  <c r="J14" i="1"/>
  <c r="J15" i="1"/>
  <c r="J17" i="1"/>
  <c r="J18" i="1"/>
  <c r="J19" i="1"/>
  <c r="J23" i="1"/>
  <c r="J24" i="1"/>
  <c r="J25" i="1"/>
  <c r="J27" i="1"/>
  <c r="J28" i="1"/>
  <c r="J29" i="1"/>
  <c r="J30" i="1"/>
  <c r="J31" i="1"/>
  <c r="J32" i="1"/>
  <c r="J34" i="1"/>
  <c r="J35" i="1"/>
  <c r="J36" i="1"/>
  <c r="J37" i="1"/>
  <c r="J38" i="1"/>
  <c r="J40" i="1"/>
  <c r="J41" i="1"/>
  <c r="J43" i="1"/>
  <c r="J45" i="1"/>
  <c r="J47" i="1"/>
  <c r="J48" i="1"/>
  <c r="U49" i="5" s="1"/>
  <c r="J49" i="1"/>
  <c r="J50" i="1"/>
  <c r="J5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M66" i="10" l="1"/>
  <c r="M36" i="10"/>
  <c r="X31" i="5"/>
  <c r="U35" i="5"/>
  <c r="U51" i="5"/>
  <c r="U17" i="5"/>
  <c r="U40" i="5"/>
  <c r="U8" i="5"/>
  <c r="U57" i="5"/>
  <c r="U47" i="5"/>
  <c r="U48" i="5"/>
  <c r="T48" i="5"/>
  <c r="M38" i="10"/>
  <c r="U11" i="5"/>
  <c r="U38" i="5"/>
  <c r="W58" i="5"/>
  <c r="U73" i="5"/>
  <c r="U58" i="5"/>
  <c r="U42" i="5"/>
  <c r="U6" i="5"/>
  <c r="U69" i="5"/>
  <c r="U4" i="5"/>
  <c r="U76" i="5"/>
  <c r="U68" i="5"/>
  <c r="U34" i="5"/>
  <c r="U98" i="5"/>
  <c r="U90" i="5"/>
  <c r="U75" i="5"/>
  <c r="U46" i="5"/>
  <c r="W54" i="5"/>
  <c r="W68" i="5"/>
  <c r="U66" i="5"/>
  <c r="U19" i="5"/>
  <c r="U9" i="5"/>
  <c r="U61" i="5"/>
  <c r="U23" i="5"/>
  <c r="U37" i="5"/>
  <c r="U50" i="5"/>
  <c r="U39" i="5"/>
  <c r="U30" i="5"/>
  <c r="U18" i="5"/>
  <c r="U53" i="5"/>
  <c r="U22" i="5"/>
  <c r="V68" i="5"/>
  <c r="V70" i="5"/>
  <c r="V63" i="5"/>
  <c r="W15" i="5"/>
  <c r="U26" i="5"/>
  <c r="T5" i="5"/>
  <c r="T22" i="5"/>
  <c r="T8" i="5"/>
  <c r="T3" i="5"/>
  <c r="T34" i="5"/>
  <c r="T13" i="5"/>
  <c r="T27" i="5"/>
  <c r="T21" i="5"/>
  <c r="T79" i="5"/>
  <c r="T58" i="5"/>
  <c r="T98" i="5"/>
  <c r="T19" i="5"/>
  <c r="T105" i="5"/>
  <c r="T65" i="5"/>
  <c r="T29" i="5"/>
  <c r="T39" i="5"/>
  <c r="T40" i="5"/>
  <c r="T54" i="5"/>
  <c r="T16" i="5"/>
  <c r="T44" i="5"/>
  <c r="T55" i="5"/>
  <c r="T90" i="5"/>
  <c r="T14" i="5"/>
  <c r="T70" i="5"/>
  <c r="T38" i="5"/>
  <c r="U60" i="5"/>
  <c r="V7" i="5"/>
  <c r="U29" i="5"/>
  <c r="U59" i="5"/>
  <c r="U20" i="5"/>
  <c r="V98" i="5"/>
  <c r="U89" i="5"/>
  <c r="U28" i="5"/>
  <c r="V30" i="5"/>
  <c r="V22" i="5"/>
  <c r="V6" i="5"/>
  <c r="W98" i="5"/>
  <c r="W18" i="5"/>
  <c r="U44" i="5"/>
  <c r="V37" i="5"/>
  <c r="W29" i="5"/>
  <c r="V13" i="5"/>
  <c r="W5" i="5"/>
  <c r="V15" i="5"/>
  <c r="W70" i="5"/>
  <c r="W20" i="5"/>
  <c r="W4" i="5"/>
  <c r="U45" i="5"/>
  <c r="U25" i="5"/>
  <c r="U13" i="5"/>
  <c r="U3" i="5"/>
  <c r="U56" i="5"/>
  <c r="V18" i="5"/>
  <c r="V76" i="5"/>
  <c r="W3" i="5"/>
  <c r="W76" i="5"/>
  <c r="V57" i="5"/>
  <c r="U65" i="5"/>
  <c r="U41" i="5"/>
  <c r="U43" i="5"/>
  <c r="U33" i="5"/>
  <c r="U24" i="5"/>
  <c r="U12" i="5"/>
  <c r="U55" i="5"/>
  <c r="U63" i="5"/>
  <c r="W22" i="5"/>
  <c r="V46" i="5"/>
  <c r="U71" i="5"/>
  <c r="U32" i="5"/>
  <c r="U21" i="5"/>
  <c r="U10" i="5"/>
  <c r="U54" i="5"/>
  <c r="U27" i="5"/>
  <c r="W6" i="5"/>
  <c r="W30" i="5"/>
  <c r="W35" i="5"/>
  <c r="V54" i="5"/>
  <c r="U70" i="5"/>
  <c r="V58" i="5"/>
  <c r="U5" i="5"/>
  <c r="T43" i="5"/>
  <c r="T24" i="5"/>
  <c r="T50" i="5"/>
  <c r="T76" i="5"/>
  <c r="T2" i="5"/>
  <c r="T25" i="5"/>
  <c r="T32" i="5"/>
  <c r="T12" i="5"/>
  <c r="T23" i="5"/>
  <c r="T35" i="5"/>
  <c r="T47" i="5"/>
  <c r="T67" i="5"/>
  <c r="T15" i="5"/>
  <c r="T36" i="5"/>
  <c r="T11" i="5"/>
  <c r="T28" i="5"/>
  <c r="T37" i="5"/>
  <c r="T10" i="5"/>
  <c r="T30" i="5"/>
  <c r="T42" i="5"/>
  <c r="T26" i="5"/>
  <c r="T20" i="5"/>
  <c r="T7" i="5"/>
  <c r="T17" i="5"/>
  <c r="T6" i="5"/>
  <c r="T18" i="5"/>
  <c r="T4" i="5"/>
  <c r="T33" i="5"/>
  <c r="U62" i="5"/>
  <c r="T63" i="5"/>
  <c r="W63" i="5"/>
  <c r="M68" i="10"/>
  <c r="M60" i="10"/>
  <c r="M52" i="10"/>
  <c r="U99" i="5"/>
  <c r="W26" i="5"/>
  <c r="V26" i="5"/>
  <c r="W41" i="5"/>
  <c r="V41" i="5"/>
  <c r="W9" i="5"/>
  <c r="V9" i="5"/>
  <c r="W53" i="5"/>
  <c r="V53" i="5"/>
  <c r="V29" i="5"/>
  <c r="W10" i="5"/>
  <c r="V10" i="5"/>
  <c r="W48" i="5"/>
  <c r="V48" i="5"/>
  <c r="W40" i="5"/>
  <c r="V40" i="5"/>
  <c r="V32" i="5"/>
  <c r="W32" i="5"/>
  <c r="W24" i="5"/>
  <c r="V24" i="5"/>
  <c r="W16" i="5"/>
  <c r="V16" i="5"/>
  <c r="W8" i="5"/>
  <c r="V8" i="5"/>
  <c r="W7" i="5"/>
  <c r="W47" i="5"/>
  <c r="V47" i="5"/>
  <c r="V39" i="5"/>
  <c r="W39" i="5"/>
  <c r="V4" i="5"/>
  <c r="W61" i="5"/>
  <c r="V61" i="5"/>
  <c r="W25" i="5"/>
  <c r="V25" i="5"/>
  <c r="W23" i="5"/>
  <c r="V23" i="5"/>
  <c r="V14" i="5"/>
  <c r="W42" i="5"/>
  <c r="V42" i="5"/>
  <c r="W33" i="5"/>
  <c r="V33" i="5"/>
  <c r="W17" i="5"/>
  <c r="V17" i="5"/>
  <c r="W21" i="5"/>
  <c r="V21" i="5"/>
  <c r="W13" i="5"/>
  <c r="U14" i="5"/>
  <c r="W14" i="5"/>
  <c r="V5" i="5"/>
  <c r="V20" i="5"/>
  <c r="W37" i="5"/>
  <c r="W19" i="5"/>
  <c r="W12" i="5"/>
  <c r="V12" i="5"/>
  <c r="W55" i="5"/>
  <c r="V55" i="5"/>
  <c r="W44" i="5"/>
  <c r="V44" i="5"/>
  <c r="W36" i="5"/>
  <c r="V36" i="5"/>
  <c r="W28" i="5"/>
  <c r="V28" i="5"/>
  <c r="W43" i="5"/>
  <c r="V43" i="5"/>
  <c r="W27" i="5"/>
  <c r="V27" i="5"/>
  <c r="W11" i="5"/>
  <c r="V11" i="5"/>
  <c r="W50" i="5"/>
  <c r="V35" i="5"/>
  <c r="W46" i="5"/>
  <c r="W34" i="5"/>
  <c r="V34" i="5"/>
  <c r="W90" i="5"/>
  <c r="V90" i="5"/>
  <c r="W75" i="5"/>
  <c r="V75" i="5"/>
  <c r="V50" i="5"/>
  <c r="V3" i="5"/>
  <c r="V19" i="5"/>
  <c r="W57" i="5"/>
  <c r="W38" i="5"/>
  <c r="V38" i="5"/>
  <c r="W79" i="5"/>
  <c r="U79" i="5"/>
  <c r="W56" i="5"/>
  <c r="U83" i="5"/>
  <c r="T64" i="5"/>
  <c r="T41" i="5"/>
  <c r="W69" i="5"/>
  <c r="W62" i="5"/>
  <c r="U52" i="5"/>
  <c r="T75" i="5"/>
  <c r="T68" i="5"/>
  <c r="U67" i="5"/>
  <c r="U2" i="5"/>
  <c r="U84" i="5"/>
  <c r="U77" i="5"/>
  <c r="T46" i="5"/>
  <c r="V45" i="5"/>
  <c r="T72" i="5"/>
  <c r="T82" i="5"/>
  <c r="T61" i="5"/>
  <c r="T53" i="5"/>
  <c r="T59" i="5"/>
  <c r="T51" i="5"/>
  <c r="T77" i="5"/>
  <c r="T73" i="5"/>
  <c r="T66" i="5"/>
  <c r="U64" i="5"/>
  <c r="U96" i="5"/>
  <c r="U88" i="5"/>
  <c r="W82" i="5"/>
  <c r="W49" i="5"/>
  <c r="T87" i="5"/>
  <c r="T57" i="5"/>
  <c r="U97" i="5"/>
  <c r="U82" i="5"/>
  <c r="V82" i="5"/>
  <c r="U87" i="5"/>
  <c r="U80" i="5"/>
  <c r="U86" i="5"/>
  <c r="U85" i="5"/>
  <c r="U78" i="5"/>
  <c r="V84" i="5"/>
  <c r="V72" i="5"/>
  <c r="V77" i="5"/>
  <c r="T96" i="5"/>
  <c r="T94" i="5"/>
  <c r="T93" i="5"/>
  <c r="T86" i="5"/>
  <c r="T84" i="5"/>
  <c r="U74" i="5"/>
  <c r="W86" i="5"/>
  <c r="U81" i="5"/>
  <c r="U94" i="5"/>
  <c r="U93" i="5"/>
  <c r="U92" i="5"/>
  <c r="W59" i="5"/>
  <c r="U105" i="5"/>
  <c r="V86" i="5"/>
  <c r="V79" i="5"/>
  <c r="W73" i="5"/>
  <c r="U72" i="5"/>
  <c r="W78" i="5"/>
  <c r="W65" i="5"/>
  <c r="W84" i="5"/>
  <c r="W83" i="5"/>
  <c r="V59" i="5"/>
  <c r="V65" i="5"/>
  <c r="W52" i="5"/>
  <c r="W64" i="5"/>
  <c r="W87" i="5"/>
  <c r="W80" i="5"/>
  <c r="W67" i="5"/>
  <c r="V73" i="5"/>
  <c r="V78" i="5"/>
  <c r="W72" i="5"/>
  <c r="W77" i="5"/>
  <c r="W71" i="5"/>
  <c r="W45" i="5"/>
  <c r="T49" i="5"/>
  <c r="T62" i="5"/>
  <c r="V66" i="5"/>
  <c r="V51" i="5"/>
  <c r="W66" i="5"/>
  <c r="W51" i="5"/>
  <c r="V62" i="5"/>
  <c r="T69" i="5"/>
  <c r="T52" i="5"/>
  <c r="T56" i="5"/>
  <c r="V67" i="5"/>
  <c r="V69" i="5"/>
  <c r="T80" i="5"/>
  <c r="T83" i="5"/>
  <c r="T89" i="5"/>
  <c r="T45" i="5"/>
  <c r="V52" i="5"/>
  <c r="V56" i="5"/>
  <c r="V87" i="5"/>
  <c r="V49" i="5"/>
  <c r="V80" i="5"/>
  <c r="V83" i="5"/>
  <c r="W91" i="5"/>
  <c r="U103" i="5"/>
  <c r="U95" i="5"/>
  <c r="V2" i="5"/>
  <c r="W2" i="5"/>
  <c r="W96" i="5"/>
  <c r="W88" i="5"/>
  <c r="W74" i="5"/>
  <c r="W60" i="5"/>
  <c r="V64" i="5"/>
  <c r="V93" i="5"/>
  <c r="V96" i="5"/>
  <c r="T60" i="5"/>
  <c r="T71" i="5"/>
  <c r="T74" i="5"/>
  <c r="T88" i="5"/>
  <c r="V60" i="5"/>
  <c r="V71" i="5"/>
  <c r="V74" i="5"/>
  <c r="V88" i="5"/>
  <c r="W81" i="5"/>
  <c r="T99" i="5"/>
  <c r="T81" i="5"/>
  <c r="V81" i="5"/>
  <c r="T101" i="5"/>
  <c r="U101" i="5"/>
  <c r="U104" i="5"/>
  <c r="W92" i="5"/>
  <c r="U100" i="5"/>
  <c r="W97" i="5"/>
  <c r="W95" i="5"/>
  <c r="W93" i="5"/>
  <c r="W85" i="5"/>
  <c r="V100" i="5"/>
  <c r="T78" i="5"/>
  <c r="T95" i="5"/>
  <c r="W104" i="5"/>
  <c r="T100" i="5"/>
  <c r="V85" i="5"/>
  <c r="T92" i="5"/>
  <c r="V89" i="5"/>
  <c r="T97" i="5"/>
  <c r="W103" i="5"/>
  <c r="W89" i="5"/>
  <c r="V92" i="5"/>
  <c r="V95" i="5"/>
  <c r="V97" i="5"/>
  <c r="T85" i="5"/>
  <c r="T104" i="5"/>
  <c r="W102" i="5"/>
  <c r="T103" i="5"/>
  <c r="T102" i="5"/>
  <c r="V94" i="5"/>
  <c r="W94" i="5"/>
  <c r="U102" i="5"/>
  <c r="W99" i="5"/>
  <c r="V102" i="5"/>
  <c r="W105" i="5"/>
  <c r="U91" i="5"/>
  <c r="V91" i="5"/>
  <c r="V101" i="5"/>
  <c r="V103" i="5"/>
  <c r="V104" i="5"/>
  <c r="W100" i="5"/>
  <c r="V105" i="5"/>
  <c r="W101" i="5"/>
  <c r="V99" i="5"/>
  <c r="M14" i="10"/>
  <c r="M23" i="10"/>
  <c r="M44" i="10"/>
  <c r="M16" i="10"/>
  <c r="M22" i="10"/>
  <c r="M45" i="10"/>
  <c r="M37" i="10"/>
  <c r="M21" i="10"/>
  <c r="M13" i="10"/>
  <c r="M5" i="10"/>
  <c r="M12" i="10"/>
  <c r="M69" i="10"/>
  <c r="M4" i="10"/>
  <c r="M11" i="10"/>
  <c r="M67" i="10"/>
  <c r="M59" i="10"/>
  <c r="M51" i="10"/>
  <c r="M43" i="10"/>
  <c r="M35" i="10"/>
  <c r="M8" i="10"/>
  <c r="M71" i="10"/>
  <c r="M63" i="10"/>
  <c r="M55" i="10"/>
  <c r="M47" i="10"/>
  <c r="M39" i="10"/>
  <c r="M31" i="10"/>
  <c r="M61" i="10"/>
  <c r="M2" i="10"/>
  <c r="M65" i="10"/>
  <c r="M57" i="10"/>
  <c r="M49" i="10"/>
  <c r="M41" i="10"/>
  <c r="M33" i="10"/>
  <c r="M28" i="10"/>
  <c r="M26" i="10"/>
  <c r="M18" i="10"/>
  <c r="M46" i="10"/>
  <c r="M30" i="10"/>
  <c r="M53" i="10"/>
  <c r="M58" i="10"/>
  <c r="M50" i="10"/>
  <c r="M34" i="10"/>
  <c r="M29" i="10"/>
  <c r="M27" i="10"/>
  <c r="M19" i="10"/>
  <c r="M3" i="10"/>
  <c r="M72" i="10"/>
  <c r="M64" i="10"/>
  <c r="M56" i="10"/>
  <c r="M48" i="10"/>
  <c r="M40" i="10"/>
  <c r="M32" i="10"/>
  <c r="M70" i="10"/>
  <c r="M62" i="10"/>
  <c r="M54" i="10"/>
  <c r="M42" i="10"/>
  <c r="M6" i="10"/>
  <c r="M24" i="10"/>
  <c r="M25" i="10"/>
  <c r="M17" i="10"/>
  <c r="M9" i="10"/>
  <c r="M15" i="10"/>
  <c r="M7" i="10"/>
  <c r="M20" i="10"/>
  <c r="M10" i="10"/>
  <c r="N2" i="9" a="1"/>
  <c r="N2" i="9" s="1"/>
  <c r="N36" i="9" a="1"/>
  <c r="N36" i="9" s="1"/>
  <c r="N28" i="9" a="1"/>
  <c r="N28" i="9" s="1"/>
  <c r="N20" i="9" a="1"/>
  <c r="N20" i="9" s="1"/>
  <c r="N12" i="9" a="1"/>
  <c r="N12" i="9" s="1"/>
  <c r="N4" i="9" a="1"/>
  <c r="N4" i="9" s="1"/>
  <c r="N27" i="9" a="1"/>
  <c r="N27" i="9" s="1"/>
  <c r="N3" i="9" a="1"/>
  <c r="N3" i="9" s="1"/>
  <c r="N26" i="9" a="1"/>
  <c r="N26" i="9" s="1"/>
  <c r="N18" i="9" a="1"/>
  <c r="N18" i="9" s="1"/>
  <c r="N48" i="9" a="1"/>
  <c r="N48" i="9" s="1"/>
  <c r="N15" i="9" a="1"/>
  <c r="N15" i="9" s="1"/>
  <c r="N49" i="9" a="1"/>
  <c r="N49" i="9" s="1"/>
  <c r="N53" i="9" a="1"/>
  <c r="N53" i="9" s="1"/>
  <c r="N39" i="9" a="1"/>
  <c r="N39" i="9" s="1"/>
  <c r="N23" i="9" a="1"/>
  <c r="N23" i="9" s="1"/>
  <c r="N38" i="9" a="1"/>
  <c r="N38" i="9" s="1"/>
  <c r="N22" i="9" a="1"/>
  <c r="N22" i="9" s="1"/>
  <c r="N14" i="9" a="1"/>
  <c r="N14" i="9" s="1"/>
  <c r="N5" i="9" a="1"/>
  <c r="N5" i="9" s="1"/>
  <c r="N33" i="9" a="1"/>
  <c r="N33" i="9" s="1"/>
  <c r="N32" i="9" a="1"/>
  <c r="N32" i="9" s="1"/>
  <c r="N24" i="9" a="1"/>
  <c r="N24" i="9" s="1"/>
  <c r="N6" i="9" a="1"/>
  <c r="N6" i="9" s="1"/>
  <c r="N30" i="9" a="1"/>
  <c r="N30" i="9" s="1"/>
  <c r="N17" i="9" a="1"/>
  <c r="N17" i="9" s="1"/>
  <c r="N9" i="9" a="1"/>
  <c r="N9" i="9" s="1"/>
  <c r="N40" i="9" a="1"/>
  <c r="N40" i="9" s="1"/>
  <c r="N8" i="9" a="1"/>
  <c r="N8" i="9" s="1"/>
  <c r="N37" i="9" a="1"/>
  <c r="N37" i="9" s="1"/>
  <c r="N29" i="9" a="1"/>
  <c r="N29" i="9" s="1"/>
  <c r="N21" i="9" a="1"/>
  <c r="N21" i="9" s="1"/>
  <c r="N31" i="9" a="1"/>
  <c r="N31" i="9" s="1"/>
  <c r="N56" i="9" a="1"/>
  <c r="N56" i="9" s="1"/>
  <c r="N41" i="9" a="1"/>
  <c r="N41" i="9" s="1"/>
  <c r="N50" i="9" a="1"/>
  <c r="N50" i="9" s="1"/>
  <c r="N52" i="9" a="1"/>
  <c r="N52" i="9" s="1"/>
  <c r="N45" i="9" a="1"/>
  <c r="N45" i="9" s="1"/>
  <c r="N11" i="9" a="1"/>
  <c r="N11" i="9" s="1"/>
  <c r="N55" i="9" a="1"/>
  <c r="N55" i="9" s="1"/>
  <c r="N47" i="9" a="1"/>
  <c r="N47" i="9" s="1"/>
  <c r="N44" i="9" a="1"/>
  <c r="N44" i="9" s="1"/>
  <c r="N54" i="9" a="1"/>
  <c r="N54" i="9" s="1"/>
  <c r="N43" i="9" a="1"/>
  <c r="N43" i="9" s="1"/>
  <c r="N51" i="9" a="1"/>
  <c r="N51" i="9" s="1"/>
  <c r="N42" i="9" a="1"/>
  <c r="N42" i="9" s="1"/>
  <c r="N46" i="9" a="1"/>
  <c r="N46" i="9" s="1"/>
  <c r="N34" i="9" a="1"/>
  <c r="N34" i="9" s="1"/>
  <c r="N10" i="9" a="1"/>
  <c r="N10" i="9" s="1"/>
  <c r="N25" i="9" a="1"/>
  <c r="N25" i="9" s="1"/>
  <c r="N16" i="9" a="1"/>
  <c r="N16" i="9" s="1"/>
  <c r="N7" i="9" a="1"/>
  <c r="N7" i="9" s="1"/>
  <c r="N13" i="9" a="1"/>
  <c r="N13" i="9" s="1"/>
  <c r="N35" i="9" a="1"/>
  <c r="N35" i="9" s="1"/>
  <c r="N19" i="9" a="1"/>
  <c r="N19" i="9" s="1"/>
  <c r="N57" i="3" a="1"/>
  <c r="N57" i="3" s="1"/>
  <c r="N66" i="3" a="1"/>
  <c r="N66" i="3" s="1"/>
  <c r="N74" i="3" a="1"/>
  <c r="N74" i="3" s="1"/>
  <c r="N65" i="3" a="1"/>
  <c r="N65" i="3" s="1"/>
  <c r="N73" i="3" a="1"/>
  <c r="N73" i="3" s="1"/>
  <c r="N59" i="3" a="1"/>
  <c r="N59" i="3" s="1"/>
  <c r="N90" i="3" a="1"/>
  <c r="N90" i="3" s="1"/>
  <c r="N82" i="3" a="1"/>
  <c r="N82" i="3" s="1"/>
  <c r="N58" i="3" a="1"/>
  <c r="N58" i="3" s="1"/>
  <c r="N52" i="3" a="1"/>
  <c r="N52" i="3" s="1"/>
  <c r="N41" i="3" a="1"/>
  <c r="N41" i="3" s="1"/>
  <c r="N28" i="3" a="1"/>
  <c r="N28" i="3" s="1"/>
  <c r="N4" i="3" a="1"/>
  <c r="N4" i="3" s="1"/>
  <c r="N19" i="3" a="1"/>
  <c r="N19" i="3" s="1"/>
  <c r="N3" i="3" a="1"/>
  <c r="N3" i="3" s="1"/>
  <c r="N26" i="3" a="1"/>
  <c r="N26" i="3" s="1"/>
  <c r="N78" i="3" a="1"/>
  <c r="N78" i="3" s="1"/>
  <c r="N49" i="3" a="1"/>
  <c r="N49" i="3" s="1"/>
  <c r="N38" i="3" a="1"/>
  <c r="N38" i="3" s="1"/>
  <c r="N17" i="3" a="1"/>
  <c r="N17" i="3" s="1"/>
  <c r="N61" i="3" a="1"/>
  <c r="N61" i="3" s="1"/>
  <c r="N8" i="3" a="1"/>
  <c r="N8" i="3" s="1"/>
  <c r="N92" i="3" a="1"/>
  <c r="N92" i="3" s="1"/>
  <c r="N84" i="3" a="1"/>
  <c r="N84" i="3" s="1"/>
  <c r="N76" i="3" a="1"/>
  <c r="N76" i="3" s="1"/>
  <c r="N48" i="3" a="1"/>
  <c r="N48" i="3" s="1"/>
  <c r="N23" i="3" a="1"/>
  <c r="N23" i="3" s="1"/>
  <c r="N46" i="3" a="1"/>
  <c r="N46" i="3" s="1"/>
  <c r="N7" i="3" a="1"/>
  <c r="N7" i="3" s="1"/>
  <c r="N12" i="3" a="1"/>
  <c r="N12" i="3" s="1"/>
  <c r="N88" i="3" a="1"/>
  <c r="N88" i="3" s="1"/>
  <c r="N80" i="3" a="1"/>
  <c r="N80" i="3" s="1"/>
  <c r="N72" i="3" a="1"/>
  <c r="N72" i="3" s="1"/>
  <c r="N64" i="3" a="1"/>
  <c r="N64" i="3" s="1"/>
  <c r="N56" i="3" a="1"/>
  <c r="N56" i="3" s="1"/>
  <c r="N40" i="3" a="1"/>
  <c r="N40" i="3" s="1"/>
  <c r="N34" i="3" a="1"/>
  <c r="N34" i="3" s="1"/>
  <c r="N20" i="3" a="1"/>
  <c r="N20" i="3" s="1"/>
  <c r="N87" i="3" a="1"/>
  <c r="N87" i="3" s="1"/>
  <c r="N79" i="3" a="1"/>
  <c r="N79" i="3" s="1"/>
  <c r="N71" i="3" a="1"/>
  <c r="N71" i="3" s="1"/>
  <c r="N63" i="3" a="1"/>
  <c r="N63" i="3" s="1"/>
  <c r="N55" i="3" a="1"/>
  <c r="N55" i="3" s="1"/>
  <c r="N50" i="3" a="1"/>
  <c r="N50" i="3" s="1"/>
  <c r="N39" i="3" a="1"/>
  <c r="N39" i="3" s="1"/>
  <c r="N11" i="3" a="1"/>
  <c r="N11" i="3" s="1"/>
  <c r="N62" i="3" a="1"/>
  <c r="N62" i="3" s="1"/>
  <c r="N54" i="3" a="1"/>
  <c r="N54" i="3" s="1"/>
  <c r="N86" i="3" a="1"/>
  <c r="N86" i="3" s="1"/>
  <c r="N44" i="3" a="1"/>
  <c r="N44" i="3" s="1"/>
  <c r="N18" i="3" a="1"/>
  <c r="N18" i="3" s="1"/>
  <c r="N10" i="3" a="1"/>
  <c r="N10" i="3" s="1"/>
  <c r="N93" i="3" a="1"/>
  <c r="N93" i="3" s="1"/>
  <c r="N85" i="3" a="1"/>
  <c r="N85" i="3" s="1"/>
  <c r="N77" i="3" a="1"/>
  <c r="N77" i="3" s="1"/>
  <c r="N43" i="3" a="1"/>
  <c r="N43" i="3" s="1"/>
  <c r="N33" i="3" a="1"/>
  <c r="N33" i="3" s="1"/>
  <c r="N9" i="3" a="1"/>
  <c r="N9" i="3" s="1"/>
  <c r="N69" i="3" a="1"/>
  <c r="N69" i="3" s="1"/>
  <c r="N53" i="3" a="1"/>
  <c r="N53" i="3" s="1"/>
  <c r="N16" i="3" a="1"/>
  <c r="N16" i="3" s="1"/>
  <c r="N68" i="3" a="1"/>
  <c r="N68" i="3" s="1"/>
  <c r="N60" i="3" a="1"/>
  <c r="N60" i="3" s="1"/>
  <c r="N37" i="3" a="1"/>
  <c r="N37" i="3" s="1"/>
  <c r="N32" i="3" a="1"/>
  <c r="N32" i="3" s="1"/>
  <c r="N24" i="3" a="1"/>
  <c r="N24" i="3" s="1"/>
  <c r="N91" i="3" a="1"/>
  <c r="N91" i="3" s="1"/>
  <c r="N83" i="3" a="1"/>
  <c r="N83" i="3" s="1"/>
  <c r="N47" i="3" a="1"/>
  <c r="N47" i="3" s="1"/>
  <c r="N67" i="3" a="1"/>
  <c r="N67" i="3" s="1"/>
  <c r="N42" i="3" a="1"/>
  <c r="N42" i="3" s="1"/>
  <c r="N31" i="3" a="1"/>
  <c r="N31" i="3" s="1"/>
  <c r="N35" i="3" a="1"/>
  <c r="N35" i="3" s="1"/>
  <c r="N30" i="3" a="1"/>
  <c r="N30" i="3" s="1"/>
  <c r="N22" i="3" a="1"/>
  <c r="N22" i="3" s="1"/>
  <c r="N89" i="3" a="1"/>
  <c r="N89" i="3" s="1"/>
  <c r="N81" i="3" a="1"/>
  <c r="N81" i="3" s="1"/>
  <c r="N51" i="3" a="1"/>
  <c r="N51" i="3" s="1"/>
  <c r="N45" i="3" a="1"/>
  <c r="N45" i="3" s="1"/>
  <c r="N36" i="3" a="1"/>
  <c r="N36" i="3" s="1"/>
  <c r="N70" i="3" a="1"/>
  <c r="N70" i="3" s="1"/>
  <c r="N27" i="3" a="1"/>
  <c r="N27" i="3" s="1"/>
  <c r="N25" i="3" a="1"/>
  <c r="N25" i="3" s="1"/>
  <c r="N75" i="3" a="1"/>
  <c r="N75" i="3" s="1"/>
  <c r="N15" i="3" a="1"/>
  <c r="N15" i="3" s="1"/>
  <c r="N36" i="8"/>
  <c r="N37" i="8"/>
  <c r="N38" i="8"/>
  <c r="N39" i="8"/>
  <c r="N40" i="8"/>
  <c r="N41" i="8"/>
  <c r="N42" i="8"/>
  <c r="N43" i="8"/>
  <c r="N44" i="8"/>
  <c r="N45" i="8"/>
  <c r="N46" i="8"/>
  <c r="N47" i="8"/>
  <c r="N49" i="8"/>
  <c r="N50" i="8"/>
  <c r="N14" i="8"/>
  <c r="N28" i="8"/>
  <c r="N31" i="8"/>
  <c r="N32" i="8"/>
  <c r="N34" i="8"/>
  <c r="N48" i="8"/>
  <c r="X47" i="5" l="1"/>
  <c r="X55" i="5"/>
  <c r="X43" i="5"/>
  <c r="X44" i="5"/>
  <c r="X76" i="5"/>
  <c r="X32" i="5"/>
  <c r="X41" i="5"/>
  <c r="X29" i="5"/>
  <c r="X63" i="5"/>
  <c r="X38" i="5"/>
  <c r="X3" i="5"/>
  <c r="X68" i="5"/>
  <c r="X66" i="5"/>
  <c r="X65" i="5"/>
  <c r="X58" i="5"/>
  <c r="X33" i="5"/>
  <c r="X18" i="5"/>
  <c r="X46" i="5"/>
  <c r="X19" i="5"/>
  <c r="X12" i="5"/>
  <c r="X70" i="5"/>
  <c r="X40" i="5"/>
  <c r="X25" i="5"/>
  <c r="X20" i="5"/>
  <c r="X17" i="5"/>
  <c r="X13" i="5"/>
  <c r="X7" i="5"/>
  <c r="X6" i="5"/>
  <c r="X4" i="5"/>
  <c r="X36" i="5"/>
  <c r="X30" i="5"/>
  <c r="X26" i="5"/>
  <c r="X15" i="5"/>
  <c r="X9" i="5"/>
  <c r="X42" i="5"/>
  <c r="X35" i="5"/>
  <c r="X5" i="5"/>
  <c r="X53" i="5"/>
  <c r="X90" i="5"/>
  <c r="X11" i="5"/>
  <c r="X23" i="5"/>
  <c r="X10" i="5"/>
  <c r="X54" i="5"/>
  <c r="X34" i="5"/>
  <c r="X39" i="5"/>
  <c r="X28" i="5"/>
  <c r="X98" i="5"/>
  <c r="X8" i="5"/>
  <c r="X22" i="5"/>
  <c r="X37" i="5"/>
  <c r="X24" i="5"/>
  <c r="X61" i="5"/>
  <c r="X45" i="5"/>
  <c r="X57" i="5"/>
  <c r="X94" i="5"/>
  <c r="X21" i="5"/>
  <c r="X88" i="5"/>
  <c r="X51" i="5"/>
  <c r="X62" i="5"/>
  <c r="X50" i="5"/>
  <c r="X14" i="5"/>
  <c r="X64" i="5"/>
  <c r="X2" i="5"/>
  <c r="X86" i="5"/>
  <c r="X82" i="5"/>
  <c r="X73" i="5"/>
  <c r="X79" i="5"/>
  <c r="X72" i="5"/>
  <c r="X77" i="5"/>
  <c r="X75" i="5"/>
  <c r="X56" i="5"/>
  <c r="X27" i="5"/>
  <c r="X52" i="5"/>
  <c r="X49" i="5"/>
  <c r="X84" i="5"/>
  <c r="X59" i="5"/>
  <c r="X69" i="5"/>
  <c r="X16" i="5"/>
  <c r="X48" i="5"/>
  <c r="X87" i="5"/>
  <c r="X93" i="5"/>
  <c r="X80" i="5"/>
  <c r="X101" i="5"/>
  <c r="X99" i="5"/>
  <c r="X95" i="5"/>
  <c r="X97" i="5"/>
  <c r="X78" i="5"/>
  <c r="X60" i="5"/>
  <c r="X67" i="5"/>
  <c r="X89" i="5"/>
  <c r="X105" i="5"/>
  <c r="X74" i="5"/>
  <c r="X91" i="5"/>
  <c r="X103" i="5"/>
  <c r="X92" i="5"/>
  <c r="X96" i="5"/>
  <c r="X100" i="5"/>
  <c r="X71" i="5"/>
  <c r="X83" i="5"/>
  <c r="X81" i="5"/>
  <c r="X102" i="5"/>
  <c r="X85" i="5"/>
  <c r="X10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<sst xmlns="http://schemas.openxmlformats.org/spreadsheetml/2006/main" count="3738" uniqueCount="319">
  <si>
    <t>Matricula</t>
  </si>
  <si>
    <t>Nome docente</t>
  </si>
  <si>
    <t>Horas a alocar</t>
  </si>
  <si>
    <t>Campus</t>
  </si>
  <si>
    <t>Curso</t>
  </si>
  <si>
    <t>4</t>
  </si>
  <si>
    <t>CAMPUS CURITIBA</t>
  </si>
  <si>
    <t>ADALBERTO CARAMORI PETRY</t>
  </si>
  <si>
    <t>2</t>
  </si>
  <si>
    <t>4093 - DIREITO - ADM - CTBA (GRADUAÇÃO PRESENCIAL)</t>
  </si>
  <si>
    <t>3541 - MEDICINA - ADM - CTBA (GRADUAÇÃO PRESENCIAL)</t>
  </si>
  <si>
    <t>AIRTON RODRIGUES PINTO JUNIOR</t>
  </si>
  <si>
    <t>6</t>
  </si>
  <si>
    <t>103651 - AGRONOMIA - ADM - CTBA (GRADUAÇÃO PRESENCIAL)</t>
  </si>
  <si>
    <t>5</t>
  </si>
  <si>
    <t>CAMPUS TOLEDO</t>
  </si>
  <si>
    <t>ALEXANDRE LUIS MULLER</t>
  </si>
  <si>
    <t>12</t>
  </si>
  <si>
    <t>9501 - AGRONOMIA - ADM - TLD (GRADUAÇÃO PRESENCIAL)</t>
  </si>
  <si>
    <t>ANA CAROLINE DARIVA CHULA</t>
  </si>
  <si>
    <t>1</t>
  </si>
  <si>
    <t>10</t>
  </si>
  <si>
    <t>CAMPUS LONDRINA</t>
  </si>
  <si>
    <t>105237 - MEDICINA - ADM - LDN (GRADUAÇÃO PRESENCIAL)</t>
  </si>
  <si>
    <t>ANDERSON NITSCHE</t>
  </si>
  <si>
    <t>18</t>
  </si>
  <si>
    <t>7</t>
  </si>
  <si>
    <t>3565 - PSICOLOGIA - ADM - CTBA (GRADUAÇÃO PRESENCIAL)</t>
  </si>
  <si>
    <t>3524 - FISIOTERAPIA - ADM - CTBA (GRADUAÇÃO PRESENCIAL)</t>
  </si>
  <si>
    <t>8</t>
  </si>
  <si>
    <t>2021 - ADMINISTRAÇÃO - ADM - CTBA (GRADUAÇÃO PRESENCIAL)</t>
  </si>
  <si>
    <t>CESAR RIBEIRO ZUCCOLI</t>
  </si>
  <si>
    <t>CINTHIA SCHIMITH SILVA COELHO</t>
  </si>
  <si>
    <t>3852 - ENGENHARIA ELÉTRICA - ADM - CTBA (GRADUAÇÃO PRESENCIAL)</t>
  </si>
  <si>
    <t>2515 - DIREITO - ADM - LDN (GRADUAÇÃO PRESENCIAL)</t>
  </si>
  <si>
    <t>DENISE RATMANN ARRUDA COLIN</t>
  </si>
  <si>
    <t>4107 - SERVIÇO SOCIAL - ADM - CTBA (GRADUAÇÃO PRESENCIAL)</t>
  </si>
  <si>
    <t>16</t>
  </si>
  <si>
    <t>ERON FABIO MIRANDA</t>
  </si>
  <si>
    <t>103974 - ENGENHARIA DE SOFTWARE - ADM - CTBA (GRADUAÇÃO PRESENCIAL)</t>
  </si>
  <si>
    <t>FABIO ROCHA FARIAS</t>
  </si>
  <si>
    <t>4267 - FILOSOFIA - ADM - CTBA (GRADUAÇÃO PRESENCIAL)</t>
  </si>
  <si>
    <t>HOLISSES BELLON</t>
  </si>
  <si>
    <t>HORACIO ALVARENGA MOREIRA</t>
  </si>
  <si>
    <t>JOACHIM ANDRADE</t>
  </si>
  <si>
    <t>4250 - TEOLOGIA - ADM - CTBA (GRADUAÇÃO PRESENCIAL)</t>
  </si>
  <si>
    <t>14</t>
  </si>
  <si>
    <t>JOSEANE MARIA ANDRADE MOUZINHO DE OLIVEIRA</t>
  </si>
  <si>
    <t>15</t>
  </si>
  <si>
    <t>3838 - ENGENHARIA DE PRODUÇÃO - ADM - CTBA (GRADUAÇÃO PRESENCIAL)</t>
  </si>
  <si>
    <t>KELLY CRISTINA BORDIGNON GOMES</t>
  </si>
  <si>
    <t>3</t>
  </si>
  <si>
    <t>LEILA SCUCATO MARCAL</t>
  </si>
  <si>
    <t>LIGIA ZIEGLER SAMUEL</t>
  </si>
  <si>
    <t>LUIZ ANTONIO MARTINS BARBOSA JUNIOR</t>
  </si>
  <si>
    <t>MANOEL VALERIO DA SILVEIRA NETO</t>
  </si>
  <si>
    <t>MARCO AURELIO GUIMARAES</t>
  </si>
  <si>
    <t>MARCO CESAR JORGE DOS SANTOS</t>
  </si>
  <si>
    <t>MARIA CRISTINA FIGUEROA MAGALHAES</t>
  </si>
  <si>
    <t>20</t>
  </si>
  <si>
    <t>MOZART MARQUES WALZ</t>
  </si>
  <si>
    <t>PRISCILA BEATRIZ DE SOUZA MEDEIROS</t>
  </si>
  <si>
    <t>RAFAEL RODRIGUES GUIMARAES WOLLMANN</t>
  </si>
  <si>
    <t>RICARDO BERNARDO DA SILVA</t>
  </si>
  <si>
    <t>28</t>
  </si>
  <si>
    <t>RODRIGO GOMES DE OLIVEIRA</t>
  </si>
  <si>
    <t>TALLES BAZEIA LIMA</t>
  </si>
  <si>
    <t>TATIANA VON HERTWIG FERNANDES DE OLIVEIRA KUMER</t>
  </si>
  <si>
    <t xml:space="preserve">CH de contrato </t>
  </si>
  <si>
    <t xml:space="preserve">Gera agenda </t>
  </si>
  <si>
    <t>Sim</t>
  </si>
  <si>
    <t>6026 - ENGENHARIA DE PRODUÇÃO - ADM - LDN (GRADUAÇÃO PRESENCIAL)</t>
  </si>
  <si>
    <t>3557 - ODONTOLOGIA - ADM - CTBA (GRADUAÇÃO PRESENCIAL)</t>
  </si>
  <si>
    <t>1030715 - NÚCLEO COMUM ENGENHARIA - * - CTBA (GRADUAÇÃO PRESENCIAL)</t>
  </si>
  <si>
    <t>112339 - Medicina - Adm - TLD (Graduação Presencial)</t>
  </si>
  <si>
    <t>Resultado Agenda</t>
  </si>
  <si>
    <t>Resultado TACH</t>
  </si>
  <si>
    <t>CH total de contrato</t>
  </si>
  <si>
    <t>Gera agenda</t>
  </si>
  <si>
    <t>ADONIS NASR</t>
  </si>
  <si>
    <t>FLAVIA COSTA PREVEDELLO</t>
  </si>
  <si>
    <t>JEAN GABRIEL VIEIRA COUTINHO</t>
  </si>
  <si>
    <t>LUIZ CARLOS CANTANHEDE FERNANDES JUNIOR</t>
  </si>
  <si>
    <t>22</t>
  </si>
  <si>
    <t>RHAQUEL TESSELE</t>
  </si>
  <si>
    <t>RITA DE CASSIA CORREA DE VASCONCELOS</t>
  </si>
  <si>
    <t>YOHANNA VIEIRA JUK</t>
  </si>
  <si>
    <t>ALANNA SILVA HUK FARIAS</t>
  </si>
  <si>
    <t>112057 - Direito - Adm - TLD (Graduação Presencial)</t>
  </si>
  <si>
    <t>EMILE FERNANDES SPINASSI TEIXEIRA</t>
  </si>
  <si>
    <t>JEFERSON DA COSTA VAZ</t>
  </si>
  <si>
    <t>MARILENA INDIRA WINTER</t>
  </si>
  <si>
    <t>MATHEUS BELTRAME CANCIGLIERI</t>
  </si>
  <si>
    <t>3803 - ENGENHARIA CIVIL - ADM - CTBA (GRADUAÇÃO PRESENCIAL)</t>
  </si>
  <si>
    <t>Gera Agenda</t>
  </si>
  <si>
    <t>JEANCARLO RIBAS</t>
  </si>
  <si>
    <t>9</t>
  </si>
  <si>
    <t>MATRICULA</t>
  </si>
  <si>
    <t xml:space="preserve">NOME </t>
  </si>
  <si>
    <t>CAMILA FUKUDA GOMES SANTOS</t>
  </si>
  <si>
    <t>CARLOS EDUARDO ALVES GARCIA</t>
  </si>
  <si>
    <t>EDUARDO BASTOS DE BARROS</t>
  </si>
  <si>
    <t>EDUARDO RONCATTO</t>
  </si>
  <si>
    <t>FERNANDO ROBERTO ROMAN</t>
  </si>
  <si>
    <t>GUSTAVO DAVID DOS SANTOS</t>
  </si>
  <si>
    <t>ISABELA MAYUMI NAKANISHI TAKAKI</t>
  </si>
  <si>
    <t>LUIZ FERNANDO KUNII</t>
  </si>
  <si>
    <t>MARCO ANTONIO GONZALEZ MORAES</t>
  </si>
  <si>
    <t>RAFAEL JUNIOR SOARES</t>
  </si>
  <si>
    <t>SORAYA DE AZAMBUJA BERTI COUTO</t>
  </si>
  <si>
    <t>Status 01/04</t>
  </si>
  <si>
    <t>AURISTELA DUARTE DE LIMA MOSER</t>
  </si>
  <si>
    <t>BEATRIZ LUCI FERNANDES</t>
  </si>
  <si>
    <t>CAMILA AMENT GIULIANI DOS SANTOS FRANCO</t>
  </si>
  <si>
    <t>FERNANDA CRISTINA OSTROVSKI SALES</t>
  </si>
  <si>
    <t>GEOVANI VIOLA MORETTO</t>
  </si>
  <si>
    <t>PATRICIA TENDOLINI OLIVEIRA DE MELO</t>
  </si>
  <si>
    <t>PAULO DE PAULA BAPTISTA</t>
  </si>
  <si>
    <t>PAULO NASCIMENTO NETO</t>
  </si>
  <si>
    <t>PEDRO HORCHULHACK</t>
  </si>
  <si>
    <t>Não</t>
  </si>
  <si>
    <t>3524 - Fisioterapia - Adm - CTBA (Graduação Presencial)</t>
  </si>
  <si>
    <t>3870 - Engenharia Química - Adm - CTBA (Graduação Presencial)</t>
  </si>
  <si>
    <t>3541 - Medicina - Adm - CTBA (Graduação Presencial)</t>
  </si>
  <si>
    <t>3516 - Farmácia - Adm - CTBA (Graduação Presencial)</t>
  </si>
  <si>
    <t>4267 - Filosofia - Adm - CTBA (Graduação Presencial)</t>
  </si>
  <si>
    <t>1031806 - Negócios Internacionais - * - CTBA (Graduação Presencial)</t>
  </si>
  <si>
    <t>2021 - Administração - Adm - CTBA (Graduação Presencial)</t>
  </si>
  <si>
    <t>3756 - Arquitetura e Urbanismo - Adm - CTBA (Graduação Presencial)</t>
  </si>
  <si>
    <t>1031412 - Cibersegurança - Adm - CTBA (Graduação Presencial)</t>
  </si>
  <si>
    <t>FINALIZADO</t>
  </si>
  <si>
    <t>AGUARDANDO APROVAÇÃO</t>
  </si>
  <si>
    <t>NÃO CRIADO</t>
  </si>
  <si>
    <t>APROVADO</t>
  </si>
  <si>
    <t>RASCUNHO</t>
  </si>
  <si>
    <t>NECESSÁRIO AJUSTAR</t>
  </si>
  <si>
    <t>SEMANA 1 - Pend. Agenda</t>
  </si>
  <si>
    <t>SEMANA 1 - Pend. TACH</t>
  </si>
  <si>
    <t>SEMANA 2 - Pend. Agenda</t>
  </si>
  <si>
    <t>SEMANA 2 - Pend. TACH</t>
  </si>
  <si>
    <t>SEMANA 3 - Pend. Agenda</t>
  </si>
  <si>
    <t>SEMANA 3 - Pend. TACH</t>
  </si>
  <si>
    <t>SEMANA 4 - Pend. Agenda</t>
  </si>
  <si>
    <t>SEMANA 4 - Pend. TACH</t>
  </si>
  <si>
    <t>SEMANA 5 - Pend. Agenda</t>
  </si>
  <si>
    <t>SEMANA 5 - Pend. TACH</t>
  </si>
  <si>
    <t>RESULTADO FINAL - Pend. Agenda</t>
  </si>
  <si>
    <t>RESULTADO FINAL - Pend. TACH</t>
  </si>
  <si>
    <t>Contagem Agenda</t>
  </si>
  <si>
    <t>Contagem TACH</t>
  </si>
  <si>
    <t>CONCLUSÃO</t>
  </si>
  <si>
    <t>ANNA HERMINIA CASTRO GOMES DE AMORIM</t>
  </si>
  <si>
    <t>BIANCA MENDES RATI</t>
  </si>
  <si>
    <t>JANIO DENIS GABRIEL</t>
  </si>
  <si>
    <t>LIVIA SISSI GONCALVES SOUZA PIECHNIK</t>
  </si>
  <si>
    <t>MARIA AUGUSTA NASCIMENTO HEIM</t>
  </si>
  <si>
    <t>MICHELE ALESSANDRA HASTREITER</t>
  </si>
  <si>
    <t>11</t>
  </si>
  <si>
    <t>31</t>
  </si>
  <si>
    <t>103467 - JOGOS DIGITAIS - * - CTBA (GRADUAÇÃO PRESENCIAL)</t>
  </si>
  <si>
    <t>1031806 - NEGÓCIOS INTERNACIONAIS - * - CTBA (GRADUAÇÃO PRESENCIAL)</t>
  </si>
  <si>
    <t>112339 - MEDICINA - ADM - TLD (GRADUAÇÃO PRESENCIAL)</t>
  </si>
  <si>
    <t>112057 - DIREITO - ADM - TLD (GRADUAÇÃO PRESENCIAL)</t>
  </si>
  <si>
    <t>SIM</t>
  </si>
  <si>
    <t>Status 06/04</t>
  </si>
  <si>
    <t>Status 07/04</t>
  </si>
  <si>
    <t>Status 08/04</t>
  </si>
  <si>
    <t>Status 09/04</t>
  </si>
  <si>
    <t>Status 10/04</t>
  </si>
  <si>
    <t>BRUNO RAPHAEL DA CUNHA DOBICZ</t>
  </si>
  <si>
    <t>CINTHIA BITTENCOURT SPRICIGO</t>
  </si>
  <si>
    <t>FABIO INACIO PEREIRA</t>
  </si>
  <si>
    <t>HARRY ALBERTO BOLLMANN</t>
  </si>
  <si>
    <t>JULIANA SCHAIA ROCHA ORSI</t>
  </si>
  <si>
    <t>40001 - Teologia - Adm - LDN (Graduação Presencial)</t>
  </si>
  <si>
    <t>1030715 - Núcleo Comum Engenharia - * - CTBA (Graduação Presencial)</t>
  </si>
  <si>
    <t>3803 - Engenharia Civil - Adm - CTBA (Graduação Presencial)</t>
  </si>
  <si>
    <t>3557 - Odontologia - Adm - CTBA (Graduação Presencial)</t>
  </si>
  <si>
    <t>NÃO</t>
  </si>
  <si>
    <t>Status 20/04</t>
  </si>
  <si>
    <t>Status 22/04</t>
  </si>
  <si>
    <t>Status 23/04</t>
  </si>
  <si>
    <t>Status 24/04</t>
  </si>
  <si>
    <t>Status 13/04</t>
  </si>
  <si>
    <t>Status 14/04</t>
  </si>
  <si>
    <t>Status 15/04</t>
  </si>
  <si>
    <t>Status 16/04</t>
  </si>
  <si>
    <t>Status 17/04</t>
  </si>
  <si>
    <t>Status 27/04</t>
  </si>
  <si>
    <t>Status 28/04</t>
  </si>
  <si>
    <t>Status 29/04</t>
  </si>
  <si>
    <t>Status 30/04</t>
  </si>
  <si>
    <t>ALVARO CESAR KRIECK DOS SANTOS</t>
  </si>
  <si>
    <t>CAROLINE DE PAULA VENEZIAN RICCETTO</t>
  </si>
  <si>
    <t>CLAUDIO MARLUS SKORA</t>
  </si>
  <si>
    <t>FERNANDA CATAFESTA UTZUMI</t>
  </si>
  <si>
    <t>FLUVIO CARDINELLE OLIVEIRA GARCIA</t>
  </si>
  <si>
    <t>JULIANO MUNIK BORA</t>
  </si>
  <si>
    <t>SUELI ALMEIDA DE OLIVEIRA</t>
  </si>
  <si>
    <t>TIAGO MORALES CALVE</t>
  </si>
  <si>
    <t>40</t>
  </si>
  <si>
    <t>19</t>
  </si>
  <si>
    <t>17</t>
  </si>
  <si>
    <t>Campus Toledo</t>
  </si>
  <si>
    <t>103098 - GASTRONOMIA - ADM - CTBA (GRADUAÇÃO PRESENCIAL)</t>
  </si>
  <si>
    <t>40001 - TEOLOGIA - ADM - LDN (GRADUAÇÃO PRESENCIAL)</t>
  </si>
  <si>
    <t>CAMILA MONTEIRO MAZZARIN BORGES</t>
  </si>
  <si>
    <t>CRISTINA SANTOS SOTOMAIOR</t>
  </si>
  <si>
    <t>DANIEL WUNDER HACHEM</t>
  </si>
  <si>
    <t>EROS LUIZ DE SOUSA</t>
  </si>
  <si>
    <t>4093 - Direito - Adm - CTBA (Graduação Presencial)</t>
  </si>
  <si>
    <t>105237 - Medicina - Adm - LDN (Graduação Presencial)</t>
  </si>
  <si>
    <t>103657 - Medicina Veterinária - Adm - CTBA (Graduação Presencial)</t>
  </si>
  <si>
    <t>103974 - Engenharia de Software - Adm - CTBA (Graduação Presencial)</t>
  </si>
  <si>
    <t>PAULA CRISTINA TREVILATTO</t>
  </si>
  <si>
    <t>PAULO SERGIO MACUCHEN NOGAS</t>
  </si>
  <si>
    <t>RENATA ERNLUND FREITAS DE MACEDO</t>
  </si>
  <si>
    <t>VALERIA NATASCHA TEIXEIRA</t>
  </si>
  <si>
    <t>3565 - Psicologia - Adm - CTBA (Graduação Presencial)</t>
  </si>
  <si>
    <t>Campus Curitiba</t>
  </si>
  <si>
    <t>3517 - Farmácia - Adm - CTBA (Graduação Presencial)</t>
  </si>
  <si>
    <t>ANA CAROLINE DE PAULA</t>
  </si>
  <si>
    <t>1031799 - Produção Musical - Adm - CTBA (Graduação Presencial)</t>
  </si>
  <si>
    <t>DANIEL IDEL BONGANHI FEFERMAN</t>
  </si>
  <si>
    <t>FRED CARLOS TREVISAN</t>
  </si>
  <si>
    <t>FULVY ANTONELLA VENTURI PEREIRA</t>
  </si>
  <si>
    <t>HUMBERTO MACIEL FRANCA MADEIRA</t>
  </si>
  <si>
    <t>IZABELA PATRICIO BASTOS</t>
  </si>
  <si>
    <t>MARIA CLARA JAEGER GODOY</t>
  </si>
  <si>
    <t>MATHEUS DE LIMA GOEDERT</t>
  </si>
  <si>
    <t>PATRICIA APARECIDA BORTOLLOTI</t>
  </si>
  <si>
    <t>PATRICIA ELIANE DA ROSA SARDETO</t>
  </si>
  <si>
    <t>SAMARAH PERSZEL DE FREITAS</t>
  </si>
  <si>
    <t>TATIANA LORENA DA LUZ KAESTNER</t>
  </si>
  <si>
    <t>21</t>
  </si>
  <si>
    <t>3756 - ARQUITETURA E URBANISMO - ADM - CTBA (GRADUAÇÃO PRESENCIAL)</t>
  </si>
  <si>
    <t>3870 - ENGENHARIA QUÍMICA - ADM - CTBA (GRADUAÇÃO PRESENCIAL)</t>
  </si>
  <si>
    <t>103572 - Biotecnologia - Adm - CTBA (Graduação Presencial)</t>
  </si>
  <si>
    <t>105019 - PSICOLOGIA - ADM - LDN (GRADUAÇÃO PRESENCIAL)</t>
  </si>
  <si>
    <t>Status 21/04 FERIADO</t>
  </si>
  <si>
    <t>CAUE KRUGER</t>
  </si>
  <si>
    <t>EDILBERTO NUNES DE MOURA</t>
  </si>
  <si>
    <t>JACKSON TEIXEIRA BITTENCOURT</t>
  </si>
  <si>
    <t>KARLA CRISTIANE ARSIE</t>
  </si>
  <si>
    <t>KARLAN MULLER MUNIZ</t>
  </si>
  <si>
    <t>LETICIA FERNANDES BELO</t>
  </si>
  <si>
    <t>SILVANA TASCHEK HASTREITER</t>
  </si>
  <si>
    <t>103342 - SOCIOLOGIA - ADM - CTBA (GRADUAÇÃO PRESENCIAL)</t>
  </si>
  <si>
    <t>3516 - FARMÁCIA - ADM - CTBA (GRADUAÇÃO PRESENCIAL)</t>
  </si>
  <si>
    <t>2037 - CIÊNCIAS ECONÔMICAS - ADM - CTBA (GRADUAÇÃO PRESENCIAL)</t>
  </si>
  <si>
    <t>103496 - PUBLICIDADE E PROPAGANDA - ADM - CTBA (GRADUAÇÃO PRESENCIAL)</t>
  </si>
  <si>
    <t>103371 - MARKETING - ADM - CTBA (GRADUAÇÃO PRESENCIAL)</t>
  </si>
  <si>
    <t>103657 - MEDICINA VETERINÁRIA - ADM - CTBA (GRADUAÇÃO PRESENCIAL)</t>
  </si>
  <si>
    <t>Adalberto Caramori Petry</t>
  </si>
  <si>
    <t>Anderson Nitsche</t>
  </si>
  <si>
    <t>Bruno Raphael Da Cunha Dobicz</t>
  </si>
  <si>
    <t>Caroline De Paula Venezian Riccetto</t>
  </si>
  <si>
    <t>Cesar Ribeiro Zuccoli</t>
  </si>
  <si>
    <t>Emile Fernandes Spinassi Teixeira</t>
  </si>
  <si>
    <t>Fred Carlos Trevisan</t>
  </si>
  <si>
    <t>Horacio Alvarenga Moreira</t>
  </si>
  <si>
    <t>Jeferson Da Costa Vaz</t>
  </si>
  <si>
    <t>Joachim Andrade</t>
  </si>
  <si>
    <t>Joseane Maria Andrade Mouzinho De Oliveira</t>
  </si>
  <si>
    <t>Leila Scucato Marcal</t>
  </si>
  <si>
    <t>Ligia Ziegler Samuel</t>
  </si>
  <si>
    <t>Luiz Carlos Cantanhede Fernandes Junior</t>
  </si>
  <si>
    <t>Manoel Valerio Da Silveira Neto</t>
  </si>
  <si>
    <t>Manuela Torrado Truiti</t>
  </si>
  <si>
    <t>Marco Aurelio Guimaraes</t>
  </si>
  <si>
    <t>Marco Cesar Jorge Dos Santos</t>
  </si>
  <si>
    <t>Maria Augusta Nascimento Heim</t>
  </si>
  <si>
    <t>Marilena Indira Winter</t>
  </si>
  <si>
    <t>Matheus De Lima Goedert</t>
  </si>
  <si>
    <t>Mozart Marques Walz</t>
  </si>
  <si>
    <t>Priscila Beatriz De Souza Medeiros</t>
  </si>
  <si>
    <t>Ricardo Bernardo Da Silva</t>
  </si>
  <si>
    <t>Rita De Cassia Correa De Vasconcelos</t>
  </si>
  <si>
    <t>Yohanna Vieira Juk</t>
  </si>
  <si>
    <t>Campus Londrina</t>
  </si>
  <si>
    <t>4250 - Teologia - Adm - CTBA (Graduação Presencial)</t>
  </si>
  <si>
    <t>103342 - Sociologia - Adm - CTBA (Graduação Presencial)</t>
  </si>
  <si>
    <t>-</t>
  </si>
  <si>
    <t>Pendência de Agenda</t>
  </si>
  <si>
    <t>Pendência de TACH</t>
  </si>
  <si>
    <t>Sem Pendência de TACH</t>
  </si>
  <si>
    <t>Sem Pendência</t>
  </si>
  <si>
    <t>Pendência de Agenda - FERIADO</t>
  </si>
  <si>
    <t>Sem Pendência - FERIADO</t>
  </si>
  <si>
    <t>Sem Pendência de TACH - FERIADO</t>
  </si>
  <si>
    <t>Pendência de TACH - FERIADO</t>
  </si>
  <si>
    <t>MARÇO</t>
  </si>
  <si>
    <t>ABRIL</t>
  </si>
  <si>
    <t>NOME</t>
  </si>
  <si>
    <t>Pendencia de Agenda e Cartões (5) &amp; Pendência de TACH (5)</t>
  </si>
  <si>
    <t>Pendencia de Agenda e Cartões (3) &amp; Pendência de TACH (3)</t>
  </si>
  <si>
    <t>Pendencia de Agenda e Cartões (2) &amp; Pendência de TACH (2)</t>
  </si>
  <si>
    <t>Pendencia de Agenda e Cartões (1) &amp; Pendência de TACH (1)</t>
  </si>
  <si>
    <t>Pendencia de Agenda e Cartões (5)</t>
  </si>
  <si>
    <t>Pendencia de Agenda e Cartões (3)</t>
  </si>
  <si>
    <t>Pendencia de Agenda e Cartões (4)</t>
  </si>
  <si>
    <t>Pendencia de Agenda e Cartões (5) &amp; Pendência de TACH (4)</t>
  </si>
  <si>
    <t>Pendencia de Agenda e Cartões (1) &amp; Pendência de TACH (2)</t>
  </si>
  <si>
    <t>Pendencia de Agenda e Cartões (4) &amp; Pendência de TACH (4)</t>
  </si>
  <si>
    <t>Pendencia de Agenda e Cartões (2) &amp; Pendência de TACH (1)</t>
  </si>
  <si>
    <t>Pendencia de Agenda e Cartões (5) &amp; Pendência de TACH (1)</t>
  </si>
  <si>
    <t>Pendencia de Agenda e Cartões (2)</t>
  </si>
  <si>
    <t>Pendencia de Agenda e Cartões (4) &amp; Pendência de TACH (1)</t>
  </si>
  <si>
    <t>Pendência de TACH (5)</t>
  </si>
  <si>
    <t>Pendência de TACH (3)</t>
  </si>
  <si>
    <t>Pendência de TACH (4)</t>
  </si>
  <si>
    <t>Pendência de TACH (2)</t>
  </si>
  <si>
    <t>Pendencia de Agenda e Cartões (1)</t>
  </si>
  <si>
    <t>Pendencia de Agenda e Cartões (3) &amp; Pendência de TACH (2)</t>
  </si>
  <si>
    <t>Pendencia de Agenda e Cartões (2) &amp; Pendência de TACH (3)</t>
  </si>
  <si>
    <t>Pendência de TACH (1)</t>
  </si>
  <si>
    <t>FUNÇÃO - AJUSTAR</t>
  </si>
  <si>
    <t>COORD CURSO</t>
  </si>
  <si>
    <t xml:space="preserve">ALOCAÇÃO NO DOMINGO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</si>
</sst>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ptos Narrow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2" fillId="0" borderId="0" xfId="2"/>
    <xf numFmtId="1" fontId="2" fillId="0" borderId="0" xfId="2" applyNumberFormat="1"/>
    <xf numFmtId="0" fontId="2" fillId="0" borderId="0" xfId="2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vertical="center"/>
    </xf>
    <xf numFmtId="16" fontId="4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0" fillId="2" borderId="0" xfId="0" applyFill="1"/>
    <xf numFmtId="0" fontId="0" fillId="0" borderId="0" xfId="0" applyAlignment="1">
      <alignment wrapText="1"/>
    </xf>
    <xf numFmtId="0" fontId="6" fillId="3" borderId="0" xfId="0" applyFont="1" applyFill="1"/>
    <xf numFmtId="0" fontId="6" fillId="0" borderId="0" xfId="0" applyFont="1"/>
  </cellXfs>
  <cellStyles count="3">
    <cellStyle name="Normal" xfId="0" builtinId="0"/>
    <cellStyle name="Normal 2" xfId="1" xr:uid="{BA8D7A21-4E94-4A6E-B42A-E71CF243D436}"/>
    <cellStyle name="Normal 3" xfId="2" xr:uid="{6439EAEA-A7F1-4682-8021-F64EFFAA6DD3}"/>
  </cellStyles>
  <dxfs count="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ura.alsantos\Desktop\C&#243;pia%20de%2006_2026.03.31_Contrato_Professores_ATIVOS.xlsx" TargetMode="External"/><Relationship Id="rId1" Type="http://schemas.openxmlformats.org/officeDocument/2006/relationships/externalLinkPath" Target="file:///C:\Users\laura.alsantos\Desktop\C&#243;pia%20de%2006_2026.03.31_Contrato_Professores_ATIV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ura.alsantos\Desktop\C&#243;pia%20de%2006_2026.04.16_Contrato_Professores_ATIVOS.xlsx" TargetMode="External"/><Relationship Id="rId1" Type="http://schemas.openxmlformats.org/officeDocument/2006/relationships/externalLinkPath" Target="file:///C:\Users\laura.alsantos\Desktop\C&#243;pia%20de%2006_2026.04.16_Contrato_Professores_ATIVO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ura.alsantos\Desktop\C&#243;pia%20de%2006_2026.04.23_Contrato_Professores_ATIVOS.xlsx" TargetMode="External"/><Relationship Id="rId1" Type="http://schemas.openxmlformats.org/officeDocument/2006/relationships/externalLinkPath" Target="file:///C:\Users\laura.alsantos\Desktop\C&#243;pia%20de%2006_2026.04.23_Contrato_Professores_ATIVO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ura.alsantos\Downloads\relatorio_status_ABRIL_2026%20(6).xlsx" TargetMode="External"/><Relationship Id="rId1" Type="http://schemas.openxmlformats.org/officeDocument/2006/relationships/externalLinkPath" Target="file:///C:\Users\laura.alsantos\Downloads\relatorio_status_ABRIL_2026%20(6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ura.alsantos\Downloads\2026.03.12_Ativos.xlsx" TargetMode="External"/><Relationship Id="rId1" Type="http://schemas.openxmlformats.org/officeDocument/2006/relationships/externalLinkPath" Target="file:///C:\Users\laura.alsantos\Downloads\2026.03.12_Ativo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ura.alsantos\Desktop\C&#243;pia%20de%2006_2026.04.09_Contrato_Professores_ATIVOS.xlsx" TargetMode="External"/><Relationship Id="rId1" Type="http://schemas.openxmlformats.org/officeDocument/2006/relationships/externalLinkPath" Target="file:///C:\Users\laura.alsantos\Desktop\C&#243;pia%20de%2006_2026.04.09_Contrato_Professores_ATIVOS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10.09_Laura/TACH%20e%20agenda/TACH%20pendente/Abril/relatorio_status_ABRIL_2026%20(4).xlsx" TargetMode="External"/><Relationship Id="rId2" Type="http://schemas.openxmlformats.org/officeDocument/2006/relationships/externalLinkPath" Target="https://pucpredu.sharepoint.com/teams/DiretriosCCPA/Documentos%20Compartilhados/10_Analistas/10.09_Laura/TACH%20e%20agenda/TACH%20pendente/Abril/relatorio_status_ABRIL_2026%20(4).xlsx" TargetMode="External"/><Relationship Id="rId1" Type="http://schemas.openxmlformats.org/officeDocument/2006/relationships/externalLinkPath" Target="/teams/DiretriosCCPA/Documentos%20Compartilhados/10_Analistas/10.09_Laura/TACH%20e%20agenda/TACH%20pendente/Abril/relatorio_status_ABRIL_2026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STAO_CONTRATO"/>
      <sheetName val="Planilha1"/>
      <sheetName val="DICIONÁRIO DE DADOS"/>
    </sheetNames>
    <sheetDataSet>
      <sheetData sheetId="0">
        <row r="1">
          <cell r="B1" t="str">
            <v>NOME</v>
          </cell>
          <cell r="K1" t="str">
            <v>CR_CAMPUS</v>
          </cell>
          <cell r="AG1" t="str">
            <v>GERA_AGENDA</v>
          </cell>
          <cell r="AI1" t="str">
            <v>soma</v>
          </cell>
        </row>
        <row r="2">
          <cell r="B2" t="str">
            <v>ABEL ESTEVES SOARES</v>
          </cell>
          <cell r="K2" t="str">
            <v>CAMPUS LONDRINA</v>
          </cell>
          <cell r="AG2" t="str">
            <v>SIM</v>
          </cell>
          <cell r="AI2">
            <v>10</v>
          </cell>
        </row>
        <row r="3">
          <cell r="B3" t="str">
            <v>ABEL RIBEIRO DOS SANTOS</v>
          </cell>
          <cell r="K3" t="str">
            <v>CAMPUS CURITIBA</v>
          </cell>
          <cell r="AG3" t="str">
            <v>SIM</v>
          </cell>
          <cell r="AI3">
            <v>0</v>
          </cell>
        </row>
        <row r="4">
          <cell r="B4" t="str">
            <v>ABIMAEL ALVES DE OLIVEIRA JUNIOR</v>
          </cell>
          <cell r="K4" t="str">
            <v>CAMPUS CURITIBA</v>
          </cell>
          <cell r="AG4" t="str">
            <v>SIM</v>
          </cell>
          <cell r="AI4">
            <v>2</v>
          </cell>
        </row>
        <row r="5">
          <cell r="B5" t="str">
            <v>ADAILTON SERGIO PUPIA</v>
          </cell>
          <cell r="K5" t="str">
            <v>CAMPUS CURITIBA</v>
          </cell>
          <cell r="AG5" t="str">
            <v>SIM</v>
          </cell>
          <cell r="AI5">
            <v>16</v>
          </cell>
        </row>
        <row r="6">
          <cell r="B6" t="str">
            <v>ADAIR JOSE PEREIRA DA ROCHA</v>
          </cell>
          <cell r="K6" t="str">
            <v>CAMPUS CURITIBA</v>
          </cell>
          <cell r="AG6" t="str">
            <v>SIM</v>
          </cell>
          <cell r="AI6">
            <v>7</v>
          </cell>
        </row>
        <row r="7">
          <cell r="B7" t="str">
            <v>ADALBERTO CARAMORI PETRY</v>
          </cell>
          <cell r="K7" t="str">
            <v>CAMPUS CURITIBA</v>
          </cell>
          <cell r="AG7" t="str">
            <v>SIM</v>
          </cell>
          <cell r="AI7">
            <v>2</v>
          </cell>
        </row>
        <row r="8">
          <cell r="B8" t="str">
            <v>ADALGISA APARECIDA DE OLIVEIRA GONCALVES</v>
          </cell>
          <cell r="K8" t="str">
            <v>CAMPUS CURITIBA</v>
          </cell>
          <cell r="AG8" t="str">
            <v>SIM</v>
          </cell>
          <cell r="AI8">
            <v>10</v>
          </cell>
        </row>
        <row r="9">
          <cell r="B9" t="str">
            <v>ADANS PABLO CARVALHO</v>
          </cell>
          <cell r="K9" t="str">
            <v>CAMPUS CURITIBA</v>
          </cell>
          <cell r="AG9" t="str">
            <v>NÃO</v>
          </cell>
          <cell r="AI9">
            <v>19</v>
          </cell>
        </row>
        <row r="10">
          <cell r="B10" t="str">
            <v>ADONIS NASR</v>
          </cell>
          <cell r="K10" t="str">
            <v>CAMPUS CURITIBA</v>
          </cell>
          <cell r="AG10" t="str">
            <v>SIM</v>
          </cell>
          <cell r="AI10">
            <v>16</v>
          </cell>
        </row>
        <row r="11">
          <cell r="B11" t="str">
            <v>ADRIANA APARECIDA DAMBROS DA SILVA</v>
          </cell>
          <cell r="K11" t="str">
            <v>CAMPUS TOLEDO</v>
          </cell>
          <cell r="AG11" t="str">
            <v>SIM</v>
          </cell>
          <cell r="AI11">
            <v>38</v>
          </cell>
        </row>
        <row r="12">
          <cell r="B12" t="str">
            <v>ADRIANA CRISTINA CORSICO DITTMAR</v>
          </cell>
          <cell r="K12" t="str">
            <v>CAMPUS CURITIBA</v>
          </cell>
          <cell r="AG12" t="str">
            <v>SIM</v>
          </cell>
          <cell r="AI12">
            <v>16</v>
          </cell>
        </row>
        <row r="13">
          <cell r="B13" t="str">
            <v>ADRIANA DIAS BASSETO</v>
          </cell>
          <cell r="K13" t="str">
            <v>CAMPUS TOLEDO</v>
          </cell>
          <cell r="AG13" t="str">
            <v>SIM</v>
          </cell>
          <cell r="AI13">
            <v>18</v>
          </cell>
        </row>
        <row r="14">
          <cell r="B14" t="str">
            <v>ADRIANA MARTELLO VALERO</v>
          </cell>
          <cell r="K14" t="str">
            <v>CAMPUS LONDRINA</v>
          </cell>
          <cell r="AG14" t="str">
            <v>NÃO</v>
          </cell>
          <cell r="AI14">
            <v>40</v>
          </cell>
        </row>
        <row r="15">
          <cell r="B15" t="str">
            <v>ADRIANA MOCELIM</v>
          </cell>
          <cell r="K15" t="str">
            <v>CAMPUS CURITIBA</v>
          </cell>
          <cell r="AG15" t="str">
            <v>SIM</v>
          </cell>
          <cell r="AI15">
            <v>10</v>
          </cell>
        </row>
        <row r="16">
          <cell r="B16" t="str">
            <v>ADRIANA OLIVEIRA ANDRADE BATISTELLA</v>
          </cell>
          <cell r="K16" t="str">
            <v>CAMPUS LONDRINA</v>
          </cell>
          <cell r="AG16" t="str">
            <v>SIM</v>
          </cell>
          <cell r="AI16">
            <v>15</v>
          </cell>
        </row>
        <row r="17">
          <cell r="B17" t="str">
            <v>ADRIANE REICHERT FARIA</v>
          </cell>
          <cell r="K17" t="str">
            <v>CAMPUS CURITIBA</v>
          </cell>
          <cell r="AG17" t="str">
            <v>SIM</v>
          </cell>
          <cell r="AI17">
            <v>25</v>
          </cell>
        </row>
        <row r="18">
          <cell r="B18" t="str">
            <v>ADRIANO AKIRA FERREIRA HINO</v>
          </cell>
          <cell r="K18" t="str">
            <v>CAMPUS CURITIBA</v>
          </cell>
          <cell r="AG18" t="str">
            <v>NÃO</v>
          </cell>
          <cell r="AI18">
            <v>34</v>
          </cell>
        </row>
        <row r="19">
          <cell r="B19" t="str">
            <v>ADRIANO KULPA</v>
          </cell>
          <cell r="K19" t="str">
            <v>CAMPUS LONDRINA</v>
          </cell>
          <cell r="AG19" t="str">
            <v>SIM</v>
          </cell>
          <cell r="AI19">
            <v>8</v>
          </cell>
        </row>
        <row r="20">
          <cell r="B20" t="str">
            <v>ADRIANO MORITA FERNANDES DA SILVA</v>
          </cell>
          <cell r="K20" t="str">
            <v>CAMPUS LONDRINA</v>
          </cell>
          <cell r="AG20" t="str">
            <v>SIM</v>
          </cell>
          <cell r="AI20">
            <v>29</v>
          </cell>
        </row>
        <row r="21">
          <cell r="B21" t="str">
            <v>ADRIANO YOSHIO SHIMBO</v>
          </cell>
          <cell r="K21" t="str">
            <v>Campus Curitiba</v>
          </cell>
          <cell r="AG21" t="str">
            <v>SIM</v>
          </cell>
          <cell r="AI21">
            <v>6</v>
          </cell>
        </row>
        <row r="22">
          <cell r="B22" t="str">
            <v>AFONSO FERREIRA MIGUEL</v>
          </cell>
          <cell r="K22" t="str">
            <v>CAMPUS CURITIBA</v>
          </cell>
          <cell r="AG22" t="str">
            <v>SIM</v>
          </cell>
          <cell r="AI22">
            <v>20</v>
          </cell>
        </row>
        <row r="23">
          <cell r="B23" t="str">
            <v>AGNES SILVA DE ARAUJO</v>
          </cell>
          <cell r="K23" t="str">
            <v>CAMPUS CURITIBA</v>
          </cell>
          <cell r="AG23" t="str">
            <v>NÃO</v>
          </cell>
          <cell r="AI23">
            <v>34</v>
          </cell>
        </row>
        <row r="24">
          <cell r="B24" t="str">
            <v>AGUILAR SELHORST JUNIOR</v>
          </cell>
          <cell r="K24" t="str">
            <v>CAMPUS CURITIBA</v>
          </cell>
          <cell r="AG24" t="str">
            <v>NÃO</v>
          </cell>
          <cell r="AI24">
            <v>40</v>
          </cell>
        </row>
        <row r="25">
          <cell r="B25" t="str">
            <v>AIRTON OLIVEIRA SILVA TRENTO</v>
          </cell>
          <cell r="K25" t="str">
            <v>Campus Toledo</v>
          </cell>
          <cell r="AG25" t="str">
            <v>SIM</v>
          </cell>
          <cell r="AI25">
            <v>18</v>
          </cell>
        </row>
        <row r="26">
          <cell r="B26" t="str">
            <v>AIRTON RODRIGUES PINTO JUNIOR</v>
          </cell>
          <cell r="K26" t="str">
            <v>CAMPUS CURITIBA</v>
          </cell>
          <cell r="AG26" t="str">
            <v>SIM</v>
          </cell>
          <cell r="AI26">
            <v>8</v>
          </cell>
        </row>
        <row r="27">
          <cell r="B27" t="str">
            <v>ALAN RAFAEL DE MEDEIROS</v>
          </cell>
          <cell r="K27" t="str">
            <v>CAMPUS CURITIBA</v>
          </cell>
          <cell r="AG27" t="str">
            <v>SIM</v>
          </cell>
          <cell r="AI27">
            <v>6</v>
          </cell>
        </row>
        <row r="28">
          <cell r="B28" t="str">
            <v>ALANNA SILVA HUK FARIAS</v>
          </cell>
          <cell r="K28" t="str">
            <v>Campus Londrina</v>
          </cell>
          <cell r="AG28" t="str">
            <v>SIM</v>
          </cell>
          <cell r="AI28">
            <v>8</v>
          </cell>
        </row>
        <row r="29">
          <cell r="B29" t="str">
            <v>ALBERTO PAULO NETO</v>
          </cell>
          <cell r="K29" t="str">
            <v>CAMPUS LONDRINA</v>
          </cell>
          <cell r="AG29" t="str">
            <v>NÃO</v>
          </cell>
          <cell r="AI29">
            <v>30</v>
          </cell>
        </row>
        <row r="30">
          <cell r="B30" t="str">
            <v>ALBONI MARISA DUDEQUE PIANOVSKI VIEIRA</v>
          </cell>
          <cell r="K30" t="str">
            <v>CAMPUS CURITIBA</v>
          </cell>
          <cell r="AG30" t="str">
            <v>NÃO</v>
          </cell>
          <cell r="AI30">
            <v>32</v>
          </cell>
        </row>
        <row r="31">
          <cell r="B31" t="str">
            <v>ALCEU DE SOUZA BRITTO JUNIOR</v>
          </cell>
          <cell r="K31" t="str">
            <v>CAMPUS CURITIBA</v>
          </cell>
          <cell r="AG31" t="str">
            <v>NÃO</v>
          </cell>
          <cell r="AI31">
            <v>36</v>
          </cell>
        </row>
        <row r="32">
          <cell r="B32" t="str">
            <v>ALCEU SOUZA</v>
          </cell>
          <cell r="K32" t="str">
            <v>CAMPUS CURITIBA</v>
          </cell>
          <cell r="AG32" t="str">
            <v>NÃO</v>
          </cell>
          <cell r="AI32">
            <v>32</v>
          </cell>
        </row>
        <row r="33">
          <cell r="B33" t="str">
            <v>ALCIDES CALSAVARA</v>
          </cell>
          <cell r="K33" t="str">
            <v>CAMPUS CURITIBA</v>
          </cell>
          <cell r="AG33" t="str">
            <v>SIM</v>
          </cell>
          <cell r="AI33">
            <v>18</v>
          </cell>
        </row>
        <row r="34">
          <cell r="B34" t="str">
            <v>ALCINDO PISSAIA JUNIOR</v>
          </cell>
          <cell r="K34" t="str">
            <v>CAMPUS CURITIBA</v>
          </cell>
          <cell r="AG34" t="str">
            <v>SIM</v>
          </cell>
          <cell r="AI34">
            <v>5</v>
          </cell>
        </row>
        <row r="35">
          <cell r="B35" t="str">
            <v>ALESSANDRA BRUSTOLIN</v>
          </cell>
          <cell r="K35" t="str">
            <v>CAMPUS TOLEDO</v>
          </cell>
          <cell r="AG35" t="str">
            <v>SIM</v>
          </cell>
          <cell r="AI35">
            <v>10</v>
          </cell>
        </row>
        <row r="36">
          <cell r="B36" t="str">
            <v>ALESSANDRO BERTOLINO</v>
          </cell>
          <cell r="K36" t="str">
            <v>CAMPUS CURITIBA</v>
          </cell>
          <cell r="AG36" t="str">
            <v>SIM</v>
          </cell>
          <cell r="AI36">
            <v>5</v>
          </cell>
        </row>
        <row r="37">
          <cell r="B37" t="str">
            <v>ALEX ANTONIO FERRARESI</v>
          </cell>
          <cell r="K37" t="str">
            <v>CAMPUS CURITIBA</v>
          </cell>
          <cell r="AG37" t="str">
            <v>NÃO</v>
          </cell>
          <cell r="AI37">
            <v>40</v>
          </cell>
        </row>
        <row r="38">
          <cell r="B38" t="str">
            <v>ALEX SANDRO QUADROS WEYMER</v>
          </cell>
          <cell r="K38" t="str">
            <v>CAMPUS CURITIBA</v>
          </cell>
          <cell r="AG38" t="str">
            <v>NÃO</v>
          </cell>
          <cell r="AI38">
            <v>32</v>
          </cell>
        </row>
        <row r="39">
          <cell r="B39" t="str">
            <v>ALEXANDRA FERREIRA MARTINS RIBEIRO</v>
          </cell>
          <cell r="K39" t="str">
            <v>Campus Curitiba</v>
          </cell>
          <cell r="AG39" t="str">
            <v>NÃO</v>
          </cell>
          <cell r="AI39">
            <v>32</v>
          </cell>
        </row>
        <row r="40">
          <cell r="B40" t="str">
            <v>ALEXANDRA RAMOS DOS SANTOS</v>
          </cell>
          <cell r="K40" t="str">
            <v>CAMPUS CURITIBA</v>
          </cell>
          <cell r="AG40" t="str">
            <v>SIM</v>
          </cell>
          <cell r="AI40">
            <v>18</v>
          </cell>
        </row>
        <row r="41">
          <cell r="B41" t="str">
            <v>ALEXANDRE CAMILOTTI GASPERIN</v>
          </cell>
          <cell r="K41" t="str">
            <v>CAMPUS CURITIBA</v>
          </cell>
          <cell r="AG41" t="str">
            <v>SIM</v>
          </cell>
          <cell r="AI41">
            <v>4</v>
          </cell>
        </row>
        <row r="42">
          <cell r="B42" t="str">
            <v>ALEXANDRE DARONCO</v>
          </cell>
          <cell r="K42" t="str">
            <v>CAMPUS TOLEDO</v>
          </cell>
          <cell r="AG42" t="str">
            <v>SIM</v>
          </cell>
          <cell r="AI42">
            <v>5</v>
          </cell>
        </row>
        <row r="43">
          <cell r="B43" t="str">
            <v>ALEXANDRE KOWALCZUCK</v>
          </cell>
          <cell r="K43" t="str">
            <v>CAMPUS CURITIBA</v>
          </cell>
          <cell r="AG43" t="str">
            <v>SIM</v>
          </cell>
          <cell r="AI43">
            <v>4</v>
          </cell>
        </row>
        <row r="44">
          <cell r="B44" t="str">
            <v>ALEXANDRE LUIS MULLER</v>
          </cell>
          <cell r="K44" t="str">
            <v>CAMPUS TOLEDO</v>
          </cell>
          <cell r="AG44" t="str">
            <v>SIM</v>
          </cell>
          <cell r="AI44">
            <v>10</v>
          </cell>
        </row>
        <row r="45">
          <cell r="B45" t="str">
            <v>ALEXANDRE RUIZ DA ROSA</v>
          </cell>
          <cell r="K45" t="str">
            <v>Campus Curitiba</v>
          </cell>
          <cell r="AG45" t="str">
            <v>SIM</v>
          </cell>
          <cell r="AI45">
            <v>2</v>
          </cell>
        </row>
        <row r="46">
          <cell r="B46" t="str">
            <v>ALEXEI VOLACO</v>
          </cell>
          <cell r="K46" t="str">
            <v>CAMPUS CURITIBA</v>
          </cell>
          <cell r="AG46" t="str">
            <v>SIM</v>
          </cell>
          <cell r="AI46">
            <v>24</v>
          </cell>
        </row>
        <row r="47">
          <cell r="B47" t="str">
            <v>ALINE BAMPI</v>
          </cell>
          <cell r="K47" t="str">
            <v>CAMPUS CURITIBA</v>
          </cell>
          <cell r="AG47" t="str">
            <v>SIM</v>
          </cell>
          <cell r="AI47">
            <v>12</v>
          </cell>
        </row>
        <row r="48">
          <cell r="B48" t="str">
            <v>ALINE CRISTINA ZANCHETTIN</v>
          </cell>
          <cell r="K48" t="str">
            <v>CAMPUS CURITIBA</v>
          </cell>
          <cell r="AG48" t="str">
            <v>SIM</v>
          </cell>
          <cell r="AI48">
            <v>21</v>
          </cell>
        </row>
        <row r="49">
          <cell r="B49" t="str">
            <v>ALINE TANCLER STIPP</v>
          </cell>
          <cell r="K49" t="str">
            <v>CAMPUS LONDRINA</v>
          </cell>
          <cell r="AG49" t="str">
            <v>NÃO</v>
          </cell>
          <cell r="AI49">
            <v>29</v>
          </cell>
        </row>
        <row r="50">
          <cell r="B50" t="str">
            <v>ALINE VANELI PELIZZONI</v>
          </cell>
          <cell r="K50" t="str">
            <v>CAMPUS TOLEDO</v>
          </cell>
          <cell r="AG50" t="str">
            <v>SIM</v>
          </cell>
          <cell r="AI50">
            <v>25</v>
          </cell>
        </row>
        <row r="51">
          <cell r="B51" t="str">
            <v>ALISON LUIS LANDO</v>
          </cell>
          <cell r="K51" t="str">
            <v>CAMPUS CURITIBA</v>
          </cell>
          <cell r="AG51" t="str">
            <v>SIM</v>
          </cell>
          <cell r="AI51">
            <v>8</v>
          </cell>
        </row>
        <row r="52">
          <cell r="B52" t="str">
            <v>ALISSON ROCHA MACHADO</v>
          </cell>
          <cell r="K52" t="str">
            <v>CAMPUS CURITIBA</v>
          </cell>
          <cell r="AG52" t="str">
            <v>NÃO</v>
          </cell>
          <cell r="AI52">
            <v>35</v>
          </cell>
        </row>
        <row r="53">
          <cell r="B53" t="str">
            <v>ALMIR PETERSEN BARRETO</v>
          </cell>
          <cell r="K53" t="str">
            <v>CAMPUS CURITIBA</v>
          </cell>
          <cell r="AG53" t="str">
            <v>SIM</v>
          </cell>
          <cell r="AI53">
            <v>29</v>
          </cell>
        </row>
        <row r="54">
          <cell r="B54" t="str">
            <v>ALTAIR OLIVO SANTIN</v>
          </cell>
          <cell r="K54" t="str">
            <v>CAMPUS CURITIBA</v>
          </cell>
          <cell r="AG54" t="str">
            <v>NÃO</v>
          </cell>
          <cell r="AI54">
            <v>28</v>
          </cell>
        </row>
        <row r="55">
          <cell r="B55" t="str">
            <v>ALTAIR ROSA</v>
          </cell>
          <cell r="K55" t="str">
            <v>CAMPUS CURITIBA</v>
          </cell>
          <cell r="AG55" t="str">
            <v>NÃO</v>
          </cell>
          <cell r="AI55">
            <v>34</v>
          </cell>
        </row>
        <row r="56">
          <cell r="B56" t="str">
            <v>ALVARO CESAR CAMARGO DO AMARANTE</v>
          </cell>
          <cell r="K56" t="str">
            <v>CAMPUS CURITIBA</v>
          </cell>
          <cell r="AG56" t="str">
            <v>SIM</v>
          </cell>
          <cell r="AI56">
            <v>31</v>
          </cell>
        </row>
        <row r="57">
          <cell r="B57" t="str">
            <v>ALVARO CESAR KRIECK DOS SANTOS</v>
          </cell>
          <cell r="K57" t="str">
            <v>CAMPUS CURITIBA</v>
          </cell>
          <cell r="AG57" t="str">
            <v>SIM</v>
          </cell>
          <cell r="AI57">
            <v>6</v>
          </cell>
        </row>
        <row r="58">
          <cell r="B58" t="str">
            <v>ALYSSON VITOR DA SILVA</v>
          </cell>
          <cell r="K58" t="str">
            <v>CAMPUS TOLEDO</v>
          </cell>
          <cell r="AG58" t="str">
            <v>SIM</v>
          </cell>
          <cell r="AI58">
            <v>10</v>
          </cell>
        </row>
        <row r="59">
          <cell r="B59" t="str">
            <v>AMALIA FERRONATO</v>
          </cell>
          <cell r="K59" t="str">
            <v>Campus Toledo</v>
          </cell>
          <cell r="AG59" t="str">
            <v>SIM</v>
          </cell>
          <cell r="AI59">
            <v>8</v>
          </cell>
        </row>
        <row r="60">
          <cell r="B60" t="str">
            <v>AMELIA DO CARMO SAMPAIO ROSSI</v>
          </cell>
          <cell r="K60" t="str">
            <v>CAMPUS CURITIBA</v>
          </cell>
          <cell r="AG60" t="str">
            <v>NÃO</v>
          </cell>
          <cell r="AI60">
            <v>32</v>
          </cell>
        </row>
        <row r="61">
          <cell r="B61" t="str">
            <v>ANA BEATRIZ COSTA SILVA</v>
          </cell>
          <cell r="K61" t="str">
            <v>CAMPUS CURITIBA</v>
          </cell>
          <cell r="AG61" t="str">
            <v>SIM</v>
          </cell>
          <cell r="AI61">
            <v>17</v>
          </cell>
        </row>
        <row r="62">
          <cell r="B62" t="str">
            <v>ANA BEATRIZ DIAS PINTO</v>
          </cell>
          <cell r="K62" t="str">
            <v>CAMPUS CURITIBA</v>
          </cell>
          <cell r="AG62" t="str">
            <v>SIM</v>
          </cell>
          <cell r="AI62">
            <v>6</v>
          </cell>
        </row>
        <row r="63">
          <cell r="B63" t="str">
            <v>ANA BEATRIZ FRANCISCO DE MELO</v>
          </cell>
          <cell r="K63" t="str">
            <v>CAMPUS TOLEDO</v>
          </cell>
          <cell r="AG63" t="str">
            <v>SIM</v>
          </cell>
          <cell r="AI63">
            <v>8</v>
          </cell>
        </row>
        <row r="64">
          <cell r="B64" t="str">
            <v>ANA CARLA CAMPOS HIDALGO DE ALMEIDA</v>
          </cell>
          <cell r="K64" t="str">
            <v>Campus Toledo</v>
          </cell>
          <cell r="AG64" t="str">
            <v>SIM</v>
          </cell>
          <cell r="AI64">
            <v>9</v>
          </cell>
        </row>
        <row r="65">
          <cell r="B65" t="str">
            <v>ANA CARLA EFING</v>
          </cell>
          <cell r="K65" t="str">
            <v>CAMPUS CURITIBA</v>
          </cell>
          <cell r="AG65" t="str">
            <v>SIM</v>
          </cell>
          <cell r="AI65">
            <v>10</v>
          </cell>
        </row>
        <row r="66">
          <cell r="B66" t="str">
            <v>ANA CARLA WERNECK</v>
          </cell>
          <cell r="K66" t="str">
            <v>CAMPUS CURITIBA</v>
          </cell>
          <cell r="AG66" t="str">
            <v>SIM</v>
          </cell>
          <cell r="AI66">
            <v>2</v>
          </cell>
        </row>
        <row r="67">
          <cell r="B67" t="str">
            <v>ANA CAROLINA DE SOUZA COSTA</v>
          </cell>
          <cell r="K67" t="str">
            <v>CAMPUS CURITIBA</v>
          </cell>
          <cell r="AG67" t="str">
            <v>SIM</v>
          </cell>
          <cell r="AI67">
            <v>40</v>
          </cell>
        </row>
        <row r="68">
          <cell r="B68" t="str">
            <v>ANA CAROLINE DARIVA CHULA</v>
          </cell>
          <cell r="K68" t="str">
            <v>CAMPUS CURITIBA</v>
          </cell>
          <cell r="AG68" t="str">
            <v>SIM</v>
          </cell>
          <cell r="AI68">
            <v>1</v>
          </cell>
        </row>
        <row r="69">
          <cell r="B69" t="str">
            <v>ANA CLARA SIMOES FLORIDO ALMEIDA</v>
          </cell>
          <cell r="K69" t="str">
            <v>CAMPUS CURITIBA</v>
          </cell>
          <cell r="AG69" t="str">
            <v>SIM</v>
          </cell>
          <cell r="AI69">
            <v>7</v>
          </cell>
        </row>
        <row r="70">
          <cell r="B70" t="str">
            <v>ANA CLAUDIA DA SILVA PALOMARES</v>
          </cell>
          <cell r="K70" t="str">
            <v>CAMPUS LONDRINA</v>
          </cell>
          <cell r="AG70" t="str">
            <v>NÃO</v>
          </cell>
          <cell r="AI70">
            <v>0</v>
          </cell>
        </row>
        <row r="71">
          <cell r="B71" t="str">
            <v>ANA CRISTINA DA SILVA DE LACERDA</v>
          </cell>
          <cell r="K71" t="str">
            <v>CAMPUS CURITIBA</v>
          </cell>
          <cell r="AG71" t="str">
            <v>SIM</v>
          </cell>
          <cell r="AI71">
            <v>14</v>
          </cell>
        </row>
        <row r="72">
          <cell r="B72" t="str">
            <v>ANA CRISTINA DA SILVA DO AMARAL HERRERA</v>
          </cell>
          <cell r="K72" t="str">
            <v>CAMPUS LONDRINA</v>
          </cell>
          <cell r="AG72" t="str">
            <v>SIM</v>
          </cell>
          <cell r="AI72">
            <v>14</v>
          </cell>
        </row>
        <row r="73">
          <cell r="B73" t="str">
            <v>ANA CRISTINA RAVAZZANI DE ALMEIDA FARIA</v>
          </cell>
          <cell r="K73" t="str">
            <v>CAMPUS CURITIBA</v>
          </cell>
          <cell r="AG73" t="str">
            <v>SIM</v>
          </cell>
          <cell r="AI73">
            <v>25</v>
          </cell>
        </row>
        <row r="74">
          <cell r="B74" t="str">
            <v>ANA CRISTINA SEIXAS GRECA</v>
          </cell>
          <cell r="K74" t="str">
            <v>CAMPUS CURITIBA</v>
          </cell>
          <cell r="AG74" t="str">
            <v>NÃO</v>
          </cell>
          <cell r="AI74">
            <v>40</v>
          </cell>
        </row>
        <row r="75">
          <cell r="B75" t="str">
            <v>ANA LUCIA TOLAZZI</v>
          </cell>
          <cell r="K75" t="str">
            <v>CAMPUS CURITIBA</v>
          </cell>
          <cell r="AG75" t="str">
            <v>SIM</v>
          </cell>
          <cell r="AI75">
            <v>3</v>
          </cell>
        </row>
        <row r="76">
          <cell r="B76" t="str">
            <v>ANA LUIZA CHALUSNHAK</v>
          </cell>
          <cell r="K76" t="str">
            <v>Campus Curitiba</v>
          </cell>
          <cell r="AG76" t="str">
            <v>SIM</v>
          </cell>
          <cell r="AI76">
            <v>0</v>
          </cell>
        </row>
        <row r="77">
          <cell r="B77" t="str">
            <v>ANA LUIZA DIAS VALIENTE ENGELHORN</v>
          </cell>
          <cell r="K77" t="str">
            <v>CAMPUS CURITIBA</v>
          </cell>
          <cell r="AG77" t="str">
            <v>SIM</v>
          </cell>
          <cell r="AI77">
            <v>14</v>
          </cell>
        </row>
        <row r="78">
          <cell r="B78" t="str">
            <v>ANA MAGDA MAGNANI</v>
          </cell>
          <cell r="K78" t="str">
            <v>CAMPUS CURITIBA</v>
          </cell>
          <cell r="AG78" t="str">
            <v>SIM</v>
          </cell>
          <cell r="AI78">
            <v>24</v>
          </cell>
        </row>
        <row r="79">
          <cell r="B79" t="str">
            <v>ANA MARIA EYNG</v>
          </cell>
          <cell r="K79" t="str">
            <v>CAMPUS CURITIBA</v>
          </cell>
          <cell r="AG79" t="str">
            <v>NÃO</v>
          </cell>
          <cell r="AI79">
            <v>32</v>
          </cell>
        </row>
        <row r="80">
          <cell r="B80" t="str">
            <v>ANA PAULA BIAOBOK</v>
          </cell>
          <cell r="K80" t="str">
            <v>CAMPUS CURITIBA</v>
          </cell>
          <cell r="AG80" t="str">
            <v>NÃO</v>
          </cell>
          <cell r="AI80">
            <v>0</v>
          </cell>
        </row>
        <row r="81">
          <cell r="B81" t="str">
            <v>ANA PAULA CUNHA LOUREIRO</v>
          </cell>
          <cell r="K81" t="str">
            <v>CAMPUS CURITIBA</v>
          </cell>
          <cell r="AG81" t="str">
            <v>SIM</v>
          </cell>
          <cell r="AI81">
            <v>18</v>
          </cell>
        </row>
        <row r="82">
          <cell r="B82" t="str">
            <v>ANA PAULA DE ALMEIDA ROCHA</v>
          </cell>
          <cell r="K82" t="str">
            <v>CAMPUS CURITIBA</v>
          </cell>
          <cell r="AG82" t="str">
            <v>NÃO</v>
          </cell>
          <cell r="AI82">
            <v>32</v>
          </cell>
        </row>
        <row r="83">
          <cell r="B83" t="str">
            <v>ANA PAULA GULARTE LIBERATO</v>
          </cell>
          <cell r="K83" t="str">
            <v>CAMPUS CURITIBA</v>
          </cell>
          <cell r="AG83" t="str">
            <v>NÃO</v>
          </cell>
          <cell r="AI83">
            <v>28</v>
          </cell>
        </row>
        <row r="84">
          <cell r="B84" t="str">
            <v>ANA PAULA KUCZYNSKI PEDRO BOM</v>
          </cell>
          <cell r="K84" t="str">
            <v>CAMPUS CURITIBA</v>
          </cell>
          <cell r="AG84" t="str">
            <v>SIM</v>
          </cell>
          <cell r="AI84">
            <v>30</v>
          </cell>
        </row>
        <row r="85">
          <cell r="B85" t="str">
            <v>ANA PAULA MODESTO</v>
          </cell>
          <cell r="K85" t="str">
            <v>CAMPUS CURITIBA</v>
          </cell>
          <cell r="AG85" t="str">
            <v>SIM</v>
          </cell>
          <cell r="AI85">
            <v>6</v>
          </cell>
        </row>
        <row r="86">
          <cell r="B86" t="str">
            <v>ANA PAULA SAKR HUBIE</v>
          </cell>
          <cell r="K86" t="str">
            <v>Campus Toledo</v>
          </cell>
          <cell r="AG86" t="str">
            <v>SIM</v>
          </cell>
          <cell r="AI86">
            <v>4</v>
          </cell>
        </row>
        <row r="87">
          <cell r="B87" t="str">
            <v>ANA PRISCILLA CHRISTIANO</v>
          </cell>
          <cell r="K87" t="str">
            <v>CAMPUS LONDRINA</v>
          </cell>
          <cell r="AG87" t="str">
            <v>SIM</v>
          </cell>
          <cell r="AI87">
            <v>9</v>
          </cell>
        </row>
        <row r="88">
          <cell r="B88" t="str">
            <v>ANA VALERIA DE PIERI BRANCHER ALVAREZ</v>
          </cell>
          <cell r="K88" t="str">
            <v>CAMPUS CURITIBA</v>
          </cell>
          <cell r="AG88" t="str">
            <v>SIM</v>
          </cell>
          <cell r="AI88">
            <v>0</v>
          </cell>
        </row>
        <row r="89">
          <cell r="B89" t="str">
            <v>ANA VITORIA CASSIS DOS SANTOS GASPARINE</v>
          </cell>
          <cell r="K89" t="str">
            <v>CAMPUS LONDRINA</v>
          </cell>
          <cell r="AG89" t="str">
            <v>SIM</v>
          </cell>
          <cell r="AI89">
            <v>4</v>
          </cell>
        </row>
        <row r="90">
          <cell r="B90" t="str">
            <v>ANDERSON LUIS SZEJKA</v>
          </cell>
          <cell r="K90" t="str">
            <v>CAMPUS CURITIBA</v>
          </cell>
          <cell r="AG90" t="str">
            <v>NÃO</v>
          </cell>
          <cell r="AI90">
            <v>40</v>
          </cell>
        </row>
        <row r="91">
          <cell r="B91" t="str">
            <v>ANDERSON LUIZ CHAGAS</v>
          </cell>
          <cell r="K91" t="str">
            <v>CAMPUS CURITIBA</v>
          </cell>
          <cell r="AG91" t="str">
            <v>SIM</v>
          </cell>
          <cell r="AI91">
            <v>14</v>
          </cell>
        </row>
        <row r="92">
          <cell r="B92" t="str">
            <v>ANDERSON NITSCHE</v>
          </cell>
          <cell r="K92" t="str">
            <v>CAMPUS CURITIBA</v>
          </cell>
          <cell r="AG92" t="str">
            <v>SIM</v>
          </cell>
          <cell r="AI92">
            <v>18</v>
          </cell>
        </row>
        <row r="93">
          <cell r="B93" t="str">
            <v>ANDERSON PETRAUSKAS</v>
          </cell>
          <cell r="K93" t="str">
            <v>CAMPUS CURITIBA</v>
          </cell>
          <cell r="AG93" t="str">
            <v>SIM</v>
          </cell>
          <cell r="AI93">
            <v>2</v>
          </cell>
        </row>
        <row r="94">
          <cell r="B94" t="str">
            <v>ANDERSON VERMONDE HAMILKO</v>
          </cell>
          <cell r="K94" t="str">
            <v>CAMPUS CURITIBA</v>
          </cell>
          <cell r="AG94" t="str">
            <v>SIM</v>
          </cell>
          <cell r="AI94">
            <v>22</v>
          </cell>
        </row>
        <row r="95">
          <cell r="B95" t="str">
            <v>ANDRE BITTENCOURT LORUSSO</v>
          </cell>
          <cell r="K95" t="str">
            <v>CAMPUS CURITIBA</v>
          </cell>
          <cell r="AG95" t="str">
            <v>NÃO</v>
          </cell>
          <cell r="AI95">
            <v>28</v>
          </cell>
        </row>
        <row r="96">
          <cell r="B96" t="str">
            <v>ANDRE GOBETTE SANTANA</v>
          </cell>
          <cell r="K96" t="str">
            <v>CAMPUS LONDRINA</v>
          </cell>
          <cell r="AG96" t="str">
            <v>SIM</v>
          </cell>
          <cell r="AI96">
            <v>0</v>
          </cell>
        </row>
        <row r="97">
          <cell r="B97" t="str">
            <v>ANDRE GUSTAVO HOCHULI</v>
          </cell>
          <cell r="K97" t="str">
            <v>CAMPUS CURITIBA</v>
          </cell>
          <cell r="AG97" t="str">
            <v>NÃO</v>
          </cell>
          <cell r="AI97">
            <v>30</v>
          </cell>
        </row>
        <row r="98">
          <cell r="B98" t="str">
            <v>ANDRE LUIZ BATISTA</v>
          </cell>
          <cell r="K98" t="str">
            <v>Campus Toledo</v>
          </cell>
          <cell r="AG98" t="str">
            <v>NÃO</v>
          </cell>
          <cell r="AI98">
            <v>27</v>
          </cell>
        </row>
        <row r="99">
          <cell r="B99" t="str">
            <v>ANDRE LUIZ BRAGA TURBAY</v>
          </cell>
          <cell r="K99" t="str">
            <v>CAMPUS CURITIBA</v>
          </cell>
          <cell r="AG99" t="str">
            <v>SIM</v>
          </cell>
          <cell r="AI99">
            <v>12</v>
          </cell>
        </row>
        <row r="100">
          <cell r="B100" t="str">
            <v>ANDRE OSTRENSKY</v>
          </cell>
          <cell r="K100" t="str">
            <v>CAMPUS CURITIBA</v>
          </cell>
          <cell r="AG100" t="str">
            <v>SIM</v>
          </cell>
          <cell r="AI100">
            <v>10</v>
          </cell>
        </row>
        <row r="101">
          <cell r="B101" t="str">
            <v>ANDRE PARMO FOLLONI</v>
          </cell>
          <cell r="K101" t="str">
            <v>CAMPUS CURITIBA</v>
          </cell>
          <cell r="AG101" t="str">
            <v>NÃO</v>
          </cell>
          <cell r="AI101">
            <v>36</v>
          </cell>
        </row>
        <row r="102">
          <cell r="B102" t="str">
            <v>ANDRE ROGERIO BERTO</v>
          </cell>
          <cell r="K102" t="str">
            <v>Campus Londrina</v>
          </cell>
          <cell r="AG102" t="str">
            <v>SIM</v>
          </cell>
          <cell r="AI102">
            <v>4</v>
          </cell>
        </row>
        <row r="103">
          <cell r="B103" t="str">
            <v>ANDRE TAVARES SOMMA</v>
          </cell>
          <cell r="K103" t="str">
            <v>CAMPUS CURITIBA</v>
          </cell>
          <cell r="AG103" t="str">
            <v>SIM</v>
          </cell>
          <cell r="AI103">
            <v>12</v>
          </cell>
        </row>
        <row r="104">
          <cell r="B104" t="str">
            <v>ANDREA DUARTE DOETZER</v>
          </cell>
          <cell r="K104" t="str">
            <v>CAMPUS CURITIBA</v>
          </cell>
          <cell r="AG104" t="str">
            <v>SIM</v>
          </cell>
          <cell r="AI104">
            <v>4</v>
          </cell>
        </row>
        <row r="105">
          <cell r="B105" t="str">
            <v>ANDREA LUIZA CURRALINHO BRAGA</v>
          </cell>
          <cell r="K105" t="str">
            <v>CAMPUS CURITIBA</v>
          </cell>
          <cell r="AG105" t="str">
            <v>NÃO</v>
          </cell>
          <cell r="AI105">
            <v>26</v>
          </cell>
        </row>
        <row r="106">
          <cell r="B106" t="str">
            <v>ANDREA MORA DE MARCO NOVELLINO</v>
          </cell>
          <cell r="K106" t="str">
            <v>CAMPUS CURITIBA</v>
          </cell>
          <cell r="AG106" t="str">
            <v>SIM</v>
          </cell>
          <cell r="AI106">
            <v>3</v>
          </cell>
        </row>
        <row r="107">
          <cell r="B107" t="str">
            <v>ANDREA NOVAIS MORENO AMARAL</v>
          </cell>
          <cell r="K107" t="str">
            <v>CAMPUS CURITIBA</v>
          </cell>
          <cell r="AG107" t="str">
            <v>NÃO</v>
          </cell>
          <cell r="AI107">
            <v>36</v>
          </cell>
        </row>
        <row r="108">
          <cell r="B108" t="str">
            <v>ANDREA PAULA FREGONEZE</v>
          </cell>
          <cell r="K108" t="str">
            <v>CAMPUS CURITIBA</v>
          </cell>
          <cell r="AG108" t="str">
            <v>SIM</v>
          </cell>
          <cell r="AI108">
            <v>4</v>
          </cell>
        </row>
        <row r="109">
          <cell r="B109" t="str">
            <v>ANDREA ROLOFF LOPES</v>
          </cell>
          <cell r="K109" t="str">
            <v>CAMPUS CURITIBA</v>
          </cell>
          <cell r="AG109" t="str">
            <v>SIM</v>
          </cell>
          <cell r="AI109">
            <v>6</v>
          </cell>
        </row>
        <row r="110">
          <cell r="B110" t="str">
            <v>ANDREA TROVO LOPES</v>
          </cell>
          <cell r="K110" t="str">
            <v>CAMPUS CURITIBA</v>
          </cell>
          <cell r="AG110" t="str">
            <v>NÃO</v>
          </cell>
          <cell r="AI110">
            <v>0</v>
          </cell>
        </row>
        <row r="111">
          <cell r="B111" t="str">
            <v>ANDREA TUCHTENHAGEN WENDT</v>
          </cell>
          <cell r="K111" t="str">
            <v>CAMPUS CURITIBA</v>
          </cell>
          <cell r="AG111" t="str">
            <v>NÃO</v>
          </cell>
          <cell r="AI111">
            <v>31</v>
          </cell>
        </row>
        <row r="112">
          <cell r="B112" t="str">
            <v>ANDREI RAFAEL BRONGEL</v>
          </cell>
          <cell r="K112" t="str">
            <v>CAMPUS CURITIBA</v>
          </cell>
          <cell r="AG112" t="str">
            <v>SIM</v>
          </cell>
          <cell r="AI112">
            <v>4</v>
          </cell>
        </row>
        <row r="113">
          <cell r="B113" t="str">
            <v>ANDREIA CRISTINA SERRATO</v>
          </cell>
          <cell r="K113" t="str">
            <v>CAMPUS CURITIBA</v>
          </cell>
          <cell r="AG113" t="str">
            <v>NÃO</v>
          </cell>
          <cell r="AI113">
            <v>30</v>
          </cell>
        </row>
        <row r="114">
          <cell r="B114" t="str">
            <v>ANDREIA CUNHA</v>
          </cell>
          <cell r="K114" t="str">
            <v>CAMPUS CURITIBA</v>
          </cell>
          <cell r="AG114" t="str">
            <v>SIM</v>
          </cell>
          <cell r="AI114">
            <v>4</v>
          </cell>
        </row>
        <row r="115">
          <cell r="B115" t="str">
            <v>ANDREIA MALUCELLI</v>
          </cell>
          <cell r="K115" t="str">
            <v>CAMPUS CURITIBA</v>
          </cell>
          <cell r="AG115" t="str">
            <v>NÃO</v>
          </cell>
          <cell r="AI115">
            <v>40</v>
          </cell>
        </row>
        <row r="116">
          <cell r="B116" t="str">
            <v>ANDREIA RIBEIRO DA LUZ</v>
          </cell>
          <cell r="K116" t="str">
            <v>CAMPUS CURITIBA</v>
          </cell>
          <cell r="AG116" t="str">
            <v>NÃO</v>
          </cell>
          <cell r="AI116">
            <v>20</v>
          </cell>
        </row>
        <row r="117">
          <cell r="B117" t="str">
            <v>ANDRESSA BEHER LORANDI</v>
          </cell>
          <cell r="K117" t="str">
            <v>CAMPUS CURITIBA</v>
          </cell>
          <cell r="AG117" t="str">
            <v>NÃO</v>
          </cell>
          <cell r="AI117">
            <v>0</v>
          </cell>
        </row>
        <row r="118">
          <cell r="B118" t="str">
            <v>ANDRESSA MARIANNE SALLES ENGELMANN</v>
          </cell>
          <cell r="K118" t="str">
            <v>CAMPUS CURITIBA</v>
          </cell>
          <cell r="AG118" t="str">
            <v>SIM</v>
          </cell>
          <cell r="AI118">
            <v>20</v>
          </cell>
        </row>
        <row r="119">
          <cell r="B119" t="str">
            <v>ANDREY CABRAL MEIRA</v>
          </cell>
          <cell r="K119" t="str">
            <v>CAMPUS CURITIBA</v>
          </cell>
          <cell r="AG119" t="str">
            <v>SIM</v>
          </cell>
          <cell r="AI119">
            <v>10</v>
          </cell>
        </row>
        <row r="120">
          <cell r="B120" t="str">
            <v>ANDREZA CRISTINA BAGGIO</v>
          </cell>
          <cell r="K120" t="str">
            <v>Campus Curitiba</v>
          </cell>
          <cell r="AG120" t="str">
            <v>SIM</v>
          </cell>
          <cell r="AI120">
            <v>0</v>
          </cell>
        </row>
        <row r="121">
          <cell r="B121" t="str">
            <v>ANDREZA DE SOUSA VIEIRA</v>
          </cell>
          <cell r="K121" t="str">
            <v>CAMPUS CURITIBA</v>
          </cell>
          <cell r="AG121" t="str">
            <v>NÃO</v>
          </cell>
          <cell r="AI121">
            <v>22</v>
          </cell>
        </row>
        <row r="122">
          <cell r="B122" t="str">
            <v>ANDRIELI CAROLINE MEHL</v>
          </cell>
          <cell r="K122" t="str">
            <v>Campus Curitiba</v>
          </cell>
          <cell r="AG122" t="str">
            <v>SIM</v>
          </cell>
          <cell r="AI122">
            <v>7</v>
          </cell>
        </row>
        <row r="123">
          <cell r="B123" t="str">
            <v>ANGELA BONJORNO ARANTES</v>
          </cell>
          <cell r="K123" t="str">
            <v>CAMPUS CURITIBA</v>
          </cell>
          <cell r="AG123" t="str">
            <v>SIM</v>
          </cell>
          <cell r="AI123">
            <v>10</v>
          </cell>
        </row>
        <row r="124">
          <cell r="B124" t="str">
            <v>ANGELA CRISTIANE SANTOS POVOA</v>
          </cell>
          <cell r="K124" t="str">
            <v>CAMPUS CURITIBA</v>
          </cell>
          <cell r="AG124" t="str">
            <v>NÃO</v>
          </cell>
          <cell r="AI124">
            <v>40</v>
          </cell>
        </row>
        <row r="125">
          <cell r="B125" t="str">
            <v>ANGELA CRISTINA CARARO</v>
          </cell>
          <cell r="K125" t="str">
            <v>CAMPUS CURITIBA</v>
          </cell>
          <cell r="AG125" t="str">
            <v>SIM</v>
          </cell>
          <cell r="AI125">
            <v>6</v>
          </cell>
        </row>
        <row r="126">
          <cell r="B126" t="str">
            <v>ANGELA CRISTINA RAIMONDI</v>
          </cell>
          <cell r="K126" t="str">
            <v>CAMPUS CURITIBA</v>
          </cell>
          <cell r="AG126" t="str">
            <v>SIM</v>
          </cell>
          <cell r="AI126">
            <v>14</v>
          </cell>
        </row>
        <row r="127">
          <cell r="B127" t="str">
            <v>ANGELA LEITAO SALLEM</v>
          </cell>
          <cell r="K127" t="str">
            <v>CAMPUS CURITIBA</v>
          </cell>
          <cell r="AG127" t="str">
            <v>NÃO</v>
          </cell>
          <cell r="AI127">
            <v>40</v>
          </cell>
        </row>
        <row r="128">
          <cell r="B128" t="str">
            <v>ANNA CATARINA GATZK DE ARRUDA</v>
          </cell>
          <cell r="K128" t="str">
            <v>CAMPUS LONDRINA</v>
          </cell>
          <cell r="AG128" t="str">
            <v>SIM</v>
          </cell>
          <cell r="AI128">
            <v>2</v>
          </cell>
        </row>
        <row r="129">
          <cell r="B129" t="str">
            <v>ANNA FLAVIA RIBEIRO DOS SANTOS MIGGIOLARO</v>
          </cell>
          <cell r="K129" t="str">
            <v>CAMPUS CURITIBA</v>
          </cell>
          <cell r="AG129" t="str">
            <v>SIM</v>
          </cell>
          <cell r="AI129">
            <v>9</v>
          </cell>
        </row>
        <row r="130">
          <cell r="B130" t="str">
            <v>ANNA HERMINIA CASTRO GOMES DE AMORIM</v>
          </cell>
          <cell r="K130" t="str">
            <v>CAMPUS LONDRINA</v>
          </cell>
          <cell r="AG130" t="str">
            <v>SIM</v>
          </cell>
          <cell r="AI130">
            <v>7</v>
          </cell>
        </row>
        <row r="131">
          <cell r="B131" t="str">
            <v>ANNA LUISA WALTER DE SANTANA</v>
          </cell>
          <cell r="K131" t="str">
            <v>CAMPUS CURITIBA</v>
          </cell>
          <cell r="AG131" t="str">
            <v>NÃO</v>
          </cell>
          <cell r="AI131">
            <v>36</v>
          </cell>
        </row>
        <row r="132">
          <cell r="B132" t="str">
            <v>ANNA PAULA ZANONI STEINKE</v>
          </cell>
          <cell r="K132" t="str">
            <v>CAMPUS CURITIBA</v>
          </cell>
          <cell r="AG132" t="str">
            <v>SIM</v>
          </cell>
          <cell r="AI132">
            <v>6</v>
          </cell>
        </row>
        <row r="133">
          <cell r="B133" t="str">
            <v>ANOR SGANZERLA</v>
          </cell>
          <cell r="K133" t="str">
            <v>CAMPUS CURITIBA</v>
          </cell>
          <cell r="AG133" t="str">
            <v>NÃO</v>
          </cell>
          <cell r="AI133">
            <v>30</v>
          </cell>
        </row>
        <row r="134">
          <cell r="B134" t="str">
            <v>ANTONIO CARLOS EFING</v>
          </cell>
          <cell r="K134" t="str">
            <v>CAMPUS CURITIBA</v>
          </cell>
          <cell r="AG134" t="str">
            <v>NÃO</v>
          </cell>
          <cell r="AI134">
            <v>32</v>
          </cell>
        </row>
        <row r="135">
          <cell r="B135" t="str">
            <v>ANTONIO CARLOS KOVALESKI</v>
          </cell>
          <cell r="K135" t="str">
            <v>CAMPUS CURITIBA</v>
          </cell>
          <cell r="AG135" t="str">
            <v>SIM</v>
          </cell>
          <cell r="AI135">
            <v>4</v>
          </cell>
        </row>
        <row r="136">
          <cell r="B136" t="str">
            <v>ANTONIO CARLOS MERCER</v>
          </cell>
          <cell r="K136" t="str">
            <v>CAMPUS CURITIBA</v>
          </cell>
          <cell r="AG136" t="str">
            <v>NÃO</v>
          </cell>
          <cell r="AI136">
            <v>32</v>
          </cell>
        </row>
        <row r="137">
          <cell r="B137" t="str">
            <v>ANTONIO CARLOS PINTO JACHINOSKI</v>
          </cell>
          <cell r="K137" t="str">
            <v>CAMPUS CURITIBA</v>
          </cell>
          <cell r="AG137" t="str">
            <v>SIM</v>
          </cell>
          <cell r="AI137">
            <v>4</v>
          </cell>
        </row>
        <row r="138">
          <cell r="B138" t="str">
            <v>ANTONIO CLAUDIO KOZIKOSKI JUNIOR</v>
          </cell>
          <cell r="K138" t="str">
            <v>CAMPUS CURITIBA</v>
          </cell>
          <cell r="AG138" t="str">
            <v>NÃO</v>
          </cell>
          <cell r="AI138">
            <v>36</v>
          </cell>
        </row>
        <row r="139">
          <cell r="B139" t="str">
            <v>ANTONIO DAVID VINISKI</v>
          </cell>
          <cell r="K139" t="str">
            <v>CAMPUS CURITIBA</v>
          </cell>
          <cell r="AG139" t="str">
            <v>NÃO</v>
          </cell>
          <cell r="AI139">
            <v>32</v>
          </cell>
        </row>
        <row r="140">
          <cell r="B140" t="str">
            <v>ARAMIS HORNUNG MORAES</v>
          </cell>
          <cell r="K140" t="str">
            <v>CAMPUS CURITIBA</v>
          </cell>
          <cell r="AG140" t="str">
            <v>SIM</v>
          </cell>
          <cell r="AI140">
            <v>0</v>
          </cell>
        </row>
        <row r="141">
          <cell r="B141" t="str">
            <v>ARIANA MOURA GOMES</v>
          </cell>
          <cell r="K141" t="str">
            <v>CAMPUS CURITIBA</v>
          </cell>
          <cell r="AG141" t="str">
            <v>SIM</v>
          </cell>
          <cell r="AI141">
            <v>10</v>
          </cell>
        </row>
        <row r="142">
          <cell r="B142" t="str">
            <v>ARLEY DE ALMEIDA</v>
          </cell>
          <cell r="K142" t="str">
            <v>CAMPUS CURITIBA</v>
          </cell>
          <cell r="AG142" t="str">
            <v>SIM</v>
          </cell>
          <cell r="AI142">
            <v>1</v>
          </cell>
        </row>
        <row r="143">
          <cell r="B143" t="str">
            <v>ARNALDO CARLOS MULLER JUNIOR</v>
          </cell>
          <cell r="K143" t="str">
            <v>CAMPUS CURITIBA</v>
          </cell>
          <cell r="AG143" t="str">
            <v>SIM</v>
          </cell>
          <cell r="AI143">
            <v>10</v>
          </cell>
        </row>
        <row r="144">
          <cell r="B144" t="str">
            <v>ARTUR DE FRANCA MITTELBACH</v>
          </cell>
          <cell r="K144" t="str">
            <v>CAMPUS CURITIBA</v>
          </cell>
          <cell r="AG144" t="str">
            <v>SIM</v>
          </cell>
          <cell r="AI144">
            <v>10</v>
          </cell>
        </row>
        <row r="145">
          <cell r="B145" t="str">
            <v>ARYEL MARLUS REPULA DE OLIVEIRA</v>
          </cell>
          <cell r="K145" t="str">
            <v>Campus Curitiba</v>
          </cell>
          <cell r="AG145" t="str">
            <v>SIM</v>
          </cell>
          <cell r="AI145">
            <v>2</v>
          </cell>
        </row>
        <row r="146">
          <cell r="B146" t="str">
            <v>AUDREY TIEKO TSUNODA</v>
          </cell>
          <cell r="K146" t="str">
            <v>CAMPUS CURITIBA</v>
          </cell>
          <cell r="AG146" t="str">
            <v>NÃO</v>
          </cell>
          <cell r="AI146">
            <v>12</v>
          </cell>
        </row>
        <row r="147">
          <cell r="B147" t="str">
            <v>AURISTELA DUARTE DE LIMA MOSER</v>
          </cell>
          <cell r="K147" t="str">
            <v>CAMPUS CURITIBA</v>
          </cell>
          <cell r="AG147" t="str">
            <v>NÃO</v>
          </cell>
          <cell r="AI147">
            <v>32</v>
          </cell>
        </row>
        <row r="148">
          <cell r="B148" t="str">
            <v>BANY NARONDY CABRAL LIMA</v>
          </cell>
          <cell r="K148" t="str">
            <v>CAMPUS CURITIBA</v>
          </cell>
          <cell r="AG148" t="str">
            <v>SIM</v>
          </cell>
          <cell r="AI148">
            <v>6</v>
          </cell>
        </row>
        <row r="149">
          <cell r="B149" t="str">
            <v>BARBARA PICK ORNAGHI</v>
          </cell>
          <cell r="K149" t="str">
            <v>CAMPUS CURITIBA</v>
          </cell>
          <cell r="AG149" t="str">
            <v>NÃO</v>
          </cell>
          <cell r="AI149">
            <v>28</v>
          </cell>
        </row>
        <row r="150">
          <cell r="B150" t="str">
            <v>BARBARA RAQUEL DO PRADO GIMENEZ CORREA</v>
          </cell>
          <cell r="K150" t="str">
            <v>CAMPUS CURITIBA</v>
          </cell>
          <cell r="AG150" t="str">
            <v>SIM</v>
          </cell>
          <cell r="AI150">
            <v>10</v>
          </cell>
        </row>
        <row r="151">
          <cell r="B151" t="str">
            <v>BARBARA STADLER KAHLOW</v>
          </cell>
          <cell r="K151" t="str">
            <v>CAMPUS CURITIBA</v>
          </cell>
          <cell r="AG151" t="str">
            <v>SIM</v>
          </cell>
          <cell r="AI151">
            <v>4</v>
          </cell>
        </row>
        <row r="152">
          <cell r="B152" t="str">
            <v>BEATRIZ DAOU VERENHITACH</v>
          </cell>
          <cell r="K152" t="str">
            <v>CAMPUS LONDRINA</v>
          </cell>
          <cell r="AG152" t="str">
            <v>SIM</v>
          </cell>
          <cell r="AI152">
            <v>12</v>
          </cell>
        </row>
        <row r="153">
          <cell r="B153" t="str">
            <v>BEATRIZ LUCI FERNANDES</v>
          </cell>
          <cell r="K153" t="str">
            <v>CAMPUS CURITIBA</v>
          </cell>
          <cell r="AG153" t="str">
            <v>NÃO</v>
          </cell>
          <cell r="AI153">
            <v>32</v>
          </cell>
        </row>
        <row r="154">
          <cell r="B154" t="str">
            <v>BEATRIZ MOREIRA BEZERRA VIEIRA</v>
          </cell>
          <cell r="K154" t="str">
            <v>Campus Curitiba</v>
          </cell>
          <cell r="AG154" t="str">
            <v>SIM</v>
          </cell>
          <cell r="AI154">
            <v>12</v>
          </cell>
        </row>
        <row r="155">
          <cell r="B155" t="str">
            <v>BEATRIZ POLIDORI ZECHLINSKI</v>
          </cell>
          <cell r="K155" t="str">
            <v>CAMPUS CURITIBA</v>
          </cell>
          <cell r="AG155" t="str">
            <v>SIM</v>
          </cell>
          <cell r="AI155">
            <v>12</v>
          </cell>
        </row>
        <row r="156">
          <cell r="B156" t="str">
            <v>BERNARDO STROBEL GUIMARAES</v>
          </cell>
          <cell r="K156" t="str">
            <v>CAMPUS CURITIBA</v>
          </cell>
          <cell r="AG156" t="str">
            <v>SIM</v>
          </cell>
          <cell r="AI156">
            <v>4</v>
          </cell>
        </row>
        <row r="157">
          <cell r="B157" t="str">
            <v>BIANCA MENDES RATI</v>
          </cell>
          <cell r="K157" t="str">
            <v>CAMPUS CURITIBA</v>
          </cell>
          <cell r="AG157" t="str">
            <v>SIM</v>
          </cell>
          <cell r="AI157">
            <v>22</v>
          </cell>
        </row>
        <row r="158">
          <cell r="B158" t="str">
            <v>BORTOLO VALLE</v>
          </cell>
          <cell r="K158" t="str">
            <v>CAMPUS CURITIBA</v>
          </cell>
          <cell r="AG158" t="str">
            <v>NÃO</v>
          </cell>
          <cell r="AI158">
            <v>32</v>
          </cell>
        </row>
        <row r="159">
          <cell r="B159" t="str">
            <v>BRENDA GISELLE SANCHEZ LEYTON</v>
          </cell>
          <cell r="K159" t="str">
            <v>CAMPUS CURITIBA</v>
          </cell>
          <cell r="AG159" t="str">
            <v>SIM</v>
          </cell>
          <cell r="AI159">
            <v>2</v>
          </cell>
        </row>
        <row r="160">
          <cell r="B160" t="str">
            <v>BRUNA LUIZA DO NASCIMENTO GONCHOROSKY</v>
          </cell>
          <cell r="K160" t="str">
            <v>Campus Curitiba</v>
          </cell>
          <cell r="AG160" t="str">
            <v>SIM</v>
          </cell>
          <cell r="AI160">
            <v>1</v>
          </cell>
        </row>
        <row r="161">
          <cell r="B161" t="str">
            <v>BRUNA MARIA DE SOUZA</v>
          </cell>
          <cell r="K161" t="str">
            <v>CAMPUS LONDRINA</v>
          </cell>
          <cell r="AG161" t="str">
            <v>SIM</v>
          </cell>
          <cell r="AI161">
            <v>8</v>
          </cell>
        </row>
        <row r="162">
          <cell r="B162" t="str">
            <v>BRUNA MARTINS DZIVIELEVSKI DA CAMARA</v>
          </cell>
          <cell r="K162" t="str">
            <v>CAMPUS CURITIBA</v>
          </cell>
          <cell r="AG162" t="str">
            <v>SIM</v>
          </cell>
          <cell r="AI162">
            <v>9</v>
          </cell>
        </row>
        <row r="163">
          <cell r="B163" t="str">
            <v>BRUNA ROBERTA SILVEIRA BERBERT</v>
          </cell>
          <cell r="K163" t="str">
            <v>CAMPUS CURITIBA</v>
          </cell>
          <cell r="AG163" t="str">
            <v>SIM</v>
          </cell>
          <cell r="AI163">
            <v>6</v>
          </cell>
        </row>
        <row r="164">
          <cell r="B164" t="str">
            <v>BRUNO AUGUSTO HASENAUER ZAITTER</v>
          </cell>
          <cell r="K164" t="str">
            <v>CAMPUS CURITIBA</v>
          </cell>
          <cell r="AG164" t="str">
            <v>SIM</v>
          </cell>
          <cell r="AI164">
            <v>4</v>
          </cell>
        </row>
        <row r="165">
          <cell r="B165" t="str">
            <v>BRUNO AZZANI BRAGA</v>
          </cell>
          <cell r="K165" t="str">
            <v>CAMPUS CURITIBA</v>
          </cell>
          <cell r="AG165" t="str">
            <v>SIM</v>
          </cell>
          <cell r="AI165">
            <v>4</v>
          </cell>
        </row>
        <row r="166">
          <cell r="B166" t="str">
            <v>BRUNO BERTOLI ESMANHOTTO</v>
          </cell>
          <cell r="K166" t="str">
            <v>CAMPUS CURITIBA</v>
          </cell>
          <cell r="AG166" t="str">
            <v>SIM</v>
          </cell>
          <cell r="AI166">
            <v>8</v>
          </cell>
        </row>
        <row r="167">
          <cell r="B167" t="str">
            <v>BRUNO CAMPAGNOLO DE PAULA</v>
          </cell>
          <cell r="K167" t="str">
            <v>CAMPUS CURITIBA</v>
          </cell>
          <cell r="AG167" t="str">
            <v>NÃO</v>
          </cell>
          <cell r="AI167">
            <v>36</v>
          </cell>
        </row>
        <row r="168">
          <cell r="B168" t="str">
            <v>BRUNO HENRIQUE DO ROSARIO XAVIER</v>
          </cell>
          <cell r="K168" t="str">
            <v>Campus Curitiba</v>
          </cell>
          <cell r="AG168" t="str">
            <v>SIM</v>
          </cell>
          <cell r="AI168">
            <v>0</v>
          </cell>
        </row>
        <row r="169">
          <cell r="B169" t="str">
            <v>BRUNO LEAL VIANNA</v>
          </cell>
          <cell r="K169" t="str">
            <v>CAMPUS CURITIBA</v>
          </cell>
          <cell r="AG169" t="str">
            <v>SIM</v>
          </cell>
          <cell r="AI169">
            <v>10</v>
          </cell>
        </row>
        <row r="170">
          <cell r="B170" t="str">
            <v>BRUNO MENESES LORENZETTO</v>
          </cell>
          <cell r="K170" t="str">
            <v>CAMPUS CURITIBA</v>
          </cell>
          <cell r="AG170" t="str">
            <v>SIM</v>
          </cell>
          <cell r="AI170">
            <v>4</v>
          </cell>
        </row>
        <row r="171">
          <cell r="B171" t="str">
            <v>BRUNO RAPHAEL DA CUNHA DOBICZ</v>
          </cell>
          <cell r="K171" t="str">
            <v>CAMPUS LONDRINA</v>
          </cell>
          <cell r="AG171" t="str">
            <v>SIM</v>
          </cell>
          <cell r="AI171">
            <v>7</v>
          </cell>
        </row>
        <row r="172">
          <cell r="B172" t="str">
            <v>BRUNO SPADONI</v>
          </cell>
          <cell r="K172" t="str">
            <v>CAMPUS CURITIBA</v>
          </cell>
          <cell r="AG172" t="str">
            <v>SIM</v>
          </cell>
          <cell r="AI172">
            <v>8</v>
          </cell>
        </row>
        <row r="173">
          <cell r="B173" t="str">
            <v>BRYAN LUIZ PONTAROLA</v>
          </cell>
          <cell r="K173" t="str">
            <v>CAMPUS CURITIBA</v>
          </cell>
          <cell r="AG173" t="str">
            <v>NÃO</v>
          </cell>
          <cell r="AI173">
            <v>0</v>
          </cell>
        </row>
        <row r="174">
          <cell r="B174" t="str">
            <v>CAINA ALVES</v>
          </cell>
          <cell r="K174" t="str">
            <v>CAMPUS CURITIBA</v>
          </cell>
          <cell r="AG174" t="str">
            <v>SIM</v>
          </cell>
          <cell r="AI174">
            <v>12</v>
          </cell>
        </row>
        <row r="175">
          <cell r="B175" t="str">
            <v>CAIO AUGUSTO CAMARGO DA SILVA</v>
          </cell>
          <cell r="K175" t="str">
            <v>CAMPUS CURITIBA</v>
          </cell>
          <cell r="AG175" t="str">
            <v>NÃO</v>
          </cell>
          <cell r="AI175">
            <v>34</v>
          </cell>
        </row>
        <row r="176">
          <cell r="B176" t="str">
            <v>CAIO CESAR SILVA DE CASTRO</v>
          </cell>
          <cell r="K176" t="str">
            <v>CAMPUS CURITIBA</v>
          </cell>
          <cell r="AG176" t="str">
            <v>SIM</v>
          </cell>
          <cell r="AI176">
            <v>19</v>
          </cell>
        </row>
        <row r="177">
          <cell r="B177" t="str">
            <v>CAIO HENRIQUE DE OLIVEIRA CARNIATTO</v>
          </cell>
          <cell r="K177" t="str">
            <v>CAMPUS TOLEDO</v>
          </cell>
          <cell r="AG177" t="str">
            <v>NÃO</v>
          </cell>
          <cell r="AI177">
            <v>30</v>
          </cell>
        </row>
        <row r="178">
          <cell r="B178" t="str">
            <v>CALUE PAPCKE</v>
          </cell>
          <cell r="K178" t="str">
            <v>CAMPUS CURITIBA</v>
          </cell>
          <cell r="AG178" t="str">
            <v>SIM</v>
          </cell>
          <cell r="AI178">
            <v>16</v>
          </cell>
        </row>
        <row r="179">
          <cell r="B179" t="str">
            <v>CAMILA AMENT GIULIANI DOS SANTOS FRANCO</v>
          </cell>
          <cell r="K179" t="str">
            <v>CAMPUS CURITIBA</v>
          </cell>
          <cell r="AG179" t="str">
            <v>NÃO</v>
          </cell>
          <cell r="AI179">
            <v>36</v>
          </cell>
        </row>
        <row r="180">
          <cell r="B180" t="str">
            <v>CAMILA ARFELLI CABRERA</v>
          </cell>
          <cell r="K180" t="str">
            <v>CAMPUS LONDRINA</v>
          </cell>
          <cell r="AG180" t="str">
            <v>SIM</v>
          </cell>
          <cell r="AI180">
            <v>8</v>
          </cell>
        </row>
        <row r="181">
          <cell r="B181" t="str">
            <v>CAMILA BATISTA</v>
          </cell>
          <cell r="K181" t="str">
            <v>CAMPUS CURITIBA</v>
          </cell>
          <cell r="AG181" t="str">
            <v>SIM</v>
          </cell>
          <cell r="AI181">
            <v>0</v>
          </cell>
        </row>
        <row r="182">
          <cell r="B182" t="str">
            <v>CAMILA BIZARRO DA SILVA</v>
          </cell>
          <cell r="K182" t="str">
            <v>CAMPUS TOLEDO</v>
          </cell>
          <cell r="AG182" t="str">
            <v>SIM</v>
          </cell>
          <cell r="AI182">
            <v>8</v>
          </cell>
        </row>
        <row r="183">
          <cell r="B183" t="str">
            <v>CAMILA FUKUDA GOMES SANTOS</v>
          </cell>
          <cell r="K183" t="str">
            <v>CAMPUS CURITIBA</v>
          </cell>
          <cell r="AG183" t="str">
            <v>SIM</v>
          </cell>
          <cell r="AI183">
            <v>14</v>
          </cell>
        </row>
        <row r="184">
          <cell r="B184" t="str">
            <v>CAMILA HARTMANN</v>
          </cell>
          <cell r="K184" t="str">
            <v>CAMPUS CURITIBA</v>
          </cell>
          <cell r="AG184" t="str">
            <v>NÃO</v>
          </cell>
          <cell r="AI184">
            <v>33</v>
          </cell>
        </row>
        <row r="185">
          <cell r="B185" t="str">
            <v>CAMILA MAIA DE OLIVEIRA BORGES PARANA</v>
          </cell>
          <cell r="K185" t="str">
            <v>CAMPUS CURITIBA</v>
          </cell>
          <cell r="AG185" t="str">
            <v>NÃO</v>
          </cell>
          <cell r="AI185">
            <v>38</v>
          </cell>
        </row>
        <row r="186">
          <cell r="B186" t="str">
            <v>CAMILO DALLAGNOL</v>
          </cell>
          <cell r="K186" t="str">
            <v>CAMPUS CURITIBA</v>
          </cell>
          <cell r="AG186" t="str">
            <v>SIM</v>
          </cell>
          <cell r="AI186">
            <v>3</v>
          </cell>
        </row>
        <row r="187">
          <cell r="B187" t="str">
            <v>CARINA HONORIO ROTTER</v>
          </cell>
          <cell r="K187" t="str">
            <v>CAMPUS LONDRINA</v>
          </cell>
          <cell r="AG187" t="str">
            <v>SIM</v>
          </cell>
          <cell r="AI187">
            <v>5</v>
          </cell>
        </row>
        <row r="188">
          <cell r="B188" t="str">
            <v>CARLA CORRADI PERINI</v>
          </cell>
          <cell r="K188" t="str">
            <v>CAMPUS CURITIBA</v>
          </cell>
          <cell r="AG188" t="str">
            <v>NÃO</v>
          </cell>
          <cell r="AI188">
            <v>36</v>
          </cell>
        </row>
        <row r="189">
          <cell r="B189" t="str">
            <v>CARLA DA ROS</v>
          </cell>
          <cell r="K189" t="str">
            <v>CAMPUS CURITIBA</v>
          </cell>
          <cell r="AG189" t="str">
            <v>SIM</v>
          </cell>
          <cell r="AI189">
            <v>13</v>
          </cell>
        </row>
        <row r="190">
          <cell r="B190" t="str">
            <v>CARLA DE CASTRO FERREIRA</v>
          </cell>
          <cell r="K190" t="str">
            <v>CAMPUS CURITIBA</v>
          </cell>
          <cell r="AG190" t="str">
            <v>SIM</v>
          </cell>
          <cell r="AI190">
            <v>4</v>
          </cell>
        </row>
        <row r="191">
          <cell r="B191" t="str">
            <v>CARLA FREITAS SILVEIRA NETTO</v>
          </cell>
          <cell r="K191" t="str">
            <v>CAMPUS CURITIBA</v>
          </cell>
          <cell r="AG191" t="str">
            <v>NÃO</v>
          </cell>
          <cell r="AI191">
            <v>32</v>
          </cell>
        </row>
        <row r="192">
          <cell r="B192" t="str">
            <v>CARLA MACHI PUCCI</v>
          </cell>
          <cell r="K192" t="str">
            <v>CAMPUS CURITIBA</v>
          </cell>
          <cell r="AG192" t="str">
            <v>SIM</v>
          </cell>
          <cell r="AI192">
            <v>24</v>
          </cell>
        </row>
        <row r="193">
          <cell r="B193" t="str">
            <v>CARLO RENATO BORGES</v>
          </cell>
          <cell r="K193" t="str">
            <v>CAMPUS CURITIBA</v>
          </cell>
          <cell r="AG193" t="str">
            <v>SIM</v>
          </cell>
          <cell r="AI193">
            <v>8</v>
          </cell>
        </row>
        <row r="194">
          <cell r="B194" t="str">
            <v>CARLOS ALBERTO DEBIASI</v>
          </cell>
          <cell r="K194" t="str">
            <v>CAMPUS CURITIBA</v>
          </cell>
          <cell r="AG194" t="str">
            <v>SIM</v>
          </cell>
          <cell r="AI194">
            <v>20</v>
          </cell>
        </row>
        <row r="195">
          <cell r="B195" t="str">
            <v>CARLOS ALBERTO ENGELHORN</v>
          </cell>
          <cell r="K195" t="str">
            <v>CAMPUS CURITIBA</v>
          </cell>
          <cell r="AG195" t="str">
            <v>SIM</v>
          </cell>
          <cell r="AI195">
            <v>10</v>
          </cell>
        </row>
        <row r="196">
          <cell r="B196" t="str">
            <v>CARLOS ALBERTO FERNANDES BALTAR</v>
          </cell>
          <cell r="K196" t="str">
            <v>CAMPUS CURITIBA</v>
          </cell>
          <cell r="AG196" t="str">
            <v>SIM</v>
          </cell>
          <cell r="AI196">
            <v>20</v>
          </cell>
        </row>
        <row r="197">
          <cell r="B197" t="str">
            <v>CARLOS ALBERTO MATTOZO</v>
          </cell>
          <cell r="K197" t="str">
            <v>CAMPUS CURITIBA</v>
          </cell>
          <cell r="AG197" t="str">
            <v>SIM</v>
          </cell>
          <cell r="AI197">
            <v>7</v>
          </cell>
        </row>
        <row r="198">
          <cell r="B198" t="str">
            <v>CARLOS ALEXANDRE TWARDOWSCHY</v>
          </cell>
          <cell r="K198" t="str">
            <v>CAMPUS CURITIBA</v>
          </cell>
          <cell r="AG198" t="str">
            <v>SIM</v>
          </cell>
          <cell r="AI198">
            <v>7</v>
          </cell>
        </row>
        <row r="199">
          <cell r="B199" t="str">
            <v>CARLOS ARTEAGA RODRIGUEZ</v>
          </cell>
          <cell r="K199" t="str">
            <v>CAMPUS CURITIBA</v>
          </cell>
          <cell r="AG199" t="str">
            <v>SIM</v>
          </cell>
          <cell r="AI199">
            <v>12</v>
          </cell>
        </row>
        <row r="200">
          <cell r="B200" t="str">
            <v>CARLOS AUGUSTO CANDEO FONTANINI</v>
          </cell>
          <cell r="K200" t="str">
            <v>CAMPUS CURITIBA</v>
          </cell>
          <cell r="AG200" t="str">
            <v>SIM</v>
          </cell>
          <cell r="AI200">
            <v>24</v>
          </cell>
        </row>
        <row r="201">
          <cell r="B201" t="str">
            <v>CARLOS AUGUSTO HENNING LAURINDO</v>
          </cell>
          <cell r="K201" t="str">
            <v>CAMPUS CURITIBA</v>
          </cell>
          <cell r="AG201" t="str">
            <v>SIM</v>
          </cell>
          <cell r="AI201">
            <v>17</v>
          </cell>
        </row>
        <row r="202">
          <cell r="B202" t="str">
            <v>CARLOS EDUARDO ALVES GARCIA</v>
          </cell>
          <cell r="K202" t="str">
            <v>Campus Toledo</v>
          </cell>
          <cell r="AG202" t="str">
            <v>SIM</v>
          </cell>
          <cell r="AI202">
            <v>3</v>
          </cell>
        </row>
        <row r="203">
          <cell r="B203" t="str">
            <v>CARLOS EDUARDO CAMARGO</v>
          </cell>
          <cell r="K203" t="str">
            <v>CAMPUS CURITIBA</v>
          </cell>
          <cell r="AG203" t="str">
            <v>SIM</v>
          </cell>
          <cell r="AI203">
            <v>23</v>
          </cell>
        </row>
        <row r="204">
          <cell r="B204" t="str">
            <v>CARLOS EDUARDO CORAL DE OLIVEIRA</v>
          </cell>
          <cell r="K204" t="str">
            <v>CAMPUS LONDRINA</v>
          </cell>
          <cell r="AG204" t="str">
            <v>SIM</v>
          </cell>
          <cell r="AI204">
            <v>20</v>
          </cell>
        </row>
        <row r="205">
          <cell r="B205" t="str">
            <v>CARLOS EDUARDO LUNELLI</v>
          </cell>
          <cell r="K205" t="str">
            <v>CAMPUS CURITIBA</v>
          </cell>
          <cell r="AG205" t="str">
            <v>SIM</v>
          </cell>
          <cell r="AI205">
            <v>15</v>
          </cell>
        </row>
        <row r="206">
          <cell r="B206" t="str">
            <v>CARLOS EDUARDO PEREIRA DUTRA</v>
          </cell>
          <cell r="K206" t="str">
            <v>CAMPUS CURITIBA</v>
          </cell>
          <cell r="AG206" t="str">
            <v>SIM</v>
          </cell>
          <cell r="AI206">
            <v>4</v>
          </cell>
        </row>
        <row r="207">
          <cell r="B207" t="str">
            <v>CARLOS FREDERICO MARES DE SOUZA FILHO</v>
          </cell>
          <cell r="K207" t="str">
            <v>CAMPUS CURITIBA</v>
          </cell>
          <cell r="AG207" t="str">
            <v>NÃO</v>
          </cell>
          <cell r="AI207">
            <v>30</v>
          </cell>
        </row>
        <row r="208">
          <cell r="B208" t="str">
            <v>CARLOS FREDERICO OLDENBURG NETO</v>
          </cell>
          <cell r="K208" t="str">
            <v>CAMPUS CURITIBA</v>
          </cell>
          <cell r="AG208" t="str">
            <v>SIM</v>
          </cell>
          <cell r="AI208">
            <v>16</v>
          </cell>
        </row>
        <row r="209">
          <cell r="B209" t="str">
            <v>CARLOS HARDT</v>
          </cell>
          <cell r="K209" t="str">
            <v>CAMPUS CURITIBA</v>
          </cell>
          <cell r="AG209" t="str">
            <v>NÃO</v>
          </cell>
          <cell r="AI209">
            <v>40</v>
          </cell>
        </row>
        <row r="210">
          <cell r="B210" t="str">
            <v>CARLOS HENRIQUE KURETZKI</v>
          </cell>
          <cell r="K210" t="str">
            <v>Campus Curitiba</v>
          </cell>
          <cell r="AG210" t="str">
            <v>SIM</v>
          </cell>
          <cell r="AI210">
            <v>0</v>
          </cell>
        </row>
        <row r="211">
          <cell r="B211" t="str">
            <v>CARLOS HUMBERTO GUILMAN TANIZAWA</v>
          </cell>
          <cell r="K211" t="str">
            <v>CAMPUS CURITIBA</v>
          </cell>
          <cell r="AG211" t="str">
            <v>SIM</v>
          </cell>
          <cell r="AI211">
            <v>16</v>
          </cell>
        </row>
        <row r="212">
          <cell r="B212" t="str">
            <v>CARLOS JOSE GOMES</v>
          </cell>
          <cell r="K212" t="str">
            <v>CAMPUS CURITIBA</v>
          </cell>
          <cell r="AG212" t="str">
            <v>SIM</v>
          </cell>
          <cell r="AI212">
            <v>15</v>
          </cell>
        </row>
        <row r="213">
          <cell r="B213" t="str">
            <v>CARLOS MANOEL JACOPETTI ALMEIDA</v>
          </cell>
          <cell r="K213" t="str">
            <v>CAMPUS LONDRINA</v>
          </cell>
          <cell r="AG213" t="str">
            <v>SIM</v>
          </cell>
          <cell r="AI213">
            <v>6</v>
          </cell>
        </row>
        <row r="214">
          <cell r="B214" t="str">
            <v>CARLOS RENATO CUNHA</v>
          </cell>
          <cell r="K214" t="str">
            <v>CAMPUS LONDRINA</v>
          </cell>
          <cell r="AG214" t="str">
            <v>SIM</v>
          </cell>
          <cell r="AI214">
            <v>6</v>
          </cell>
        </row>
        <row r="215">
          <cell r="B215" t="str">
            <v>CARLOS ROBERTO ROMANIELLO</v>
          </cell>
          <cell r="K215" t="str">
            <v>CAMPUS CURITIBA</v>
          </cell>
          <cell r="AG215" t="str">
            <v>SIM</v>
          </cell>
          <cell r="AI215">
            <v>14</v>
          </cell>
        </row>
        <row r="216">
          <cell r="B216" t="str">
            <v>CARMEN LUCIA KUNIYOSHI REBELATTO</v>
          </cell>
          <cell r="K216" t="str">
            <v>CAMPUS CURITIBA</v>
          </cell>
          <cell r="AG216" t="str">
            <v>SIM</v>
          </cell>
          <cell r="AI216">
            <v>38</v>
          </cell>
        </row>
        <row r="217">
          <cell r="B217" t="str">
            <v>CARMEN LUCIANE SANSON ABOURIHAN</v>
          </cell>
          <cell r="K217" t="str">
            <v>CAMPUS CURITIBA</v>
          </cell>
          <cell r="AG217" t="str">
            <v>SIM</v>
          </cell>
          <cell r="AI217">
            <v>24</v>
          </cell>
        </row>
        <row r="218">
          <cell r="B218" t="str">
            <v>CAROLINA CAIRES MOTTA</v>
          </cell>
          <cell r="K218" t="str">
            <v>CAMPUS LONDRINA</v>
          </cell>
          <cell r="AG218" t="str">
            <v>SIM</v>
          </cell>
          <cell r="AI218">
            <v>16</v>
          </cell>
        </row>
        <row r="219">
          <cell r="B219" t="str">
            <v>CAROLINA DE MIRANDA PINELI ALVES</v>
          </cell>
          <cell r="K219" t="str">
            <v>CAMPUS CURITIBA</v>
          </cell>
          <cell r="AG219" t="str">
            <v>SIM</v>
          </cell>
          <cell r="AI219">
            <v>5</v>
          </cell>
        </row>
        <row r="220">
          <cell r="B220" t="str">
            <v>CAROLINA KOSMA KRIEGER</v>
          </cell>
          <cell r="K220" t="str">
            <v>CAMPUS CURITIBA</v>
          </cell>
          <cell r="AG220" t="str">
            <v>SIM</v>
          </cell>
          <cell r="AI220">
            <v>2</v>
          </cell>
        </row>
        <row r="221">
          <cell r="B221" t="str">
            <v>CAROLINA ROSSETTI SEVERO</v>
          </cell>
          <cell r="K221" t="str">
            <v>CAMPUS CURITIBA</v>
          </cell>
          <cell r="AG221" t="str">
            <v>SIM</v>
          </cell>
          <cell r="AI221">
            <v>7</v>
          </cell>
        </row>
        <row r="222">
          <cell r="B222" t="str">
            <v>CAROLINA ZAGHI CAVALCANTE HENDGES</v>
          </cell>
          <cell r="K222" t="str">
            <v>CAMPUS CURITIBA</v>
          </cell>
          <cell r="AG222" t="str">
            <v>SIM</v>
          </cell>
          <cell r="AI222">
            <v>27</v>
          </cell>
        </row>
        <row r="223">
          <cell r="B223" t="str">
            <v>CAROLINE BUSATTA VAZ DE PAULA</v>
          </cell>
          <cell r="K223" t="str">
            <v>CAMPUS CURITIBA</v>
          </cell>
          <cell r="AG223" t="str">
            <v>SIM</v>
          </cell>
          <cell r="AI223">
            <v>16</v>
          </cell>
        </row>
        <row r="224">
          <cell r="B224" t="str">
            <v>CAROLINE DE PAULA VENEZIAN RICCETTO</v>
          </cell>
          <cell r="K224" t="str">
            <v>CAMPUS LONDRINA</v>
          </cell>
          <cell r="AG224" t="str">
            <v>SIM</v>
          </cell>
          <cell r="AI224">
            <v>13</v>
          </cell>
        </row>
        <row r="225">
          <cell r="B225" t="str">
            <v>CAROLINE EHLKE GONZAGA</v>
          </cell>
          <cell r="K225" t="str">
            <v>CAMPUS CURITIBA</v>
          </cell>
          <cell r="AG225" t="str">
            <v>NÃO</v>
          </cell>
          <cell r="AI225">
            <v>21</v>
          </cell>
        </row>
        <row r="226">
          <cell r="B226" t="str">
            <v>CAROLINE FILLA ROSANELI</v>
          </cell>
          <cell r="K226" t="str">
            <v>CAMPUS CURITIBA</v>
          </cell>
          <cell r="AG226" t="str">
            <v>NÃO</v>
          </cell>
          <cell r="AI226">
            <v>40</v>
          </cell>
        </row>
        <row r="227">
          <cell r="B227" t="str">
            <v>CAROLINE HOSCHEID WERLE</v>
          </cell>
          <cell r="K227" t="str">
            <v>CAMPUS TOLEDO</v>
          </cell>
          <cell r="AG227" t="str">
            <v>SIM</v>
          </cell>
          <cell r="AI227">
            <v>18</v>
          </cell>
        </row>
        <row r="228">
          <cell r="B228" t="str">
            <v>CAROLINE KRETZMANN</v>
          </cell>
          <cell r="K228" t="str">
            <v>CAMPUS CURITIBA</v>
          </cell>
          <cell r="AG228" t="str">
            <v>SIM</v>
          </cell>
          <cell r="AI228">
            <v>10</v>
          </cell>
        </row>
        <row r="229">
          <cell r="B229" t="str">
            <v>CAROLINE SCHULTZ MOREIRA</v>
          </cell>
          <cell r="K229" t="str">
            <v>CAMPUS CURITIBA</v>
          </cell>
          <cell r="AG229" t="str">
            <v>NÃO</v>
          </cell>
          <cell r="AI229">
            <v>0</v>
          </cell>
        </row>
        <row r="230">
          <cell r="B230" t="str">
            <v>CASSIA APARECIDA RODRIGUES</v>
          </cell>
          <cell r="K230" t="str">
            <v>CAMPUS CURITIBA</v>
          </cell>
          <cell r="AG230" t="str">
            <v>NÃO</v>
          </cell>
          <cell r="AI230">
            <v>38</v>
          </cell>
        </row>
        <row r="231">
          <cell r="B231" t="str">
            <v>CASSIA MESSIAS PONS AYRES</v>
          </cell>
          <cell r="K231" t="str">
            <v>CAMPUS CURITIBA</v>
          </cell>
          <cell r="AG231" t="str">
            <v>SIM</v>
          </cell>
          <cell r="AI231">
            <v>4</v>
          </cell>
        </row>
        <row r="232">
          <cell r="B232" t="str">
            <v>CASSIA REGINA NOGUEIRA GUIMARAES</v>
          </cell>
          <cell r="K232" t="str">
            <v>CAMPUS LONDRINA</v>
          </cell>
          <cell r="AG232" t="str">
            <v>SIM</v>
          </cell>
          <cell r="AI232">
            <v>34</v>
          </cell>
        </row>
        <row r="233">
          <cell r="B233" t="str">
            <v>CASSIO PREIS</v>
          </cell>
          <cell r="K233" t="str">
            <v>CAMPUS CURITIBA</v>
          </cell>
          <cell r="AG233" t="str">
            <v>SIM</v>
          </cell>
          <cell r="AI233">
            <v>24</v>
          </cell>
        </row>
        <row r="234">
          <cell r="B234" t="str">
            <v>CASSIO SLOMPO RAMOS</v>
          </cell>
          <cell r="K234" t="str">
            <v>CAMPUS CURITIBA</v>
          </cell>
          <cell r="AG234" t="str">
            <v>SIM</v>
          </cell>
          <cell r="AI234">
            <v>10</v>
          </cell>
        </row>
        <row r="235">
          <cell r="B235" t="str">
            <v>CAUE KRUGER</v>
          </cell>
          <cell r="K235" t="str">
            <v>CAMPUS CURITIBA</v>
          </cell>
          <cell r="AG235" t="str">
            <v>SIM</v>
          </cell>
          <cell r="AI235">
            <v>10</v>
          </cell>
        </row>
        <row r="236">
          <cell r="B236" t="str">
            <v>CELINA TIE NISHIMORI DUQUE</v>
          </cell>
          <cell r="K236" t="str">
            <v>CAMPUS CURITIBA</v>
          </cell>
          <cell r="AG236" t="str">
            <v>NÃO</v>
          </cell>
          <cell r="AI236">
            <v>32</v>
          </cell>
        </row>
        <row r="237">
          <cell r="B237" t="str">
            <v>CELSO APPARECIDO ATHAYDE NETO</v>
          </cell>
          <cell r="K237" t="str">
            <v>CAMPUS LONDRINA</v>
          </cell>
          <cell r="AG237" t="str">
            <v>SIM</v>
          </cell>
          <cell r="AI237">
            <v>8</v>
          </cell>
        </row>
        <row r="238">
          <cell r="B238" t="str">
            <v>CESAR AUGUSTO CAPELLARI</v>
          </cell>
          <cell r="K238" t="str">
            <v>CAMPUS CURITIBA</v>
          </cell>
          <cell r="AG238" t="str">
            <v>SIM</v>
          </cell>
          <cell r="AI238">
            <v>0</v>
          </cell>
        </row>
        <row r="239">
          <cell r="B239" t="str">
            <v>CESAR AUGUSTO KUZMA</v>
          </cell>
          <cell r="K239" t="str">
            <v>CAMPUS CURITIBA</v>
          </cell>
          <cell r="AG239" t="str">
            <v>NÃO</v>
          </cell>
          <cell r="AI239">
            <v>32</v>
          </cell>
        </row>
        <row r="240">
          <cell r="B240" t="str">
            <v>CESAR AUGUSTO NEITZKE</v>
          </cell>
          <cell r="K240" t="str">
            <v>CAMPUS CURITIBA</v>
          </cell>
          <cell r="AG240" t="str">
            <v>SIM</v>
          </cell>
          <cell r="AI240">
            <v>19</v>
          </cell>
        </row>
        <row r="241">
          <cell r="B241" t="str">
            <v>CESAR CANDIOTTO</v>
          </cell>
          <cell r="K241" t="str">
            <v>CAMPUS CURITIBA</v>
          </cell>
          <cell r="AG241" t="str">
            <v>NÃO</v>
          </cell>
          <cell r="AI241">
            <v>40</v>
          </cell>
        </row>
        <row r="242">
          <cell r="B242" t="str">
            <v>CESAR LEANDRO RIBEIRO</v>
          </cell>
          <cell r="K242" t="str">
            <v>CAMPUS CURITIBA</v>
          </cell>
          <cell r="AG242" t="str">
            <v>NÃO</v>
          </cell>
          <cell r="AI242">
            <v>40</v>
          </cell>
        </row>
        <row r="243">
          <cell r="B243" t="str">
            <v>CESAR RIBEIRO ZUCCOLI</v>
          </cell>
          <cell r="K243" t="str">
            <v>CAMPUS LONDRINA</v>
          </cell>
          <cell r="AG243" t="str">
            <v>SIM</v>
          </cell>
          <cell r="AI243">
            <v>14</v>
          </cell>
        </row>
        <row r="244">
          <cell r="B244" t="str">
            <v>CEZAR AUGUSTO DE OLIVEIRA FRANCO</v>
          </cell>
          <cell r="K244" t="str">
            <v>CAMPUS CURITIBA</v>
          </cell>
          <cell r="AG244" t="str">
            <v>NÃO</v>
          </cell>
          <cell r="AI244">
            <v>32</v>
          </cell>
        </row>
        <row r="245">
          <cell r="B245" t="str">
            <v>CEZAR BUENO DE LIMA</v>
          </cell>
          <cell r="K245" t="str">
            <v>CAMPUS CURITIBA</v>
          </cell>
          <cell r="AG245" t="str">
            <v>NÃO</v>
          </cell>
          <cell r="AI245">
            <v>32</v>
          </cell>
        </row>
        <row r="246">
          <cell r="B246" t="str">
            <v>CHARLES EMMANUEL PARCHEN</v>
          </cell>
          <cell r="K246" t="str">
            <v>CAMPUS CURITIBA</v>
          </cell>
          <cell r="AG246" t="str">
            <v>SIM</v>
          </cell>
          <cell r="AI246">
            <v>12</v>
          </cell>
        </row>
        <row r="247">
          <cell r="B247" t="str">
            <v>CHRISTIAN SILVA DOS REIS</v>
          </cell>
          <cell r="K247" t="str">
            <v>CAMPUS TOLEDO</v>
          </cell>
          <cell r="AG247" t="str">
            <v>SIM</v>
          </cell>
          <cell r="AI247">
            <v>16</v>
          </cell>
        </row>
        <row r="248">
          <cell r="B248" t="str">
            <v>CHRISTIANO FRANCISCO DOS SANTOS</v>
          </cell>
          <cell r="K248" t="str">
            <v>CAMPUS CURITIBA</v>
          </cell>
          <cell r="AG248" t="str">
            <v>SIM</v>
          </cell>
          <cell r="AI248">
            <v>22</v>
          </cell>
        </row>
        <row r="249">
          <cell r="B249" t="str">
            <v>CILENE DA SILVA GOMES RIBEIRO</v>
          </cell>
          <cell r="K249" t="str">
            <v>CAMPUS CURITIBA</v>
          </cell>
          <cell r="AG249" t="str">
            <v>SIM</v>
          </cell>
          <cell r="AI249">
            <v>31</v>
          </cell>
        </row>
        <row r="250">
          <cell r="B250" t="str">
            <v>CINTHIA BITTENCOURT SPRICIGO</v>
          </cell>
          <cell r="K250" t="str">
            <v>CAMPUS CURITIBA</v>
          </cell>
          <cell r="AG250" t="str">
            <v>NÃO</v>
          </cell>
          <cell r="AI250">
            <v>24</v>
          </cell>
        </row>
        <row r="251">
          <cell r="B251" t="str">
            <v>CINTHIA OBLADEN DE ALMENDRA FREITAS</v>
          </cell>
          <cell r="K251" t="str">
            <v>CAMPUS CURITIBA</v>
          </cell>
          <cell r="AG251" t="str">
            <v>NÃO</v>
          </cell>
          <cell r="AI251">
            <v>30</v>
          </cell>
        </row>
        <row r="252">
          <cell r="B252" t="str">
            <v>CINTHIA SCHIMITH SILVA COELHO</v>
          </cell>
          <cell r="K252" t="str">
            <v>CAMPUS CURITIBA</v>
          </cell>
          <cell r="AG252" t="str">
            <v>SIM</v>
          </cell>
          <cell r="AI252">
            <v>10</v>
          </cell>
        </row>
        <row r="253">
          <cell r="B253" t="str">
            <v>CINTIA CRISTINA SARNOVSKI</v>
          </cell>
          <cell r="K253" t="str">
            <v>CAMPUS CURITIBA</v>
          </cell>
          <cell r="AG253" t="str">
            <v>SIM</v>
          </cell>
          <cell r="AI253">
            <v>12</v>
          </cell>
        </row>
        <row r="254">
          <cell r="B254" t="str">
            <v>CINTIA MIYUKI ODA</v>
          </cell>
          <cell r="K254" t="str">
            <v>CAMPUS LONDRINA</v>
          </cell>
          <cell r="AG254" t="str">
            <v>SIM</v>
          </cell>
          <cell r="AI254">
            <v>20</v>
          </cell>
        </row>
        <row r="255">
          <cell r="B255" t="str">
            <v>CLARA NASSER SCHERER</v>
          </cell>
          <cell r="K255" t="str">
            <v>CAMPUS CURITIBA</v>
          </cell>
          <cell r="AG255" t="str">
            <v>SIM</v>
          </cell>
          <cell r="AI255">
            <v>6</v>
          </cell>
        </row>
        <row r="256">
          <cell r="B256" t="str">
            <v>CLAUDETE MARIA ZACLIKEVIC</v>
          </cell>
          <cell r="K256" t="str">
            <v>CAMPUS CURITIBA</v>
          </cell>
          <cell r="AG256" t="str">
            <v>SIM</v>
          </cell>
          <cell r="AI256">
            <v>10</v>
          </cell>
        </row>
        <row r="257">
          <cell r="B257" t="str">
            <v>CLAUDIA BELLANDA PEGINI</v>
          </cell>
          <cell r="K257" t="str">
            <v>CAMPUS LONDRINA</v>
          </cell>
          <cell r="AG257" t="str">
            <v>SIM</v>
          </cell>
          <cell r="AI257">
            <v>23</v>
          </cell>
        </row>
        <row r="258">
          <cell r="B258" t="str">
            <v>CLAUDIA MARIA BARBOSA</v>
          </cell>
          <cell r="K258" t="str">
            <v>CAMPUS CURITIBA</v>
          </cell>
          <cell r="AG258" t="str">
            <v>NÃO</v>
          </cell>
          <cell r="AI258">
            <v>30</v>
          </cell>
        </row>
        <row r="259">
          <cell r="B259" t="str">
            <v>CLAUDIA MARIA BORGES COSTA PINTO</v>
          </cell>
          <cell r="K259" t="str">
            <v>CAMPUS CURITIBA</v>
          </cell>
          <cell r="AG259" t="str">
            <v>SIM</v>
          </cell>
          <cell r="AI259">
            <v>2</v>
          </cell>
        </row>
        <row r="260">
          <cell r="B260" t="str">
            <v>CLAUDIA MARIA CABRAL MORO BARRA</v>
          </cell>
          <cell r="K260" t="str">
            <v>CAMPUS CURITIBA</v>
          </cell>
          <cell r="AG260" t="str">
            <v>NÃO</v>
          </cell>
          <cell r="AI260">
            <v>35</v>
          </cell>
        </row>
        <row r="261">
          <cell r="B261" t="str">
            <v>CLAUDIA NASCIMENTO MONTEMOR</v>
          </cell>
          <cell r="K261" t="str">
            <v>CAMPUS LONDRINA</v>
          </cell>
          <cell r="AG261" t="str">
            <v>SIM</v>
          </cell>
          <cell r="AI261">
            <v>24</v>
          </cell>
        </row>
        <row r="262">
          <cell r="B262" t="str">
            <v>CLAUDIA TURRA PIMPAO</v>
          </cell>
          <cell r="K262" t="str">
            <v>CAMPUS CURITIBA</v>
          </cell>
          <cell r="AG262" t="str">
            <v>NÃO</v>
          </cell>
          <cell r="AI262">
            <v>31</v>
          </cell>
        </row>
        <row r="263">
          <cell r="B263" t="str">
            <v>CLAUDIA VELOSO MUELLER</v>
          </cell>
          <cell r="K263" t="str">
            <v>Campus Curitiba</v>
          </cell>
          <cell r="AG263" t="str">
            <v>SIM</v>
          </cell>
          <cell r="AI263">
            <v>6</v>
          </cell>
        </row>
        <row r="264">
          <cell r="B264" t="str">
            <v>CLAUDINE APARECIDO TERRA</v>
          </cell>
          <cell r="K264" t="str">
            <v>CAMPUS LONDRINA</v>
          </cell>
          <cell r="AG264" t="str">
            <v>SIM</v>
          </cell>
          <cell r="AI264">
            <v>10</v>
          </cell>
        </row>
        <row r="265">
          <cell r="B265" t="str">
            <v>CLAUDIO JOSE BELTRAO</v>
          </cell>
          <cell r="K265" t="str">
            <v>CAMPUS CURITIBA</v>
          </cell>
          <cell r="AG265" t="str">
            <v>SIM</v>
          </cell>
          <cell r="AI265">
            <v>12</v>
          </cell>
        </row>
        <row r="266">
          <cell r="B266" t="str">
            <v>CLAUDIO MARCELO TKAC</v>
          </cell>
          <cell r="K266" t="str">
            <v>CAMPUS CURITIBA</v>
          </cell>
          <cell r="AG266" t="str">
            <v>SIM</v>
          </cell>
          <cell r="AI266">
            <v>13</v>
          </cell>
        </row>
        <row r="267">
          <cell r="B267" t="str">
            <v>CLAUDIO RICARDO VIEIRA CARVILHE</v>
          </cell>
          <cell r="K267" t="str">
            <v>CAMPUS CURITIBA</v>
          </cell>
          <cell r="AG267" t="str">
            <v>SIM</v>
          </cell>
          <cell r="AI267">
            <v>14</v>
          </cell>
        </row>
        <row r="268">
          <cell r="B268" t="str">
            <v>CLAYTON FERNANDES DE SOUZA</v>
          </cell>
          <cell r="K268" t="str">
            <v>CAMPUS CURITIBA</v>
          </cell>
          <cell r="AG268" t="str">
            <v>SIM</v>
          </cell>
          <cell r="AI268">
            <v>14</v>
          </cell>
        </row>
        <row r="269">
          <cell r="B269" t="str">
            <v>CLAYTON SANTOS DO COUTO</v>
          </cell>
          <cell r="K269" t="str">
            <v>CAMPUS LONDRINA</v>
          </cell>
          <cell r="AG269" t="str">
            <v>NÃO</v>
          </cell>
          <cell r="AI269">
            <v>28</v>
          </cell>
        </row>
        <row r="270">
          <cell r="B270" t="str">
            <v>CLEBER KIEL OLIVO</v>
          </cell>
          <cell r="K270" t="str">
            <v>CAMPUS CURITIBA</v>
          </cell>
          <cell r="AG270" t="str">
            <v>NÃO</v>
          </cell>
          <cell r="AI270">
            <v>30</v>
          </cell>
        </row>
        <row r="271">
          <cell r="B271" t="str">
            <v>CLEBER MACHADO DE SOUZA</v>
          </cell>
          <cell r="K271" t="str">
            <v>CAMPUS CURITIBA</v>
          </cell>
          <cell r="AG271" t="str">
            <v>SIM</v>
          </cell>
          <cell r="AI271">
            <v>13</v>
          </cell>
        </row>
        <row r="272">
          <cell r="B272" t="str">
            <v>CLEO OTAVIANO MESA JUNIOR</v>
          </cell>
          <cell r="K272" t="str">
            <v>CAMPUS CURITIBA</v>
          </cell>
          <cell r="AG272" t="str">
            <v>SIM</v>
          </cell>
          <cell r="AI272">
            <v>4</v>
          </cell>
        </row>
        <row r="273">
          <cell r="B273" t="str">
            <v>CLEUSA DE CASTRO</v>
          </cell>
          <cell r="K273" t="str">
            <v>CAMPUS CURITIBA</v>
          </cell>
          <cell r="AG273" t="str">
            <v>SIM</v>
          </cell>
          <cell r="AI273">
            <v>24</v>
          </cell>
        </row>
        <row r="274">
          <cell r="B274" t="str">
            <v>CLEVERSON AVELINO FERREIRA</v>
          </cell>
          <cell r="K274" t="str">
            <v>CAMPUS CURITIBA</v>
          </cell>
          <cell r="AG274" t="str">
            <v>SIM</v>
          </cell>
          <cell r="AI274">
            <v>4</v>
          </cell>
        </row>
        <row r="275">
          <cell r="B275" t="str">
            <v>CLEYSON MATHIAS MORAIS DELVOSS</v>
          </cell>
          <cell r="K275" t="str">
            <v>Campus Curitiba</v>
          </cell>
          <cell r="AG275" t="str">
            <v>SIM</v>
          </cell>
          <cell r="AI275">
            <v>2</v>
          </cell>
        </row>
        <row r="276">
          <cell r="B276" t="str">
            <v>CLOVES ANTONIO DE AMISSIS AMORIM</v>
          </cell>
          <cell r="K276" t="str">
            <v>CAMPUS CURITIBA</v>
          </cell>
          <cell r="AG276" t="str">
            <v>SIM</v>
          </cell>
          <cell r="AI276">
            <v>13</v>
          </cell>
        </row>
        <row r="277">
          <cell r="B277" t="str">
            <v>CLOVIS DOS SANTOS ANDRADE</v>
          </cell>
          <cell r="K277" t="str">
            <v>CAMPUS CURITIBA</v>
          </cell>
          <cell r="AG277" t="str">
            <v>SIM</v>
          </cell>
          <cell r="AI277">
            <v>31</v>
          </cell>
        </row>
        <row r="278">
          <cell r="B278" t="str">
            <v>CLOVIS MASSATO KUWAHARA</v>
          </cell>
          <cell r="K278" t="str">
            <v>CAMPUS LONDRINA</v>
          </cell>
          <cell r="AG278" t="str">
            <v>SIM</v>
          </cell>
          <cell r="AI278">
            <v>16</v>
          </cell>
        </row>
        <row r="279">
          <cell r="B279" t="str">
            <v>CLOVIS ULTRAMARI</v>
          </cell>
          <cell r="K279" t="str">
            <v>CAMPUS CURITIBA</v>
          </cell>
          <cell r="AG279" t="str">
            <v>NÃO</v>
          </cell>
          <cell r="AI279">
            <v>40</v>
          </cell>
        </row>
        <row r="280">
          <cell r="B280" t="str">
            <v>CRISTIAN SCHMIDT</v>
          </cell>
          <cell r="K280" t="str">
            <v>CAMPUS CURITIBA</v>
          </cell>
          <cell r="AG280" t="str">
            <v>NÃO</v>
          </cell>
          <cell r="AI280">
            <v>32</v>
          </cell>
        </row>
        <row r="281">
          <cell r="B281" t="str">
            <v>CRISTIANE GONCALVES RIBAS</v>
          </cell>
          <cell r="K281" t="str">
            <v>CAMPUS CURITIBA</v>
          </cell>
          <cell r="AG281" t="str">
            <v>SIM</v>
          </cell>
          <cell r="AI281">
            <v>22</v>
          </cell>
        </row>
        <row r="282">
          <cell r="B282" t="str">
            <v>CRISTIANE SENN</v>
          </cell>
          <cell r="K282" t="str">
            <v>CAMPUS CURITIBA</v>
          </cell>
          <cell r="AG282" t="str">
            <v>SIM</v>
          </cell>
          <cell r="AI282">
            <v>2</v>
          </cell>
        </row>
        <row r="283">
          <cell r="B283" t="str">
            <v>CRISTIANO TEODORO RUSSO</v>
          </cell>
          <cell r="K283" t="str">
            <v>CAMPUS LONDRINA</v>
          </cell>
          <cell r="AG283" t="str">
            <v>SIM</v>
          </cell>
          <cell r="AI283">
            <v>16</v>
          </cell>
        </row>
        <row r="284">
          <cell r="B284" t="str">
            <v>CRISTINA MARIA DE AGUIAR PASTORE</v>
          </cell>
          <cell r="K284" t="str">
            <v>CAMPUS CURITIBA</v>
          </cell>
          <cell r="AG284" t="str">
            <v>NÃO</v>
          </cell>
          <cell r="AI284">
            <v>40</v>
          </cell>
        </row>
        <row r="285">
          <cell r="B285" t="str">
            <v>CRISTINA PELLEGRINO BAENA</v>
          </cell>
          <cell r="K285" t="str">
            <v>CAMPUS CURITIBA</v>
          </cell>
          <cell r="AG285" t="str">
            <v>NÃO</v>
          </cell>
          <cell r="AI285">
            <v>39</v>
          </cell>
        </row>
        <row r="286">
          <cell r="B286" t="str">
            <v>CRISTINA SANTOS SOTOMAIOR</v>
          </cell>
          <cell r="K286" t="str">
            <v>CAMPUS CURITIBA</v>
          </cell>
          <cell r="AG286" t="str">
            <v>NÃO</v>
          </cell>
          <cell r="AI286">
            <v>40</v>
          </cell>
        </row>
        <row r="287">
          <cell r="B287" t="str">
            <v>CRISTINA VERCOSA PEREZ BARRIOS DE SOUZA</v>
          </cell>
          <cell r="K287" t="str">
            <v>CAMPUS CURITIBA</v>
          </cell>
          <cell r="AG287" t="str">
            <v>SIM</v>
          </cell>
          <cell r="AI287">
            <v>12</v>
          </cell>
        </row>
        <row r="288">
          <cell r="B288" t="str">
            <v>CRISTINA YUKIE MIYAKI</v>
          </cell>
          <cell r="K288" t="str">
            <v>CAMPUS CURITIBA</v>
          </cell>
          <cell r="AG288" t="str">
            <v>SIM</v>
          </cell>
          <cell r="AI288">
            <v>20</v>
          </cell>
        </row>
        <row r="289">
          <cell r="B289" t="str">
            <v>CYNTHIA FRANCA WOLANSKI BORDIN</v>
          </cell>
          <cell r="K289" t="str">
            <v>CAMPUS CURITIBA</v>
          </cell>
          <cell r="AG289" t="str">
            <v>SIM</v>
          </cell>
          <cell r="AI289">
            <v>18</v>
          </cell>
        </row>
        <row r="290">
          <cell r="B290" t="str">
            <v>CYNTHIA GRUENDLING JURUENA</v>
          </cell>
          <cell r="K290" t="str">
            <v>CAMPUS CURITIBA</v>
          </cell>
          <cell r="AG290" t="str">
            <v>SIM</v>
          </cell>
          <cell r="AI290">
            <v>12</v>
          </cell>
        </row>
        <row r="291">
          <cell r="B291" t="str">
            <v>CYNTIA ERTHAL LEINIG</v>
          </cell>
          <cell r="K291" t="str">
            <v>CAMPUS CURITIBA</v>
          </cell>
          <cell r="AG291" t="str">
            <v>SIM</v>
          </cell>
          <cell r="AI291">
            <v>23</v>
          </cell>
        </row>
        <row r="292">
          <cell r="B292" t="str">
            <v>DAIANE CRISTINA PAZIN</v>
          </cell>
          <cell r="K292" t="str">
            <v>CAMPUS CURITIBA</v>
          </cell>
          <cell r="AG292" t="str">
            <v>SIM</v>
          </cell>
          <cell r="AI292">
            <v>38</v>
          </cell>
        </row>
        <row r="293">
          <cell r="B293" t="str">
            <v>DAILSON REGIS PRATI</v>
          </cell>
          <cell r="K293" t="str">
            <v>CAMPUS TOLEDO</v>
          </cell>
          <cell r="AG293" t="str">
            <v>SIM</v>
          </cell>
          <cell r="AI293">
            <v>8</v>
          </cell>
        </row>
        <row r="294">
          <cell r="B294" t="str">
            <v>DALTON ALEXANDRE KAI</v>
          </cell>
          <cell r="K294" t="str">
            <v>CAMPUS CURITIBA</v>
          </cell>
          <cell r="AG294" t="str">
            <v>SIM</v>
          </cell>
          <cell r="AI294">
            <v>12</v>
          </cell>
        </row>
        <row r="295">
          <cell r="B295" t="str">
            <v>DALTON VINICIUS KOZAK</v>
          </cell>
          <cell r="K295" t="str">
            <v>CAMPUS CURITIBA</v>
          </cell>
          <cell r="AG295" t="str">
            <v>SIM</v>
          </cell>
          <cell r="AI295">
            <v>14</v>
          </cell>
        </row>
        <row r="296">
          <cell r="B296" t="str">
            <v>DANI JULIANO CZELUSNIAK</v>
          </cell>
          <cell r="K296" t="str">
            <v>CAMPUS CURITIBA</v>
          </cell>
          <cell r="AG296" t="str">
            <v>SIM</v>
          </cell>
          <cell r="AI296">
            <v>14</v>
          </cell>
        </row>
        <row r="297">
          <cell r="B297" t="str">
            <v>DANIEL CONSTANTINO CUNHA</v>
          </cell>
          <cell r="K297" t="str">
            <v>CAMPUS LONDRINA</v>
          </cell>
          <cell r="AG297" t="str">
            <v>SIM</v>
          </cell>
          <cell r="AI297">
            <v>6</v>
          </cell>
        </row>
        <row r="298">
          <cell r="B298" t="str">
            <v>DANIEL EMILIO DALLEDONE SIQUEIRA</v>
          </cell>
          <cell r="K298" t="str">
            <v>CAMPUS CURITIBA</v>
          </cell>
          <cell r="AG298" t="str">
            <v>SIM</v>
          </cell>
          <cell r="AI298">
            <v>12</v>
          </cell>
        </row>
        <row r="299">
          <cell r="B299" t="str">
            <v>DANIEL FERREIRA FERNANDES VIEIRA</v>
          </cell>
          <cell r="K299" t="str">
            <v>CAMPUS LONDRINA</v>
          </cell>
          <cell r="AG299" t="str">
            <v>SIM</v>
          </cell>
          <cell r="AI299">
            <v>5</v>
          </cell>
        </row>
        <row r="300">
          <cell r="B300" t="str">
            <v>DANIEL IDEL BONGANHI FEFERMAN</v>
          </cell>
          <cell r="K300" t="str">
            <v>CAMPUS CURITIBA</v>
          </cell>
          <cell r="AG300" t="str">
            <v>SIM</v>
          </cell>
          <cell r="AI300">
            <v>10</v>
          </cell>
        </row>
        <row r="301">
          <cell r="B301" t="str">
            <v>DANIEL PALA ABECHE</v>
          </cell>
          <cell r="K301" t="str">
            <v>CAMPUS CURITIBA</v>
          </cell>
          <cell r="AG301" t="str">
            <v>SIM</v>
          </cell>
          <cell r="AI301">
            <v>12</v>
          </cell>
        </row>
        <row r="302">
          <cell r="B302" t="str">
            <v>DANIEL WUNDER HACHEM</v>
          </cell>
          <cell r="K302" t="str">
            <v>CAMPUS CURITIBA</v>
          </cell>
          <cell r="AG302" t="str">
            <v>NÃO</v>
          </cell>
          <cell r="AI302">
            <v>40</v>
          </cell>
        </row>
        <row r="303">
          <cell r="B303" t="str">
            <v>DANIELE COUTINHO</v>
          </cell>
          <cell r="K303" t="str">
            <v>CAMPUS CURITIBA</v>
          </cell>
          <cell r="AG303" t="str">
            <v>SIM</v>
          </cell>
          <cell r="AI303">
            <v>8</v>
          </cell>
        </row>
        <row r="304">
          <cell r="B304" t="str">
            <v>DANIELE FARFUS</v>
          </cell>
          <cell r="K304" t="str">
            <v>CAMPUS CURITIBA</v>
          </cell>
          <cell r="AG304" t="str">
            <v>NÃO</v>
          </cell>
          <cell r="AI304">
            <v>40</v>
          </cell>
        </row>
        <row r="305">
          <cell r="B305" t="str">
            <v>DANIELE LUCY LOPES DE SEHLI</v>
          </cell>
          <cell r="K305" t="str">
            <v>CAMPUS CURITIBA</v>
          </cell>
          <cell r="AG305" t="str">
            <v>NÃO</v>
          </cell>
          <cell r="AI305">
            <v>32</v>
          </cell>
        </row>
        <row r="306">
          <cell r="B306" t="str">
            <v>DANIELE ROCHA SAUCEDO</v>
          </cell>
          <cell r="K306" t="str">
            <v>CAMPUS CURITIBA</v>
          </cell>
          <cell r="AG306" t="str">
            <v>SIM</v>
          </cell>
          <cell r="AI306">
            <v>12</v>
          </cell>
        </row>
        <row r="307">
          <cell r="B307" t="str">
            <v>DANIELE ROSEVICS OLIVEIRA</v>
          </cell>
          <cell r="K307" t="str">
            <v>CAMPUS CURITIBA</v>
          </cell>
          <cell r="AG307" t="str">
            <v>SIM</v>
          </cell>
          <cell r="AI307">
            <v>3</v>
          </cell>
        </row>
        <row r="308">
          <cell r="B308" t="str">
            <v>DANIELE SAHEB PEDROSO</v>
          </cell>
          <cell r="K308" t="str">
            <v>CAMPUS CURITIBA</v>
          </cell>
          <cell r="AG308" t="str">
            <v>NÃO</v>
          </cell>
          <cell r="AI308">
            <v>40</v>
          </cell>
        </row>
        <row r="309">
          <cell r="B309" t="str">
            <v>DANIELLA MAITO</v>
          </cell>
          <cell r="K309" t="str">
            <v>CAMPUS CURITIBA</v>
          </cell>
          <cell r="AG309" t="str">
            <v>SIM</v>
          </cell>
          <cell r="AI309">
            <v>18</v>
          </cell>
        </row>
        <row r="310">
          <cell r="B310" t="str">
            <v>DANIELLE ANNE PAMPLONA</v>
          </cell>
          <cell r="K310" t="str">
            <v>CAMPUS CURITIBA</v>
          </cell>
          <cell r="AG310" t="str">
            <v>NÃO</v>
          </cell>
          <cell r="AI310">
            <v>40</v>
          </cell>
        </row>
        <row r="311">
          <cell r="B311" t="str">
            <v>DANIELLE DENES DOS SANTOS</v>
          </cell>
          <cell r="K311" t="str">
            <v>CAMPUS CURITIBA</v>
          </cell>
          <cell r="AG311" t="str">
            <v>NÃO</v>
          </cell>
          <cell r="AI311">
            <v>40</v>
          </cell>
        </row>
        <row r="312">
          <cell r="B312" t="str">
            <v>DANILO ARNAUT SARAIVA</v>
          </cell>
          <cell r="K312" t="str">
            <v>CAMPUS CURITIBA</v>
          </cell>
          <cell r="AG312" t="str">
            <v>SIM</v>
          </cell>
          <cell r="AI312">
            <v>14</v>
          </cell>
        </row>
        <row r="313">
          <cell r="B313" t="str">
            <v>DARLI DE FATIMA SAMPAIO</v>
          </cell>
          <cell r="K313" t="str">
            <v>CAMPUS CURITIBA</v>
          </cell>
          <cell r="AG313" t="str">
            <v>SIM</v>
          </cell>
          <cell r="AI313">
            <v>0</v>
          </cell>
        </row>
        <row r="314">
          <cell r="B314" t="str">
            <v>DAVID QUEIROZ DE SANT ANA</v>
          </cell>
          <cell r="K314" t="str">
            <v>CAMPUS CURITIBA</v>
          </cell>
          <cell r="AG314" t="str">
            <v>SIM</v>
          </cell>
          <cell r="AI314">
            <v>4</v>
          </cell>
        </row>
        <row r="315">
          <cell r="B315" t="str">
            <v>DAVID XAVIER ASSIS</v>
          </cell>
          <cell r="K315" t="str">
            <v>CAMPUS CURITIBA</v>
          </cell>
          <cell r="AG315" t="str">
            <v>NÃO</v>
          </cell>
          <cell r="AI315">
            <v>0</v>
          </cell>
        </row>
        <row r="316">
          <cell r="B316" t="str">
            <v>DAYANE MOZ</v>
          </cell>
          <cell r="K316" t="str">
            <v>Campus Toledo</v>
          </cell>
          <cell r="AG316" t="str">
            <v>SIM</v>
          </cell>
          <cell r="AI316">
            <v>6</v>
          </cell>
        </row>
        <row r="317">
          <cell r="B317" t="str">
            <v>DEAN FABIO BUENO DE ALMEIDA</v>
          </cell>
          <cell r="K317" t="str">
            <v>CAMPUS CURITIBA</v>
          </cell>
          <cell r="AG317" t="str">
            <v>SIM</v>
          </cell>
          <cell r="AI317">
            <v>10</v>
          </cell>
        </row>
        <row r="318">
          <cell r="B318" t="str">
            <v>DEBORA CRISTINA RIBEIRO MIGUEL</v>
          </cell>
          <cell r="K318" t="str">
            <v>CAMPUS CURITIBA</v>
          </cell>
          <cell r="AG318" t="str">
            <v>NÃO</v>
          </cell>
          <cell r="AI318">
            <v>0</v>
          </cell>
        </row>
        <row r="319">
          <cell r="B319" t="str">
            <v>DEBORA NORMANTON SOMBRIO</v>
          </cell>
          <cell r="K319" t="str">
            <v>Campus Curitiba</v>
          </cell>
          <cell r="AG319" t="str">
            <v>SIM</v>
          </cell>
          <cell r="AI319">
            <v>0</v>
          </cell>
        </row>
        <row r="320">
          <cell r="B320" t="str">
            <v>DEBORA PATRICIA NEMER PINHEIRO</v>
          </cell>
          <cell r="K320" t="str">
            <v>CAMPUS CURITIBA</v>
          </cell>
          <cell r="AG320" t="str">
            <v>SIM</v>
          </cell>
          <cell r="AI320">
            <v>12</v>
          </cell>
        </row>
        <row r="321">
          <cell r="B321" t="str">
            <v>DEBORAH IURI TAZIMA</v>
          </cell>
          <cell r="K321" t="str">
            <v>CAMPUS CURITIBA</v>
          </cell>
          <cell r="AG321" t="str">
            <v>SIM</v>
          </cell>
          <cell r="AI321">
            <v>10</v>
          </cell>
        </row>
        <row r="322">
          <cell r="B322" t="str">
            <v>DECIO ZANONI JUNIOR</v>
          </cell>
          <cell r="K322" t="str">
            <v>CAMPUS CURITIBA</v>
          </cell>
          <cell r="AG322" t="str">
            <v>SIM</v>
          </cell>
          <cell r="AI322">
            <v>14</v>
          </cell>
        </row>
        <row r="323">
          <cell r="B323" t="str">
            <v>DEMETRIA KOVELIS MONTEIRO</v>
          </cell>
          <cell r="K323" t="str">
            <v>CAMPUS CURITIBA</v>
          </cell>
          <cell r="AG323" t="str">
            <v>NÃO</v>
          </cell>
          <cell r="AI323">
            <v>30</v>
          </cell>
        </row>
        <row r="324">
          <cell r="B324" t="str">
            <v>DEMETRIUS COELHO SOUZA</v>
          </cell>
          <cell r="K324" t="str">
            <v>CAMPUS LONDRINA</v>
          </cell>
          <cell r="AG324" t="str">
            <v>SIM</v>
          </cell>
          <cell r="AI324">
            <v>8</v>
          </cell>
        </row>
        <row r="325">
          <cell r="B325" t="str">
            <v>DEMIAN DA SILVEIRA BARCELLOS</v>
          </cell>
          <cell r="K325" t="str">
            <v>CAMPUS CURITIBA</v>
          </cell>
          <cell r="AG325" t="str">
            <v>NÃO</v>
          </cell>
          <cell r="AI325">
            <v>32</v>
          </cell>
        </row>
        <row r="326">
          <cell r="B326" t="str">
            <v>DENIS ALCIDES REZENDE</v>
          </cell>
          <cell r="K326" t="str">
            <v>CAMPUS CURITIBA</v>
          </cell>
          <cell r="AG326" t="str">
            <v>NÃO</v>
          </cell>
          <cell r="AI326">
            <v>36</v>
          </cell>
        </row>
        <row r="327">
          <cell r="B327" t="str">
            <v>DENIS MASSATSUGU UEDA</v>
          </cell>
          <cell r="K327" t="str">
            <v>Campus Londrina</v>
          </cell>
          <cell r="AG327" t="str">
            <v>SIM</v>
          </cell>
          <cell r="AI327">
            <v>11</v>
          </cell>
        </row>
        <row r="328">
          <cell r="B328" t="str">
            <v>DENISE ADAMCZYK KOZEMJAKIN</v>
          </cell>
          <cell r="K328" t="str">
            <v>CAMPUS CURITIBA</v>
          </cell>
          <cell r="AG328" t="str">
            <v>SIM</v>
          </cell>
          <cell r="AI328">
            <v>22</v>
          </cell>
        </row>
        <row r="329">
          <cell r="B329" t="str">
            <v>DENISE CAMARANI REVELK</v>
          </cell>
          <cell r="K329" t="str">
            <v>CAMPUS LONDRINA</v>
          </cell>
          <cell r="AG329" t="str">
            <v>NÃO</v>
          </cell>
          <cell r="AI329">
            <v>20</v>
          </cell>
        </row>
        <row r="330">
          <cell r="B330" t="str">
            <v>DENISE MARIA COTOMAN</v>
          </cell>
          <cell r="K330" t="str">
            <v>Campus Toledo</v>
          </cell>
          <cell r="AG330" t="str">
            <v>NÃO</v>
          </cell>
          <cell r="AI330">
            <v>22</v>
          </cell>
        </row>
        <row r="331">
          <cell r="B331" t="str">
            <v>DENISE RATMANN ARRUDA COLIN</v>
          </cell>
          <cell r="K331" t="str">
            <v>CAMPUS CURITIBA</v>
          </cell>
          <cell r="AG331" t="str">
            <v>SIM</v>
          </cell>
          <cell r="AI331">
            <v>2</v>
          </cell>
        </row>
        <row r="332">
          <cell r="B332" t="str">
            <v>DENISE SILVEIRA BARBOSA</v>
          </cell>
          <cell r="K332" t="str">
            <v>CAMPUS LONDRINA</v>
          </cell>
          <cell r="AG332" t="str">
            <v>SIM</v>
          </cell>
          <cell r="AI332">
            <v>6</v>
          </cell>
        </row>
        <row r="333">
          <cell r="B333" t="str">
            <v>DENNER PEREIRA DA SILVA</v>
          </cell>
          <cell r="K333" t="str">
            <v>CAMPUS TOLEDO</v>
          </cell>
          <cell r="AG333" t="str">
            <v>NÃO</v>
          </cell>
          <cell r="AI333">
            <v>28</v>
          </cell>
        </row>
        <row r="334">
          <cell r="B334" t="str">
            <v>DEOCLECIO JUNIOR CARDOSO DA SILVA</v>
          </cell>
          <cell r="K334" t="str">
            <v>Campus Curitiba</v>
          </cell>
          <cell r="AG334" t="str">
            <v>NÃO</v>
          </cell>
          <cell r="AI334">
            <v>16</v>
          </cell>
        </row>
        <row r="335">
          <cell r="B335" t="str">
            <v>DEWEY MORETO WOLLMANN</v>
          </cell>
          <cell r="K335" t="str">
            <v>CAMPUS CURITIBA</v>
          </cell>
          <cell r="AG335" t="str">
            <v>SIM</v>
          </cell>
          <cell r="AI335">
            <v>12</v>
          </cell>
        </row>
        <row r="336">
          <cell r="B336" t="str">
            <v>DIANA CHAO DECOCK</v>
          </cell>
          <cell r="K336" t="str">
            <v>CAMPUS CURITIBA</v>
          </cell>
          <cell r="AG336" t="str">
            <v>SIM</v>
          </cell>
          <cell r="AI336">
            <v>10</v>
          </cell>
        </row>
        <row r="337">
          <cell r="B337" t="str">
            <v>DIEGO BARBOZA PIRES</v>
          </cell>
          <cell r="K337" t="str">
            <v>CAMPUS CURITIBA</v>
          </cell>
          <cell r="AG337" t="str">
            <v>NÃO</v>
          </cell>
          <cell r="AI337">
            <v>0</v>
          </cell>
        </row>
        <row r="338">
          <cell r="B338" t="str">
            <v>DIEGO LUIZ KRAUSE</v>
          </cell>
          <cell r="K338" t="str">
            <v>Campus Toledo</v>
          </cell>
          <cell r="AG338" t="str">
            <v>SIM</v>
          </cell>
          <cell r="AI338">
            <v>10</v>
          </cell>
        </row>
        <row r="339">
          <cell r="B339" t="str">
            <v>DIEGO PEREIRA DE MEIRA</v>
          </cell>
          <cell r="K339" t="str">
            <v>CAMPUS CURITIBA</v>
          </cell>
          <cell r="AG339" t="str">
            <v>NÃO</v>
          </cell>
          <cell r="AI339">
            <v>0</v>
          </cell>
        </row>
        <row r="340">
          <cell r="B340" t="str">
            <v>DILMEIRE SANT ANNA RAMOS VOSGERAU</v>
          </cell>
          <cell r="K340" t="str">
            <v>CAMPUS CURITIBA</v>
          </cell>
          <cell r="AG340" t="str">
            <v>NÃO</v>
          </cell>
          <cell r="AI340">
            <v>40</v>
          </cell>
        </row>
        <row r="341">
          <cell r="B341" t="str">
            <v>DIOGO JOSE VARASCHIN DE OLIVEIRA</v>
          </cell>
          <cell r="K341" t="str">
            <v>CAMPUS CURITIBA</v>
          </cell>
          <cell r="AG341" t="str">
            <v>NÃO</v>
          </cell>
          <cell r="AI341">
            <v>0</v>
          </cell>
        </row>
        <row r="342">
          <cell r="B342" t="str">
            <v>DIVINO FRANCA</v>
          </cell>
          <cell r="K342" t="str">
            <v>CAMPUS CURITIBA</v>
          </cell>
          <cell r="AG342" t="str">
            <v>SIM</v>
          </cell>
          <cell r="AI342">
            <v>12</v>
          </cell>
        </row>
        <row r="343">
          <cell r="B343" t="str">
            <v>DJEIMI ANGELA LEONHARDT NESKE</v>
          </cell>
          <cell r="K343" t="str">
            <v>CAMPUS TOLEDO</v>
          </cell>
          <cell r="AG343" t="str">
            <v>NÃO</v>
          </cell>
          <cell r="AI343">
            <v>28</v>
          </cell>
        </row>
        <row r="344">
          <cell r="B344" t="str">
            <v>DORIS BERALDO</v>
          </cell>
          <cell r="K344" t="str">
            <v>CAMPUS CURITIBA</v>
          </cell>
          <cell r="AG344" t="str">
            <v>SIM</v>
          </cell>
          <cell r="AI344">
            <v>8</v>
          </cell>
        </row>
        <row r="345">
          <cell r="B345" t="str">
            <v>DOUGLAS BORGES CANDIDO</v>
          </cell>
          <cell r="K345" t="str">
            <v>CAMPUS CURITIBA</v>
          </cell>
          <cell r="AG345" t="str">
            <v>NÃO</v>
          </cell>
          <cell r="AI345">
            <v>36</v>
          </cell>
        </row>
        <row r="346">
          <cell r="B346" t="str">
            <v>DOUGLAS MEGURU HIRAGA</v>
          </cell>
          <cell r="K346" t="str">
            <v>CAMPUS LONDRINA</v>
          </cell>
          <cell r="AG346" t="str">
            <v>SIM</v>
          </cell>
          <cell r="AI346">
            <v>16</v>
          </cell>
        </row>
        <row r="347">
          <cell r="B347" t="str">
            <v>DOUGLAS THAYNA VIEIRA DE SOUZA</v>
          </cell>
          <cell r="K347" t="str">
            <v>CAMPUS CURITIBA</v>
          </cell>
          <cell r="AG347" t="str">
            <v>SIM</v>
          </cell>
          <cell r="AI347">
            <v>18</v>
          </cell>
        </row>
        <row r="348">
          <cell r="B348" t="str">
            <v>EDELMI MARCELO KRUGER</v>
          </cell>
          <cell r="K348" t="str">
            <v>CAMPUS CURITIBA</v>
          </cell>
          <cell r="AG348" t="str">
            <v>NÃO</v>
          </cell>
          <cell r="AI348">
            <v>0</v>
          </cell>
        </row>
        <row r="349">
          <cell r="B349" t="str">
            <v>EDGARD JAMHOUR</v>
          </cell>
          <cell r="K349" t="str">
            <v>CAMPUS CURITIBA</v>
          </cell>
          <cell r="AG349" t="str">
            <v>SIM</v>
          </cell>
          <cell r="AI349">
            <v>14</v>
          </cell>
        </row>
        <row r="350">
          <cell r="B350" t="str">
            <v>EDILBERTO NUNES DE MOURA</v>
          </cell>
          <cell r="K350" t="str">
            <v>CAMPUS CURITIBA</v>
          </cell>
          <cell r="AG350" t="str">
            <v>NÃO</v>
          </cell>
          <cell r="AI350">
            <v>37</v>
          </cell>
        </row>
        <row r="351">
          <cell r="B351" t="str">
            <v>EDILE MARIA FRACARO RODRIGUES</v>
          </cell>
          <cell r="K351" t="str">
            <v>CAMPUS CURITIBA</v>
          </cell>
          <cell r="AG351" t="str">
            <v>SIM</v>
          </cell>
          <cell r="AI351">
            <v>0</v>
          </cell>
        </row>
        <row r="352">
          <cell r="B352" t="str">
            <v>EDINEIA LOPES DA CRUZ SOUZA</v>
          </cell>
          <cell r="K352" t="str">
            <v>CAMPUS TOLEDO</v>
          </cell>
          <cell r="AG352" t="str">
            <v>SIM</v>
          </cell>
          <cell r="AI352">
            <v>2</v>
          </cell>
        </row>
        <row r="353">
          <cell r="B353" t="str">
            <v>EDISOM PAULA BRUM</v>
          </cell>
          <cell r="K353" t="str">
            <v>CAMPUS CURITIBA</v>
          </cell>
          <cell r="AG353" t="str">
            <v>SIM</v>
          </cell>
          <cell r="AI353">
            <v>19</v>
          </cell>
        </row>
        <row r="354">
          <cell r="B354" t="str">
            <v>EDIVANE VALERIA ALBURNIO</v>
          </cell>
          <cell r="K354" t="str">
            <v>CAMPUS CURITIBA</v>
          </cell>
          <cell r="AG354" t="str">
            <v>NÃO</v>
          </cell>
          <cell r="AI354">
            <v>0</v>
          </cell>
        </row>
        <row r="355">
          <cell r="B355" t="str">
            <v>EDNA MARIA VISSOCI REICHE</v>
          </cell>
          <cell r="K355" t="str">
            <v>CAMPUS LONDRINA</v>
          </cell>
          <cell r="AG355" t="str">
            <v>SIM</v>
          </cell>
          <cell r="AI355">
            <v>9</v>
          </cell>
        </row>
        <row r="356">
          <cell r="B356" t="str">
            <v>EDNA TORRES FELICIO</v>
          </cell>
          <cell r="K356" t="str">
            <v>CAMPUS CURITIBA</v>
          </cell>
          <cell r="AG356" t="str">
            <v>SIM</v>
          </cell>
          <cell r="AI356">
            <v>4</v>
          </cell>
        </row>
        <row r="357">
          <cell r="B357" t="str">
            <v>EDSON EMILIO SCALABRIN</v>
          </cell>
          <cell r="K357" t="str">
            <v>CAMPUS CURITIBA</v>
          </cell>
          <cell r="AG357" t="str">
            <v>NÃO</v>
          </cell>
          <cell r="AI357">
            <v>32</v>
          </cell>
        </row>
        <row r="358">
          <cell r="B358" t="str">
            <v>EDSON JOSE DA SILVA ROCHA FILHO</v>
          </cell>
          <cell r="K358" t="str">
            <v>CAMPUS CURITIBA</v>
          </cell>
          <cell r="AG358" t="str">
            <v>NÃO</v>
          </cell>
          <cell r="AI358">
            <v>0</v>
          </cell>
        </row>
        <row r="359">
          <cell r="B359" t="str">
            <v>EDSON JOSE RODRIGUES JUSTINO</v>
          </cell>
          <cell r="K359" t="str">
            <v>CAMPUS CURITIBA</v>
          </cell>
          <cell r="AG359" t="str">
            <v>NÃO</v>
          </cell>
          <cell r="AI359">
            <v>40</v>
          </cell>
        </row>
        <row r="360">
          <cell r="B360" t="str">
            <v>EDSON MABONI</v>
          </cell>
          <cell r="K360" t="str">
            <v>CAMPUS CURITIBA</v>
          </cell>
          <cell r="AG360" t="str">
            <v>SIM</v>
          </cell>
          <cell r="AI360">
            <v>0</v>
          </cell>
        </row>
        <row r="361">
          <cell r="B361" t="str">
            <v>EDSON MARCOS CAMPOS LESSA JUNIOR</v>
          </cell>
          <cell r="K361" t="str">
            <v>CAMPUS CURITIBA</v>
          </cell>
          <cell r="AG361" t="str">
            <v>SIM</v>
          </cell>
          <cell r="AI361">
            <v>8</v>
          </cell>
        </row>
        <row r="362">
          <cell r="B362" t="str">
            <v>EDUARDO ALCANTARA QUIDIGNO</v>
          </cell>
          <cell r="K362" t="str">
            <v>CAMPUS CURITIBA</v>
          </cell>
          <cell r="AG362" t="str">
            <v>SIM</v>
          </cell>
          <cell r="AI362">
            <v>17</v>
          </cell>
        </row>
        <row r="363">
          <cell r="B363" t="str">
            <v>EDUARDO ANTONIO ANDRADE DOS SANTOS</v>
          </cell>
          <cell r="K363" t="str">
            <v>CAMPUS CURITIBA</v>
          </cell>
          <cell r="AG363" t="str">
            <v>SIM</v>
          </cell>
          <cell r="AI363">
            <v>17</v>
          </cell>
        </row>
        <row r="364">
          <cell r="B364" t="str">
            <v>EDUARDO AUGUSTO DA SILVA CARVALHO</v>
          </cell>
          <cell r="K364" t="str">
            <v>CAMPUS CURITIBA</v>
          </cell>
          <cell r="AG364" t="str">
            <v>NÃO</v>
          </cell>
          <cell r="AI364">
            <v>0</v>
          </cell>
        </row>
        <row r="365">
          <cell r="B365" t="str">
            <v>EDUARDO BASTOS DE BARROS</v>
          </cell>
          <cell r="K365" t="str">
            <v>CAMPUS CURITIBA</v>
          </cell>
          <cell r="AG365" t="str">
            <v>SIM</v>
          </cell>
          <cell r="AI365">
            <v>1</v>
          </cell>
        </row>
        <row r="366">
          <cell r="B366" t="str">
            <v>EDUARDO BIACCHI GOMES</v>
          </cell>
          <cell r="K366" t="str">
            <v>CAMPUS CURITIBA</v>
          </cell>
          <cell r="AG366" t="str">
            <v>SIM</v>
          </cell>
          <cell r="AI366">
            <v>8</v>
          </cell>
        </row>
        <row r="367">
          <cell r="B367" t="str">
            <v>EDUARDO DAMIAO DA SILVA</v>
          </cell>
          <cell r="K367" t="str">
            <v>CAMPUS CURITIBA</v>
          </cell>
          <cell r="AG367" t="str">
            <v>NÃO</v>
          </cell>
          <cell r="AI367">
            <v>36</v>
          </cell>
        </row>
        <row r="368">
          <cell r="B368" t="str">
            <v>EDUARDO DE FREITAS ROCHA LOURES</v>
          </cell>
          <cell r="K368" t="str">
            <v>CAMPUS CURITIBA</v>
          </cell>
          <cell r="AG368" t="str">
            <v>NÃO</v>
          </cell>
          <cell r="AI368">
            <v>36</v>
          </cell>
        </row>
        <row r="369">
          <cell r="B369" t="str">
            <v>EDUARDO KARAM SALTORI</v>
          </cell>
          <cell r="K369" t="str">
            <v>CAMPUS CURITIBA</v>
          </cell>
          <cell r="AG369" t="str">
            <v>SIM</v>
          </cell>
          <cell r="AI369">
            <v>11</v>
          </cell>
        </row>
        <row r="370">
          <cell r="B370" t="str">
            <v>EDUARDO KUGLER VIEGAS</v>
          </cell>
          <cell r="K370" t="str">
            <v>CAMPUS CURITIBA</v>
          </cell>
          <cell r="AG370" t="str">
            <v>NÃO</v>
          </cell>
          <cell r="AI370">
            <v>32</v>
          </cell>
        </row>
        <row r="371">
          <cell r="B371" t="str">
            <v>EDUARDO LOPES MARTINS</v>
          </cell>
          <cell r="K371" t="str">
            <v>CAMPUS CURITIBA</v>
          </cell>
          <cell r="AG371" t="str">
            <v>SIM</v>
          </cell>
          <cell r="AI371">
            <v>8</v>
          </cell>
        </row>
        <row r="372">
          <cell r="B372" t="str">
            <v>EDUARDO MENDONCA SCHEEREN</v>
          </cell>
          <cell r="K372" t="str">
            <v>CAMPUS CURITIBA</v>
          </cell>
          <cell r="AG372" t="str">
            <v>NÃO</v>
          </cell>
          <cell r="AI372">
            <v>33</v>
          </cell>
        </row>
        <row r="373">
          <cell r="B373" t="str">
            <v>EDUARDO MONTEIRO MEDA</v>
          </cell>
          <cell r="K373" t="str">
            <v>CAMPUS CURITIBA</v>
          </cell>
          <cell r="AG373" t="str">
            <v>SIM</v>
          </cell>
          <cell r="AI373">
            <v>7</v>
          </cell>
        </row>
        <row r="374">
          <cell r="B374" t="str">
            <v>EDUARDO MOREIRA THOME</v>
          </cell>
          <cell r="K374" t="str">
            <v>CAMPUS CURITIBA</v>
          </cell>
          <cell r="AG374" t="str">
            <v>SIM</v>
          </cell>
          <cell r="AI374">
            <v>4</v>
          </cell>
        </row>
        <row r="375">
          <cell r="B375" t="str">
            <v>EDUARDO MURILO NOVAK</v>
          </cell>
          <cell r="K375" t="str">
            <v>CAMPUS CURITIBA</v>
          </cell>
          <cell r="AG375" t="str">
            <v>SIM</v>
          </cell>
          <cell r="AI375">
            <v>21</v>
          </cell>
        </row>
        <row r="376">
          <cell r="B376" t="str">
            <v>EDUARDO OLIVEIRA AGUSTINHO</v>
          </cell>
          <cell r="K376" t="str">
            <v>CAMPUS CURITIBA</v>
          </cell>
          <cell r="AG376" t="str">
            <v>NÃO</v>
          </cell>
          <cell r="AI376">
            <v>32</v>
          </cell>
        </row>
        <row r="377">
          <cell r="B377" t="str">
            <v>EDUARDO QUADROS DA SILVA</v>
          </cell>
          <cell r="K377" t="str">
            <v>CAMPUS CURITIBA</v>
          </cell>
          <cell r="AG377" t="str">
            <v>SIM</v>
          </cell>
          <cell r="AI377">
            <v>16</v>
          </cell>
        </row>
        <row r="378">
          <cell r="B378" t="str">
            <v>EDUARDO RIBEIRO DA FONSECA</v>
          </cell>
          <cell r="K378" t="str">
            <v>CAMPUS CURITIBA</v>
          </cell>
          <cell r="AG378" t="str">
            <v>NÃO</v>
          </cell>
          <cell r="AI378">
            <v>32</v>
          </cell>
        </row>
        <row r="379">
          <cell r="B379" t="str">
            <v>EDUARDO RODRIGUES GARCIA</v>
          </cell>
          <cell r="K379" t="str">
            <v>CAMPUS CURITIBA</v>
          </cell>
          <cell r="AG379" t="str">
            <v>NÃO</v>
          </cell>
          <cell r="AI379">
            <v>0</v>
          </cell>
        </row>
        <row r="380">
          <cell r="B380" t="str">
            <v>EDUARDO RONCATTO</v>
          </cell>
          <cell r="K380" t="str">
            <v>CAMPUS CURITIBA</v>
          </cell>
          <cell r="AG380" t="str">
            <v>SIM</v>
          </cell>
          <cell r="AI380">
            <v>4</v>
          </cell>
        </row>
        <row r="381">
          <cell r="B381" t="str">
            <v>EDUARDO ZORZO SARTORETTO</v>
          </cell>
          <cell r="K381" t="str">
            <v>Campus Toledo</v>
          </cell>
          <cell r="AG381" t="str">
            <v>SIM</v>
          </cell>
          <cell r="AI381">
            <v>4</v>
          </cell>
        </row>
        <row r="382">
          <cell r="B382" t="str">
            <v>EDVALDO ANTONIO RIBEIRO ROSA</v>
          </cell>
          <cell r="K382" t="str">
            <v>CAMPUS CURITIBA</v>
          </cell>
          <cell r="AG382" t="str">
            <v>NÃO</v>
          </cell>
          <cell r="AI382">
            <v>32</v>
          </cell>
        </row>
        <row r="383">
          <cell r="B383" t="str">
            <v>ELADIO CONSTANTINO PABLO CRAIA</v>
          </cell>
          <cell r="K383" t="str">
            <v>CAMPUS CURITIBA</v>
          </cell>
          <cell r="AG383" t="str">
            <v>NÃO</v>
          </cell>
          <cell r="AI383">
            <v>30</v>
          </cell>
        </row>
        <row r="384">
          <cell r="B384" t="str">
            <v>ELENI JULIATO PIOVESAN</v>
          </cell>
          <cell r="K384" t="str">
            <v>CAMPUS CURITIBA</v>
          </cell>
          <cell r="AG384" t="str">
            <v>SIM</v>
          </cell>
          <cell r="AI384">
            <v>16</v>
          </cell>
        </row>
        <row r="385">
          <cell r="B385" t="str">
            <v>ELEONORA ELISIA ABRA BLANCO</v>
          </cell>
          <cell r="K385" t="str">
            <v>CAMPUS LONDRINA</v>
          </cell>
          <cell r="AG385" t="str">
            <v>SIM</v>
          </cell>
          <cell r="AI385">
            <v>7</v>
          </cell>
        </row>
        <row r="386">
          <cell r="B386" t="str">
            <v>ELIANA BENATTI</v>
          </cell>
          <cell r="K386" t="str">
            <v>CAMPUS TOLEDO</v>
          </cell>
          <cell r="AG386" t="str">
            <v>SIM</v>
          </cell>
          <cell r="AI386">
            <v>13</v>
          </cell>
        </row>
        <row r="387">
          <cell r="B387" t="str">
            <v>ELIANDRO REIS TAVARES</v>
          </cell>
          <cell r="K387" t="str">
            <v>CAMPUS LONDRINA</v>
          </cell>
          <cell r="AG387" t="str">
            <v>SIM</v>
          </cell>
          <cell r="AI387">
            <v>5</v>
          </cell>
        </row>
        <row r="388">
          <cell r="B388" t="str">
            <v>ELIANE AMARAL GHIRELLI</v>
          </cell>
          <cell r="K388" t="str">
            <v>CAMPUS CURITIBA</v>
          </cell>
          <cell r="AG388" t="str">
            <v>SIM</v>
          </cell>
          <cell r="AI388">
            <v>12</v>
          </cell>
        </row>
        <row r="389">
          <cell r="B389" t="str">
            <v>ELIANE BOGO CABECA</v>
          </cell>
          <cell r="K389" t="str">
            <v>Campus Londrina</v>
          </cell>
          <cell r="AG389" t="str">
            <v>SIM</v>
          </cell>
          <cell r="AI389">
            <v>7</v>
          </cell>
        </row>
        <row r="390">
          <cell r="B390" t="str">
            <v>ELIANE CRISTINE FRANCISCO MAFFEZZOLLI</v>
          </cell>
          <cell r="K390" t="str">
            <v>CAMPUS CURITIBA</v>
          </cell>
          <cell r="AG390" t="str">
            <v>NÃO</v>
          </cell>
          <cell r="AI390">
            <v>36</v>
          </cell>
        </row>
        <row r="391">
          <cell r="B391" t="str">
            <v>ELIANE FATIMA ROCHA ENGELSING</v>
          </cell>
          <cell r="K391" t="str">
            <v>CAMPUS TOLEDO</v>
          </cell>
          <cell r="AG391" t="str">
            <v>SIM</v>
          </cell>
          <cell r="AI391">
            <v>4</v>
          </cell>
        </row>
        <row r="392">
          <cell r="B392" t="str">
            <v>ELIAS WOLFF</v>
          </cell>
          <cell r="K392" t="str">
            <v>CAMPUS CURITIBA</v>
          </cell>
          <cell r="AG392" t="str">
            <v>NÃO</v>
          </cell>
          <cell r="AI392">
            <v>34</v>
          </cell>
        </row>
        <row r="393">
          <cell r="B393" t="str">
            <v>ELISA SOUZA CAMARGO</v>
          </cell>
          <cell r="K393" t="str">
            <v>CAMPUS CURITIBA</v>
          </cell>
          <cell r="AG393" t="str">
            <v>NÃO</v>
          </cell>
          <cell r="AI393">
            <v>34</v>
          </cell>
        </row>
        <row r="394">
          <cell r="B394" t="str">
            <v>ELISANGELA BESKO LUIZ</v>
          </cell>
          <cell r="K394" t="str">
            <v>CAMPUS CURITIBA</v>
          </cell>
          <cell r="AG394" t="str">
            <v>NÃO</v>
          </cell>
          <cell r="AI394">
            <v>0</v>
          </cell>
        </row>
        <row r="395">
          <cell r="B395" t="str">
            <v>ELISANGELA FERRETTI MANFFRA</v>
          </cell>
          <cell r="K395" t="str">
            <v>CAMPUS CURITIBA</v>
          </cell>
          <cell r="AG395" t="str">
            <v>NÃO</v>
          </cell>
          <cell r="AI395">
            <v>32</v>
          </cell>
        </row>
        <row r="396">
          <cell r="B396" t="str">
            <v>ELIZABETH RIBEIRO MARTINS</v>
          </cell>
          <cell r="K396" t="str">
            <v>CAMPUS CURITIBA</v>
          </cell>
          <cell r="AG396" t="str">
            <v>NÃO</v>
          </cell>
          <cell r="AI396">
            <v>36</v>
          </cell>
        </row>
        <row r="397">
          <cell r="B397" t="str">
            <v>ELOETE CAMILLI OLIVEIRA</v>
          </cell>
          <cell r="K397" t="str">
            <v>CAMPUS CURITIBA</v>
          </cell>
          <cell r="AG397" t="str">
            <v>SIM</v>
          </cell>
          <cell r="AI397">
            <v>4</v>
          </cell>
        </row>
        <row r="398">
          <cell r="B398" t="str">
            <v>ELOISA CRISTINA GONCALVES</v>
          </cell>
          <cell r="K398" t="str">
            <v>CAMPUS CURITIBA</v>
          </cell>
          <cell r="AG398" t="str">
            <v>SIM</v>
          </cell>
          <cell r="AI398">
            <v>8</v>
          </cell>
        </row>
        <row r="399">
          <cell r="B399" t="str">
            <v>ELOIZE AUGUSTA DA CRUZ</v>
          </cell>
          <cell r="K399" t="str">
            <v>CAMPUS CURITIBA</v>
          </cell>
          <cell r="AG399" t="str">
            <v>NÃO</v>
          </cell>
          <cell r="AI399">
            <v>28</v>
          </cell>
        </row>
        <row r="400">
          <cell r="B400" t="str">
            <v>EMANUEL DA SILVEIRA FALEIROS</v>
          </cell>
          <cell r="K400" t="str">
            <v>CAMPUS CURITIBA</v>
          </cell>
          <cell r="AG400" t="str">
            <v>SIM</v>
          </cell>
          <cell r="AI400">
            <v>26</v>
          </cell>
        </row>
        <row r="401">
          <cell r="B401" t="str">
            <v>EMANUEL GOIS JUNIOR</v>
          </cell>
          <cell r="K401" t="str">
            <v>CAMPUS LONDRINA</v>
          </cell>
          <cell r="AG401" t="str">
            <v>SIM</v>
          </cell>
          <cell r="AI401">
            <v>16</v>
          </cell>
        </row>
        <row r="402">
          <cell r="B402" t="str">
            <v>EMERSON CABRERA PARAISO</v>
          </cell>
          <cell r="K402" t="str">
            <v>CAMPUS CURITIBA</v>
          </cell>
          <cell r="AG402" t="str">
            <v>NÃO</v>
          </cell>
          <cell r="AI402">
            <v>34</v>
          </cell>
        </row>
        <row r="403">
          <cell r="B403" t="str">
            <v>EMERSON DONAISKY</v>
          </cell>
          <cell r="K403" t="str">
            <v>CAMPUS CURITIBA</v>
          </cell>
          <cell r="AG403" t="str">
            <v>NÃO</v>
          </cell>
          <cell r="AI403">
            <v>32</v>
          </cell>
        </row>
        <row r="404">
          <cell r="B404" t="str">
            <v>EMERSON GABARDO</v>
          </cell>
          <cell r="K404" t="str">
            <v>CAMPUS CURITIBA</v>
          </cell>
          <cell r="AG404" t="str">
            <v>NÃO</v>
          </cell>
          <cell r="AI404">
            <v>32</v>
          </cell>
        </row>
        <row r="405">
          <cell r="B405" t="str">
            <v>EMERSON MARTIM</v>
          </cell>
          <cell r="K405" t="str">
            <v>CAMPUS CURITIBA</v>
          </cell>
          <cell r="AG405" t="str">
            <v>SIM</v>
          </cell>
          <cell r="AI405">
            <v>16</v>
          </cell>
        </row>
        <row r="406">
          <cell r="B406" t="str">
            <v>EMERSON PEREIRA GREGORIO</v>
          </cell>
          <cell r="K406" t="str">
            <v>CAMPUS LONDRINA</v>
          </cell>
          <cell r="AG406" t="str">
            <v>SIM</v>
          </cell>
          <cell r="AI406">
            <v>20</v>
          </cell>
        </row>
        <row r="407">
          <cell r="B407" t="str">
            <v>EMERSON RIBEIRO PALMA</v>
          </cell>
          <cell r="K407" t="str">
            <v>CAMPUS CURITIBA</v>
          </cell>
          <cell r="AG407" t="str">
            <v>NÃO</v>
          </cell>
          <cell r="AI407">
            <v>0</v>
          </cell>
        </row>
        <row r="408">
          <cell r="B408" t="str">
            <v>EMILE FERNANDES SPINASSI TEIXEIRA</v>
          </cell>
          <cell r="K408" t="str">
            <v>Campus Curitiba</v>
          </cell>
          <cell r="AG408" t="str">
            <v>SIM</v>
          </cell>
          <cell r="AI408">
            <v>3</v>
          </cell>
        </row>
        <row r="409">
          <cell r="B409" t="str">
            <v>EMMANUEL SOUZA DA ROCHA</v>
          </cell>
          <cell r="K409" t="str">
            <v>CAMPUS CURITIBA</v>
          </cell>
          <cell r="AG409" t="str">
            <v>NÃO</v>
          </cell>
          <cell r="AI409">
            <v>38</v>
          </cell>
        </row>
        <row r="410">
          <cell r="B410" t="str">
            <v>EMMANUEL STESSY AMOA RODRIGUES DA GUIA NYAMIEN</v>
          </cell>
          <cell r="K410" t="str">
            <v>Campus Toledo</v>
          </cell>
          <cell r="AG410" t="str">
            <v>SIM</v>
          </cell>
          <cell r="AI410">
            <v>6</v>
          </cell>
        </row>
        <row r="411">
          <cell r="B411" t="str">
            <v>ENIO FRANCISCO MOURA</v>
          </cell>
          <cell r="K411" t="str">
            <v>CAMPUS CURITIBA</v>
          </cell>
          <cell r="AG411" t="str">
            <v>SIM</v>
          </cell>
          <cell r="AI411">
            <v>4</v>
          </cell>
        </row>
        <row r="412">
          <cell r="B412" t="str">
            <v>ERIC DANILO PAULS SOTELO</v>
          </cell>
          <cell r="K412" t="str">
            <v>CAMPUS CURITIBA</v>
          </cell>
          <cell r="AG412" t="str">
            <v>SIM</v>
          </cell>
          <cell r="AI412">
            <v>8</v>
          </cell>
        </row>
        <row r="413">
          <cell r="B413" t="str">
            <v>ERIC GRIEGER BANHOLZER</v>
          </cell>
          <cell r="K413" t="str">
            <v>CAMPUS CURITIBA</v>
          </cell>
          <cell r="AG413" t="str">
            <v>SIM</v>
          </cell>
          <cell r="AI413">
            <v>21</v>
          </cell>
        </row>
        <row r="414">
          <cell r="B414" t="str">
            <v>ERICA REGINA TAKANO NATTI</v>
          </cell>
          <cell r="K414" t="str">
            <v>CAMPUS LONDRINA</v>
          </cell>
          <cell r="AG414" t="str">
            <v>NÃO</v>
          </cell>
          <cell r="AI414">
            <v>30</v>
          </cell>
        </row>
        <row r="415">
          <cell r="B415" t="str">
            <v>ERICSON LUIZ STRAUB</v>
          </cell>
          <cell r="K415" t="str">
            <v>CAMPUS CURITIBA</v>
          </cell>
          <cell r="AG415" t="str">
            <v>SIM</v>
          </cell>
          <cell r="AI415">
            <v>0</v>
          </cell>
        </row>
        <row r="416">
          <cell r="B416" t="str">
            <v>ERICSON PEREIRA</v>
          </cell>
          <cell r="K416" t="str">
            <v>CAMPUS CURITIBA</v>
          </cell>
          <cell r="AG416" t="str">
            <v>NÃO</v>
          </cell>
          <cell r="AI416">
            <v>32</v>
          </cell>
        </row>
        <row r="417">
          <cell r="B417" t="str">
            <v>ERICSON SAVIO FALABRETTI</v>
          </cell>
          <cell r="K417" t="str">
            <v>CAMPUS CURITIBA</v>
          </cell>
          <cell r="AG417" t="str">
            <v>NÃO</v>
          </cell>
          <cell r="AI417">
            <v>40</v>
          </cell>
        </row>
        <row r="418">
          <cell r="B418" t="str">
            <v>ERIKA HOYAMA</v>
          </cell>
          <cell r="K418" t="str">
            <v>CAMPUS LONDRINA</v>
          </cell>
          <cell r="AG418" t="str">
            <v>SIM</v>
          </cell>
          <cell r="AI418">
            <v>5</v>
          </cell>
        </row>
        <row r="419">
          <cell r="B419" t="str">
            <v>ERIKA OKUNO</v>
          </cell>
          <cell r="K419" t="str">
            <v>CAMPUS LONDRINA</v>
          </cell>
          <cell r="AG419" t="str">
            <v>SIM</v>
          </cell>
          <cell r="AI419">
            <v>7</v>
          </cell>
        </row>
        <row r="420">
          <cell r="B420" t="str">
            <v>ERNESTO JOSUE SCHMITT</v>
          </cell>
          <cell r="K420" t="str">
            <v>CAMPUS CURITIBA</v>
          </cell>
          <cell r="AG420" t="str">
            <v>SIM</v>
          </cell>
          <cell r="AI420">
            <v>16</v>
          </cell>
        </row>
        <row r="421">
          <cell r="B421" t="str">
            <v>ERNESTO LAZARO SIENNA</v>
          </cell>
          <cell r="K421" t="str">
            <v>CAMPUS CURITIBA</v>
          </cell>
          <cell r="AG421" t="str">
            <v>NÃO</v>
          </cell>
          <cell r="AI421">
            <v>34</v>
          </cell>
        </row>
        <row r="422">
          <cell r="B422" t="str">
            <v>ERON FABIO MIRANDA</v>
          </cell>
          <cell r="K422" t="str">
            <v>CAMPUS CURITIBA</v>
          </cell>
          <cell r="AG422" t="str">
            <v>SIM</v>
          </cell>
          <cell r="AI422">
            <v>22</v>
          </cell>
        </row>
        <row r="423">
          <cell r="B423" t="str">
            <v>EROS LUIZ DE SOUSA</v>
          </cell>
          <cell r="K423" t="str">
            <v>CAMPUS CURITIBA</v>
          </cell>
          <cell r="AG423" t="str">
            <v>SIM</v>
          </cell>
          <cell r="AI423">
            <v>4</v>
          </cell>
        </row>
        <row r="424">
          <cell r="B424" t="str">
            <v>ETIANE CALOY BOVKALOVSKI</v>
          </cell>
          <cell r="K424" t="str">
            <v>CAMPUS CURITIBA</v>
          </cell>
          <cell r="AG424" t="str">
            <v>NÃO</v>
          </cell>
          <cell r="AI424">
            <v>38</v>
          </cell>
        </row>
        <row r="425">
          <cell r="B425" t="str">
            <v>EVANDRO ALBERTO ZATTI</v>
          </cell>
          <cell r="K425" t="str">
            <v>CAMPUS CURITIBA</v>
          </cell>
          <cell r="AG425" t="str">
            <v>SIM</v>
          </cell>
          <cell r="AI425">
            <v>12</v>
          </cell>
        </row>
        <row r="426">
          <cell r="B426" t="str">
            <v>EVANDRO JACKSON REDIVO NAVA</v>
          </cell>
          <cell r="K426" t="str">
            <v>CAMPUS TOLEDO</v>
          </cell>
          <cell r="AG426" t="str">
            <v>NÃO</v>
          </cell>
          <cell r="AI426">
            <v>30</v>
          </cell>
        </row>
        <row r="427">
          <cell r="B427" t="str">
            <v>EVARY ELYS ANGHINONI</v>
          </cell>
          <cell r="K427" t="str">
            <v>CAMPUS CURITIBA</v>
          </cell>
          <cell r="AG427" t="str">
            <v>SIM</v>
          </cell>
          <cell r="AI427">
            <v>16</v>
          </cell>
        </row>
        <row r="428">
          <cell r="B428" t="str">
            <v>EVELIN MONIQUE FERREIRA DA SILVA</v>
          </cell>
          <cell r="K428" t="str">
            <v>CAMPUS CURITIBA</v>
          </cell>
          <cell r="AG428" t="str">
            <v>NÃO</v>
          </cell>
          <cell r="AI428">
            <v>0</v>
          </cell>
        </row>
        <row r="429">
          <cell r="B429" t="str">
            <v>EVELISE MACHADO DE SOUZA</v>
          </cell>
          <cell r="K429" t="str">
            <v>CAMPUS CURITIBA</v>
          </cell>
          <cell r="AG429" t="str">
            <v>NÃO</v>
          </cell>
          <cell r="AI429">
            <v>31</v>
          </cell>
        </row>
        <row r="430">
          <cell r="B430" t="str">
            <v>EVERALDO ANTONIO RUTANA PEREIRA</v>
          </cell>
          <cell r="K430" t="str">
            <v>CAMPUS CURITIBA</v>
          </cell>
          <cell r="AG430" t="str">
            <v>SIM</v>
          </cell>
          <cell r="AI430">
            <v>4</v>
          </cell>
        </row>
        <row r="431">
          <cell r="B431" t="str">
            <v>EVERDAN CARNEIRO</v>
          </cell>
          <cell r="K431" t="str">
            <v>CAMPUS CURITIBA</v>
          </cell>
          <cell r="AG431" t="str">
            <v>NÃO</v>
          </cell>
          <cell r="AI431">
            <v>30</v>
          </cell>
        </row>
        <row r="432">
          <cell r="B432" t="str">
            <v>EVERSON LUIZ OLIVEIRA MOTTA</v>
          </cell>
          <cell r="K432" t="str">
            <v>CAMPUS CURITIBA</v>
          </cell>
          <cell r="AG432" t="str">
            <v>NÃO</v>
          </cell>
          <cell r="AI432">
            <v>32</v>
          </cell>
        </row>
        <row r="433">
          <cell r="B433" t="str">
            <v>EVERTON CARDOSO LEITE</v>
          </cell>
          <cell r="K433" t="str">
            <v>CAMPUS CURITIBA</v>
          </cell>
          <cell r="AG433" t="str">
            <v>SIM</v>
          </cell>
          <cell r="AI433">
            <v>0</v>
          </cell>
        </row>
        <row r="434">
          <cell r="B434" t="str">
            <v>EWERTON DE SA KAVISKI</v>
          </cell>
          <cell r="K434" t="str">
            <v>CAMPUS CURITIBA</v>
          </cell>
          <cell r="AG434" t="str">
            <v>SIM</v>
          </cell>
          <cell r="AI434">
            <v>6</v>
          </cell>
        </row>
        <row r="435">
          <cell r="B435" t="str">
            <v>FABIANA BARTALINI VON DER OSTEN</v>
          </cell>
          <cell r="K435" t="str">
            <v>CAMPUS CURITIBA</v>
          </cell>
          <cell r="AG435" t="str">
            <v>NÃO</v>
          </cell>
          <cell r="AI435">
            <v>30</v>
          </cell>
        </row>
        <row r="436">
          <cell r="B436" t="str">
            <v>FABIANA DOS SANTOS MONTI</v>
          </cell>
          <cell r="K436" t="str">
            <v>CAMPUS CURITIBA</v>
          </cell>
          <cell r="AG436" t="str">
            <v>SIM</v>
          </cell>
          <cell r="AI436">
            <v>12</v>
          </cell>
        </row>
        <row r="437">
          <cell r="B437" t="str">
            <v>FABIANA THIELE ESCUDERO</v>
          </cell>
          <cell r="K437" t="str">
            <v>CAMPUS CURITIBA</v>
          </cell>
          <cell r="AG437" t="str">
            <v>NÃO</v>
          </cell>
          <cell r="AI437">
            <v>38</v>
          </cell>
        </row>
        <row r="438">
          <cell r="B438" t="str">
            <v>FABIANE DE CASSIA SAVI TOMASIAK</v>
          </cell>
          <cell r="K438" t="str">
            <v>CAMPUS CURITIBA</v>
          </cell>
          <cell r="AG438" t="str">
            <v>SIM</v>
          </cell>
          <cell r="AI438">
            <v>16</v>
          </cell>
        </row>
        <row r="439">
          <cell r="B439" t="str">
            <v>FABIANO DE LIMA TYKALOWITZ</v>
          </cell>
          <cell r="K439" t="str">
            <v>Campus Toledo</v>
          </cell>
          <cell r="AG439" t="str">
            <v>SIM</v>
          </cell>
          <cell r="AI439">
            <v>4</v>
          </cell>
        </row>
        <row r="440">
          <cell r="B440" t="str">
            <v>FABIANO INCERTI</v>
          </cell>
          <cell r="K440" t="str">
            <v>CAMPUS CURITIBA</v>
          </cell>
          <cell r="AG440" t="str">
            <v>NÃO</v>
          </cell>
          <cell r="AI440">
            <v>40</v>
          </cell>
        </row>
        <row r="441">
          <cell r="B441" t="str">
            <v>FABIO GARCEZ BETTIO</v>
          </cell>
          <cell r="K441" t="str">
            <v>CAMPUS CURITIBA</v>
          </cell>
          <cell r="AG441" t="str">
            <v>SIM</v>
          </cell>
          <cell r="AI441">
            <v>2</v>
          </cell>
        </row>
        <row r="442">
          <cell r="B442" t="str">
            <v>FABIO HENRIQUE FARIA</v>
          </cell>
          <cell r="K442" t="str">
            <v>Campus Curitiba</v>
          </cell>
          <cell r="AG442" t="str">
            <v>SIM</v>
          </cell>
          <cell r="AI442">
            <v>2</v>
          </cell>
        </row>
        <row r="443">
          <cell r="B443" t="str">
            <v>FABIO HENRIQUE FELTRIN</v>
          </cell>
          <cell r="K443" t="str">
            <v>CAMPUS CURITIBA</v>
          </cell>
          <cell r="AG443" t="str">
            <v>NÃO</v>
          </cell>
          <cell r="AI443">
            <v>36</v>
          </cell>
        </row>
        <row r="444">
          <cell r="B444" t="str">
            <v>FABIO INACIO PEREIRA</v>
          </cell>
          <cell r="K444" t="str">
            <v>CAMPUS LONDRINA</v>
          </cell>
          <cell r="AG444" t="str">
            <v>SIM</v>
          </cell>
          <cell r="AI444">
            <v>30</v>
          </cell>
        </row>
        <row r="445">
          <cell r="B445" t="str">
            <v>FABIO MONTAGNA SEKIYAMA</v>
          </cell>
          <cell r="K445" t="str">
            <v>CAMPUS LONDRINA</v>
          </cell>
          <cell r="AG445" t="str">
            <v>SIM</v>
          </cell>
          <cell r="AI445">
            <v>14</v>
          </cell>
        </row>
        <row r="446">
          <cell r="B446" t="str">
            <v>FABIO ROCHA FARIAS</v>
          </cell>
          <cell r="K446" t="str">
            <v>CAMPUS CURITIBA</v>
          </cell>
          <cell r="AG446" t="str">
            <v>SIM</v>
          </cell>
          <cell r="AI446">
            <v>7</v>
          </cell>
        </row>
        <row r="447">
          <cell r="B447" t="str">
            <v>FABIO TEODORO DE SOUZA</v>
          </cell>
          <cell r="K447" t="str">
            <v>CAMPUS CURITIBA</v>
          </cell>
          <cell r="AG447" t="str">
            <v>NÃO</v>
          </cell>
          <cell r="AI447">
            <v>38</v>
          </cell>
        </row>
        <row r="448">
          <cell r="B448" t="str">
            <v>FABIO VINICIUS BINDER</v>
          </cell>
          <cell r="K448" t="str">
            <v>CAMPUS CURITIBA</v>
          </cell>
          <cell r="AG448" t="str">
            <v>NÃO</v>
          </cell>
          <cell r="AI448">
            <v>40</v>
          </cell>
        </row>
        <row r="449">
          <cell r="B449" t="str">
            <v>FABIOLA BRENNER HILGENBERG</v>
          </cell>
          <cell r="K449" t="str">
            <v>CAMPUS CURITIBA</v>
          </cell>
          <cell r="AG449" t="str">
            <v>SIM</v>
          </cell>
          <cell r="AI449">
            <v>2</v>
          </cell>
        </row>
        <row r="450">
          <cell r="B450" t="str">
            <v>FABRICIO ENEMBRECK</v>
          </cell>
          <cell r="K450" t="str">
            <v>CAMPUS CURITIBA</v>
          </cell>
          <cell r="AG450" t="str">
            <v>NÃO</v>
          </cell>
          <cell r="AI450">
            <v>34</v>
          </cell>
        </row>
        <row r="451">
          <cell r="B451" t="str">
            <v>FABRIZIO ZANDONADI CATENASSI</v>
          </cell>
          <cell r="K451" t="str">
            <v>CAMPUS LONDRINA</v>
          </cell>
          <cell r="AG451" t="str">
            <v>NÃO</v>
          </cell>
          <cell r="AI451">
            <v>24</v>
          </cell>
        </row>
        <row r="452">
          <cell r="B452" t="str">
            <v>FATIMA MITSIE CHIBANA SOARES</v>
          </cell>
          <cell r="K452" t="str">
            <v>CAMPUS LONDRINA</v>
          </cell>
          <cell r="AG452" t="str">
            <v>SIM</v>
          </cell>
          <cell r="AI452">
            <v>12</v>
          </cell>
        </row>
        <row r="453">
          <cell r="B453" t="str">
            <v>FEDERICO FERRAGUTO</v>
          </cell>
          <cell r="K453" t="str">
            <v>CAMPUS CURITIBA</v>
          </cell>
          <cell r="AG453" t="str">
            <v>NÃO</v>
          </cell>
          <cell r="AI453">
            <v>40</v>
          </cell>
        </row>
        <row r="454">
          <cell r="B454" t="str">
            <v>FELICIO ARAGAO SAVIOLI</v>
          </cell>
          <cell r="K454" t="str">
            <v>CAMPUS CURITIBA</v>
          </cell>
          <cell r="AG454" t="str">
            <v>SIM</v>
          </cell>
          <cell r="AI454">
            <v>16</v>
          </cell>
        </row>
        <row r="455">
          <cell r="B455" t="str">
            <v>FELIPE AUGUSTO PRZYSIADA</v>
          </cell>
          <cell r="K455" t="str">
            <v>Campus Curitiba</v>
          </cell>
          <cell r="AG455" t="str">
            <v>SIM</v>
          </cell>
          <cell r="AI455">
            <v>2</v>
          </cell>
        </row>
        <row r="456">
          <cell r="B456" t="str">
            <v>FELIPE DE OLIVEIRA SOUZA</v>
          </cell>
          <cell r="K456" t="str">
            <v>CAMPUS LONDRINA</v>
          </cell>
          <cell r="AG456" t="str">
            <v>SIM</v>
          </cell>
          <cell r="AI456">
            <v>16</v>
          </cell>
        </row>
        <row r="457">
          <cell r="B457" t="str">
            <v>FELIPE DE POLI DE SIQUEIRA</v>
          </cell>
          <cell r="K457" t="str">
            <v>CAMPUS CURITIBA</v>
          </cell>
          <cell r="AG457" t="str">
            <v>SIM</v>
          </cell>
          <cell r="AI457">
            <v>0</v>
          </cell>
        </row>
        <row r="458">
          <cell r="B458" t="str">
            <v>FELIPE FRANCISCO BONDAN TUON</v>
          </cell>
          <cell r="K458" t="str">
            <v>CAMPUS CURITIBA</v>
          </cell>
          <cell r="AG458" t="str">
            <v>NÃO</v>
          </cell>
          <cell r="AI458">
            <v>40</v>
          </cell>
        </row>
        <row r="459">
          <cell r="B459" t="str">
            <v>FELIPE GANZERT OLIVEIRA</v>
          </cell>
          <cell r="K459" t="str">
            <v>CAMPUS CURITIBA</v>
          </cell>
          <cell r="AG459" t="str">
            <v>SIM</v>
          </cell>
          <cell r="AI459">
            <v>8</v>
          </cell>
        </row>
        <row r="460">
          <cell r="B460" t="str">
            <v>FELIPE NAPOLITANO DA FONSECA</v>
          </cell>
          <cell r="K460" t="str">
            <v>Campus Curitiba</v>
          </cell>
          <cell r="AG460" t="str">
            <v>SIM</v>
          </cell>
          <cell r="AI460">
            <v>0</v>
          </cell>
        </row>
        <row r="461">
          <cell r="B461" t="str">
            <v>FELIPE RANGEL DA SILVA</v>
          </cell>
          <cell r="K461" t="str">
            <v>CAMPUS TOLEDO</v>
          </cell>
          <cell r="AG461" t="str">
            <v>SIM</v>
          </cell>
          <cell r="AI461">
            <v>5</v>
          </cell>
        </row>
        <row r="462">
          <cell r="B462" t="str">
            <v>FELIPE SANTOS PEREIRA</v>
          </cell>
          <cell r="K462" t="str">
            <v>CAMPUS CURITIBA</v>
          </cell>
          <cell r="AG462" t="str">
            <v>NÃO</v>
          </cell>
          <cell r="AI462">
            <v>0</v>
          </cell>
        </row>
        <row r="463">
          <cell r="B463" t="str">
            <v>FELIPE SHOGO HIRUMA</v>
          </cell>
          <cell r="K463" t="str">
            <v>CAMPUS CURITIBA</v>
          </cell>
          <cell r="AG463" t="str">
            <v>NÃO</v>
          </cell>
          <cell r="AI463">
            <v>0</v>
          </cell>
        </row>
        <row r="464">
          <cell r="B464" t="str">
            <v>FERNANDA BIAZETTO VILAR FABRICIO</v>
          </cell>
          <cell r="K464" t="str">
            <v>CAMPUS CURITIBA</v>
          </cell>
          <cell r="AG464" t="str">
            <v>SIM</v>
          </cell>
          <cell r="AI464">
            <v>6</v>
          </cell>
        </row>
        <row r="465">
          <cell r="B465" t="str">
            <v>FERNANDA BRANDALISE BOGONI</v>
          </cell>
          <cell r="K465" t="str">
            <v>CAMPUS CURITIBA</v>
          </cell>
          <cell r="AG465" t="str">
            <v>SIM</v>
          </cell>
          <cell r="AI465">
            <v>0</v>
          </cell>
        </row>
        <row r="466">
          <cell r="B466" t="str">
            <v>FERNANDA BROERING GOMES TORRES</v>
          </cell>
          <cell r="K466" t="str">
            <v>CAMPUS CURITIBA</v>
          </cell>
          <cell r="AG466" t="str">
            <v>SIM</v>
          </cell>
          <cell r="AI466">
            <v>26</v>
          </cell>
        </row>
        <row r="467">
          <cell r="B467" t="str">
            <v>FERNANDA CORREA PAVESI LARA</v>
          </cell>
          <cell r="K467" t="str">
            <v>CAMPUS LONDRINA</v>
          </cell>
          <cell r="AG467" t="str">
            <v>NÃO</v>
          </cell>
          <cell r="AI467">
            <v>28</v>
          </cell>
        </row>
        <row r="468">
          <cell r="B468" t="str">
            <v>FERNANDA CRISTINA BARROS NEVES</v>
          </cell>
          <cell r="K468" t="str">
            <v>Campus Toledo</v>
          </cell>
          <cell r="AG468" t="str">
            <v>SIM</v>
          </cell>
          <cell r="AI468">
            <v>4</v>
          </cell>
        </row>
        <row r="469">
          <cell r="B469" t="str">
            <v>FERNANDA CRISTINA OSTROVSKI SALES</v>
          </cell>
          <cell r="K469" t="str">
            <v>CAMPUS CURITIBA</v>
          </cell>
          <cell r="AG469" t="str">
            <v>NÃO</v>
          </cell>
          <cell r="AI469">
            <v>34</v>
          </cell>
        </row>
        <row r="470">
          <cell r="B470" t="str">
            <v>FERNANDA DIAS DE MORAES</v>
          </cell>
          <cell r="K470" t="str">
            <v>CAMPUS LONDRINA</v>
          </cell>
          <cell r="AG470" t="str">
            <v>SIM</v>
          </cell>
          <cell r="AI470">
            <v>13</v>
          </cell>
        </row>
        <row r="471">
          <cell r="B471" t="str">
            <v>FERNANDA FRANKENBERGER SILVA</v>
          </cell>
          <cell r="K471" t="str">
            <v>CAMPUS CURITIBA</v>
          </cell>
          <cell r="AG471" t="str">
            <v>NÃO</v>
          </cell>
          <cell r="AI471">
            <v>40</v>
          </cell>
        </row>
        <row r="472">
          <cell r="B472" t="str">
            <v>FERNANDA LETICIA SOARES PINHEIRO</v>
          </cell>
          <cell r="K472" t="str">
            <v>CAMPUS CURITIBA</v>
          </cell>
          <cell r="AG472" t="str">
            <v>SIM</v>
          </cell>
          <cell r="AI472">
            <v>20</v>
          </cell>
        </row>
        <row r="473">
          <cell r="B473" t="str">
            <v>FERNANDA LIBONI CAVICCHIOLI</v>
          </cell>
          <cell r="K473" t="str">
            <v>CAMPUS LONDRINA</v>
          </cell>
          <cell r="AG473" t="str">
            <v>SIM</v>
          </cell>
          <cell r="AI473">
            <v>13</v>
          </cell>
        </row>
        <row r="474">
          <cell r="B474" t="str">
            <v>FERNANDA MARA GIBRAN BAUER</v>
          </cell>
          <cell r="K474" t="str">
            <v>CAMPUS CURITIBA</v>
          </cell>
          <cell r="AG474" t="str">
            <v>SIM</v>
          </cell>
          <cell r="AI474">
            <v>4</v>
          </cell>
        </row>
        <row r="475">
          <cell r="B475" t="str">
            <v>FERNANDA MATTIAS SARTORI</v>
          </cell>
          <cell r="K475" t="str">
            <v>Campus Curitiba</v>
          </cell>
          <cell r="AG475" t="str">
            <v>SIM</v>
          </cell>
          <cell r="AI475">
            <v>12</v>
          </cell>
        </row>
        <row r="476">
          <cell r="B476" t="str">
            <v>FERNANDA MEDEIROS ASSEF</v>
          </cell>
          <cell r="K476" t="str">
            <v>Campus Curitiba</v>
          </cell>
          <cell r="AG476" t="str">
            <v>NÃO</v>
          </cell>
          <cell r="AI476">
            <v>30</v>
          </cell>
        </row>
        <row r="477">
          <cell r="B477" t="str">
            <v>FERNANDA PAMPUCH DE FARIA</v>
          </cell>
          <cell r="K477" t="str">
            <v>CAMPUS CURITIBA</v>
          </cell>
          <cell r="AG477" t="str">
            <v>NÃO</v>
          </cell>
          <cell r="AI477">
            <v>0</v>
          </cell>
        </row>
        <row r="478">
          <cell r="B478" t="str">
            <v>FERNANDA PAOLA BUTARELLI</v>
          </cell>
          <cell r="K478" t="str">
            <v>CAMPUS TOLEDO</v>
          </cell>
          <cell r="AG478" t="str">
            <v>NÃO</v>
          </cell>
          <cell r="AI478">
            <v>40</v>
          </cell>
        </row>
        <row r="479">
          <cell r="B479" t="str">
            <v>FERNANDA RAQUEL THOMAZ DE ARAUJO</v>
          </cell>
          <cell r="K479" t="str">
            <v>CAMPUS LONDRINA</v>
          </cell>
          <cell r="AG479" t="str">
            <v>SIM</v>
          </cell>
          <cell r="AI479">
            <v>8</v>
          </cell>
        </row>
        <row r="480">
          <cell r="B480" t="str">
            <v>FERNANDA SCHIER DE FRAGA</v>
          </cell>
          <cell r="K480" t="str">
            <v>CAMPUS CURITIBA</v>
          </cell>
          <cell r="AG480" t="str">
            <v>SIM</v>
          </cell>
          <cell r="AI480">
            <v>7</v>
          </cell>
        </row>
        <row r="481">
          <cell r="B481" t="str">
            <v>FERNANDO BITTENCOURT LUCIANO</v>
          </cell>
          <cell r="K481" t="str">
            <v>CAMPUS CURITIBA</v>
          </cell>
          <cell r="AG481" t="str">
            <v>NÃO</v>
          </cell>
          <cell r="AI481">
            <v>20</v>
          </cell>
        </row>
        <row r="482">
          <cell r="B482" t="str">
            <v>FERNANDO CAVALHEIRO KRAUZER</v>
          </cell>
          <cell r="K482" t="str">
            <v>Campus Curitiba</v>
          </cell>
          <cell r="AG482" t="str">
            <v>SIM</v>
          </cell>
          <cell r="AI482">
            <v>8</v>
          </cell>
        </row>
        <row r="483">
          <cell r="B483" t="str">
            <v>FERNANDO CAVAZOTTI COELHO</v>
          </cell>
          <cell r="K483" t="str">
            <v>CAMPUS CURITIBA</v>
          </cell>
          <cell r="AG483" t="str">
            <v>SIM</v>
          </cell>
          <cell r="AI483">
            <v>4</v>
          </cell>
        </row>
        <row r="484">
          <cell r="B484" t="str">
            <v>FERNANDO DIAS FERREIRA</v>
          </cell>
          <cell r="K484" t="str">
            <v>CAMPUS CURITIBA</v>
          </cell>
          <cell r="AG484" t="str">
            <v>NÃO</v>
          </cell>
          <cell r="AI484">
            <v>0</v>
          </cell>
        </row>
        <row r="485">
          <cell r="B485" t="str">
            <v>FERNANDO FERRAZ FARIA</v>
          </cell>
          <cell r="K485" t="str">
            <v>CAMPUS CURITIBA</v>
          </cell>
          <cell r="AG485" t="str">
            <v>SIM</v>
          </cell>
          <cell r="AI485">
            <v>3</v>
          </cell>
        </row>
        <row r="486">
          <cell r="B486" t="str">
            <v>FERNANDO LOVEL BERGAMASCO</v>
          </cell>
          <cell r="K486" t="str">
            <v>CAMPUS LONDRINA</v>
          </cell>
          <cell r="AG486" t="str">
            <v>SIM</v>
          </cell>
          <cell r="AI486">
            <v>4</v>
          </cell>
        </row>
        <row r="487">
          <cell r="B487" t="str">
            <v>FERNANDO MEYER</v>
          </cell>
          <cell r="K487" t="str">
            <v>CAMPUS CURITIBA</v>
          </cell>
          <cell r="AG487" t="str">
            <v>SIM</v>
          </cell>
          <cell r="AI487">
            <v>8</v>
          </cell>
        </row>
        <row r="488">
          <cell r="B488" t="str">
            <v>FERNANDO ROBERTO ROMAN</v>
          </cell>
          <cell r="K488" t="str">
            <v>CAMPUS TOLEDO</v>
          </cell>
          <cell r="AG488" t="str">
            <v>SIM</v>
          </cell>
          <cell r="AI488">
            <v>9</v>
          </cell>
        </row>
        <row r="489">
          <cell r="B489" t="str">
            <v>FLAVIA AULER</v>
          </cell>
          <cell r="K489" t="str">
            <v>CAMPUS CURITIBA</v>
          </cell>
          <cell r="AG489" t="str">
            <v>NÃO</v>
          </cell>
          <cell r="AI489">
            <v>33</v>
          </cell>
        </row>
        <row r="490">
          <cell r="B490" t="str">
            <v>FLAVIA COSTA PREVEDELLO</v>
          </cell>
          <cell r="K490" t="str">
            <v>Campus Curitiba</v>
          </cell>
          <cell r="AG490" t="str">
            <v>SIM</v>
          </cell>
          <cell r="AI490">
            <v>2</v>
          </cell>
        </row>
        <row r="491">
          <cell r="B491" t="str">
            <v>FLAVIA MARIA DE PAULA SOARES</v>
          </cell>
          <cell r="K491" t="str">
            <v>CAMPUS CURITIBA</v>
          </cell>
          <cell r="AG491" t="str">
            <v>SIM</v>
          </cell>
          <cell r="AI491">
            <v>8</v>
          </cell>
        </row>
        <row r="492">
          <cell r="B492" t="str">
            <v>FLAVIA OBARA KAI</v>
          </cell>
          <cell r="K492" t="str">
            <v>CAMPUS CURITIBA</v>
          </cell>
          <cell r="AG492" t="str">
            <v>NÃO</v>
          </cell>
          <cell r="AI492">
            <v>36</v>
          </cell>
        </row>
        <row r="493">
          <cell r="B493" t="str">
            <v>FLAVIO FREIRE CARVALHO</v>
          </cell>
          <cell r="K493" t="str">
            <v>CAMPUS CURITIBA</v>
          </cell>
          <cell r="AG493" t="str">
            <v>SIM</v>
          </cell>
          <cell r="AI493">
            <v>2</v>
          </cell>
        </row>
        <row r="494">
          <cell r="B494" t="str">
            <v>FLAVIO HEUTA IVANO</v>
          </cell>
          <cell r="K494" t="str">
            <v>CAMPUS CURITIBA</v>
          </cell>
          <cell r="AG494" t="str">
            <v>SIM</v>
          </cell>
          <cell r="AI494">
            <v>12</v>
          </cell>
        </row>
        <row r="495">
          <cell r="B495" t="str">
            <v>FLAVIO LUIZ VON DER OSTEN</v>
          </cell>
          <cell r="K495" t="str">
            <v>CAMPUS CURITIBA</v>
          </cell>
          <cell r="AG495" t="str">
            <v>SIM</v>
          </cell>
          <cell r="AI495">
            <v>22</v>
          </cell>
        </row>
        <row r="496">
          <cell r="B496" t="str">
            <v>FLAVIO PANSIERI</v>
          </cell>
          <cell r="K496" t="str">
            <v>CAMPUS CURITIBA</v>
          </cell>
          <cell r="AG496" t="str">
            <v>NÃO</v>
          </cell>
          <cell r="AI496">
            <v>36</v>
          </cell>
        </row>
        <row r="497">
          <cell r="B497" t="str">
            <v>FLUVIO CARDINELLE OLIVEIRA GARCIA</v>
          </cell>
          <cell r="K497" t="str">
            <v>CAMPUS CURITIBA</v>
          </cell>
          <cell r="AG497" t="str">
            <v>SIM</v>
          </cell>
          <cell r="AI497">
            <v>3</v>
          </cell>
        </row>
        <row r="498">
          <cell r="B498" t="str">
            <v>FRANCIELI MOGNON</v>
          </cell>
          <cell r="K498" t="str">
            <v>CAMPUS CURITIBA</v>
          </cell>
          <cell r="AG498" t="str">
            <v>NÃO</v>
          </cell>
          <cell r="AI498">
            <v>40</v>
          </cell>
        </row>
        <row r="499">
          <cell r="B499" t="str">
            <v>FRANCINE DUTRA MATTEI</v>
          </cell>
          <cell r="K499" t="str">
            <v>CAMPUS CURITIBA</v>
          </cell>
          <cell r="AG499" t="str">
            <v>SIM</v>
          </cell>
          <cell r="AI499">
            <v>30</v>
          </cell>
        </row>
        <row r="500">
          <cell r="B500" t="str">
            <v>FRANCINE FABIANA OZAKI</v>
          </cell>
          <cell r="K500" t="str">
            <v>CAMPUS CURITIBA</v>
          </cell>
          <cell r="AG500" t="str">
            <v>SIM</v>
          </cell>
          <cell r="AI500">
            <v>10</v>
          </cell>
        </row>
        <row r="501">
          <cell r="B501" t="str">
            <v>FRANCINE MILENKOVICH BELINETTI</v>
          </cell>
          <cell r="K501" t="str">
            <v>CAMPUS LONDRINA</v>
          </cell>
          <cell r="AG501" t="str">
            <v>SIM</v>
          </cell>
          <cell r="AI501">
            <v>6</v>
          </cell>
        </row>
        <row r="502">
          <cell r="B502" t="str">
            <v>FRANCINE VALENGA</v>
          </cell>
          <cell r="K502" t="str">
            <v>CAMPUS CURITIBA</v>
          </cell>
          <cell r="AG502" t="str">
            <v>NÃO</v>
          </cell>
          <cell r="AI502">
            <v>34</v>
          </cell>
        </row>
        <row r="503">
          <cell r="B503" t="str">
            <v>FRANCIS FREGONESI BRINHOLI</v>
          </cell>
          <cell r="K503" t="str">
            <v>CAMPUS LONDRINA</v>
          </cell>
          <cell r="AG503" t="str">
            <v>SIM</v>
          </cell>
          <cell r="AI503">
            <v>2</v>
          </cell>
        </row>
        <row r="504">
          <cell r="B504" t="str">
            <v>FRANCISCO BARTOSIEVICZ NETTO</v>
          </cell>
          <cell r="K504" t="str">
            <v>CAMPUS CURITIBA</v>
          </cell>
          <cell r="AG504" t="str">
            <v>SIM</v>
          </cell>
          <cell r="AI504">
            <v>12</v>
          </cell>
        </row>
        <row r="505">
          <cell r="B505" t="str">
            <v>FRANCISCO EDUARDO CORAL</v>
          </cell>
          <cell r="K505" t="str">
            <v>CAMPUS CURITIBA</v>
          </cell>
          <cell r="AG505" t="str">
            <v>SIM</v>
          </cell>
          <cell r="AI505">
            <v>11</v>
          </cell>
        </row>
        <row r="506">
          <cell r="B506" t="str">
            <v>FRANCISCO INACIO DA SILVA MALLMANN</v>
          </cell>
          <cell r="K506" t="str">
            <v>CAMPUS CURITIBA</v>
          </cell>
          <cell r="AG506" t="str">
            <v>SIM</v>
          </cell>
          <cell r="AI506">
            <v>0</v>
          </cell>
        </row>
        <row r="507">
          <cell r="B507" t="str">
            <v>FRANCISCO MAIA DA SILVA</v>
          </cell>
          <cell r="K507" t="str">
            <v>CAMPUS CURITIBA</v>
          </cell>
          <cell r="AG507" t="str">
            <v>SIM</v>
          </cell>
          <cell r="AI507">
            <v>9</v>
          </cell>
        </row>
        <row r="508">
          <cell r="B508" t="str">
            <v>FRANCISCO SANTOS LIMA</v>
          </cell>
          <cell r="K508" t="str">
            <v>CAMPUS CURITIBA</v>
          </cell>
          <cell r="AG508" t="str">
            <v>SIM</v>
          </cell>
          <cell r="AI508">
            <v>0</v>
          </cell>
        </row>
        <row r="509">
          <cell r="B509" t="str">
            <v>FRANCISCO VERARDI BOCCA</v>
          </cell>
          <cell r="K509" t="str">
            <v>CAMPUS CURITIBA</v>
          </cell>
          <cell r="AG509" t="str">
            <v>NÃO</v>
          </cell>
          <cell r="AI509">
            <v>30</v>
          </cell>
        </row>
        <row r="510">
          <cell r="B510" t="str">
            <v>FRANK COELHO DE ALCANTARA</v>
          </cell>
          <cell r="K510" t="str">
            <v>CAMPUS CURITIBA</v>
          </cell>
          <cell r="AG510" t="str">
            <v>SIM</v>
          </cell>
          <cell r="AI510">
            <v>14</v>
          </cell>
        </row>
        <row r="511">
          <cell r="B511" t="str">
            <v>FRED CARLOS TREVISAN</v>
          </cell>
          <cell r="K511" t="str">
            <v>CAMPUS CURITIBA</v>
          </cell>
          <cell r="AG511" t="str">
            <v>SIM</v>
          </cell>
          <cell r="AI511">
            <v>0</v>
          </cell>
        </row>
        <row r="512">
          <cell r="B512" t="str">
            <v>FRED LACERDA AMORIM</v>
          </cell>
          <cell r="K512" t="str">
            <v>CAMPUS CURITIBA</v>
          </cell>
          <cell r="AG512" t="str">
            <v>NÃO</v>
          </cell>
          <cell r="AI512">
            <v>40</v>
          </cell>
        </row>
        <row r="513">
          <cell r="B513" t="str">
            <v>FULVY ANTONELLA VENTURI PEREIRA</v>
          </cell>
          <cell r="K513" t="str">
            <v>CAMPUS CURITIBA</v>
          </cell>
          <cell r="AG513" t="str">
            <v>SIM</v>
          </cell>
          <cell r="AI513">
            <v>22</v>
          </cell>
        </row>
        <row r="514">
          <cell r="B514" t="str">
            <v>GABRIEL ALEXANDRE BOZZA</v>
          </cell>
          <cell r="K514" t="str">
            <v>Campus Curitiba</v>
          </cell>
          <cell r="AG514" t="str">
            <v>SIM</v>
          </cell>
          <cell r="AI514">
            <v>4</v>
          </cell>
        </row>
        <row r="515">
          <cell r="B515" t="str">
            <v>GABRIEL ERNESTO BARBOZA PEREIRA</v>
          </cell>
          <cell r="K515" t="str">
            <v>CAMPUS CURITIBA</v>
          </cell>
          <cell r="AG515" t="str">
            <v>NÃO</v>
          </cell>
          <cell r="AI515">
            <v>0</v>
          </cell>
        </row>
        <row r="516">
          <cell r="B516" t="str">
            <v>GABRIEL GIRARDI</v>
          </cell>
          <cell r="K516" t="str">
            <v>Campus Londrina</v>
          </cell>
          <cell r="AG516" t="str">
            <v>SIM</v>
          </cell>
          <cell r="AI516">
            <v>10</v>
          </cell>
        </row>
        <row r="517">
          <cell r="B517" t="str">
            <v>GABRIELA BOSCHETTI</v>
          </cell>
          <cell r="K517" t="str">
            <v>CAMPUS CURITIBA</v>
          </cell>
          <cell r="AG517" t="str">
            <v>SIM</v>
          </cell>
          <cell r="AI517">
            <v>23</v>
          </cell>
        </row>
        <row r="518">
          <cell r="B518" t="str">
            <v>GABRIELA GARCEZ DUARTE</v>
          </cell>
          <cell r="K518" t="str">
            <v>CAMPUS CURITIBA</v>
          </cell>
          <cell r="AG518" t="str">
            <v>SIM</v>
          </cell>
          <cell r="AI518">
            <v>0</v>
          </cell>
        </row>
        <row r="519">
          <cell r="B519" t="str">
            <v>GABRIELA LOBO VEIGA</v>
          </cell>
          <cell r="K519" t="str">
            <v>CAMPUS CURITIBA</v>
          </cell>
          <cell r="AG519" t="str">
            <v>NÃO</v>
          </cell>
          <cell r="AI519">
            <v>27</v>
          </cell>
        </row>
        <row r="520">
          <cell r="B520" t="str">
            <v>GABRIELA RUBIN TOAZZA</v>
          </cell>
          <cell r="K520" t="str">
            <v>CAMPUS CURITIBA</v>
          </cell>
          <cell r="AG520" t="str">
            <v>SIM</v>
          </cell>
          <cell r="AI520">
            <v>30</v>
          </cell>
        </row>
        <row r="521">
          <cell r="B521" t="str">
            <v>GABRIELA UNGER UNRUH</v>
          </cell>
          <cell r="K521" t="str">
            <v>CAMPUS CURITIBA</v>
          </cell>
          <cell r="AG521" t="str">
            <v>SIM</v>
          </cell>
          <cell r="AI521">
            <v>8</v>
          </cell>
        </row>
        <row r="522">
          <cell r="B522" t="str">
            <v>GEISA TAMARA BUGS</v>
          </cell>
          <cell r="K522" t="str">
            <v>CAMPUS CURITIBA</v>
          </cell>
          <cell r="AG522" t="str">
            <v>NÃO</v>
          </cell>
          <cell r="AI522">
            <v>32</v>
          </cell>
        </row>
        <row r="523">
          <cell r="B523" t="str">
            <v>GELSON LUIZ CARNEIRO</v>
          </cell>
          <cell r="K523" t="str">
            <v>CAMPUS CURITIBA</v>
          </cell>
          <cell r="AG523" t="str">
            <v>SIM</v>
          </cell>
          <cell r="AI523">
            <v>16</v>
          </cell>
        </row>
        <row r="524">
          <cell r="B524" t="str">
            <v>GEOVANI VIOLA MORETTO</v>
          </cell>
          <cell r="K524" t="str">
            <v>CAMPUS CURITIBA</v>
          </cell>
          <cell r="AG524" t="str">
            <v>NÃO</v>
          </cell>
          <cell r="AI524">
            <v>40</v>
          </cell>
        </row>
        <row r="525">
          <cell r="B525" t="str">
            <v>GERALDO ALBERTO SEBBEN</v>
          </cell>
          <cell r="K525" t="str">
            <v>CAMPUS CURITIBA</v>
          </cell>
          <cell r="AG525" t="str">
            <v>SIM</v>
          </cell>
          <cell r="AI525">
            <v>16</v>
          </cell>
        </row>
        <row r="526">
          <cell r="B526" t="str">
            <v>GERALDO MIRANDA GRACA FILHO</v>
          </cell>
          <cell r="K526" t="str">
            <v>CAMPUS CURITIBA</v>
          </cell>
          <cell r="AG526" t="str">
            <v>SIM</v>
          </cell>
          <cell r="AI526">
            <v>20</v>
          </cell>
        </row>
        <row r="527">
          <cell r="B527" t="str">
            <v>GEUCIMAR BRIATORE</v>
          </cell>
          <cell r="K527" t="str">
            <v>CAMPUS CURITIBA</v>
          </cell>
          <cell r="AG527" t="str">
            <v>SIM</v>
          </cell>
          <cell r="AI527">
            <v>14</v>
          </cell>
        </row>
        <row r="528">
          <cell r="B528" t="str">
            <v>GEZELDA CHRISTIANE MORAES</v>
          </cell>
          <cell r="K528" t="str">
            <v>CAMPUS CURITIBA</v>
          </cell>
          <cell r="AG528" t="str">
            <v>SIM</v>
          </cell>
          <cell r="AI528">
            <v>8</v>
          </cell>
        </row>
        <row r="529">
          <cell r="B529" t="str">
            <v>GIANA SILVEIRA GIOSTRI</v>
          </cell>
          <cell r="K529" t="str">
            <v>CAMPUS CURITIBA</v>
          </cell>
          <cell r="AG529" t="str">
            <v>SIM</v>
          </cell>
          <cell r="AI529">
            <v>30</v>
          </cell>
        </row>
        <row r="530">
          <cell r="B530" t="str">
            <v>GIBRAN AVELINO FRANDOLOSO</v>
          </cell>
          <cell r="K530" t="str">
            <v>CAMPUS CURITIBA</v>
          </cell>
          <cell r="AG530" t="str">
            <v>SIM</v>
          </cell>
          <cell r="AI530">
            <v>28</v>
          </cell>
        </row>
        <row r="531">
          <cell r="B531" t="str">
            <v>GILBERTO GAERTNER</v>
          </cell>
          <cell r="K531" t="str">
            <v>CAMPUS CURITIBA</v>
          </cell>
          <cell r="AG531" t="str">
            <v>SIM</v>
          </cell>
          <cell r="AI531">
            <v>9</v>
          </cell>
        </row>
        <row r="532">
          <cell r="B532" t="str">
            <v>GILBERTO REYNOSO MEZA</v>
          </cell>
          <cell r="K532" t="str">
            <v>CAMPUS CURITIBA</v>
          </cell>
          <cell r="AG532" t="str">
            <v>NÃO</v>
          </cell>
          <cell r="AI532">
            <v>32</v>
          </cell>
        </row>
        <row r="533">
          <cell r="B533" t="str">
            <v>GINO PIGATTO FILHO</v>
          </cell>
          <cell r="K533" t="str">
            <v>CAMPUS CURITIBA</v>
          </cell>
          <cell r="AG533" t="str">
            <v>SIM</v>
          </cell>
          <cell r="AI533">
            <v>2</v>
          </cell>
        </row>
        <row r="534">
          <cell r="B534" t="str">
            <v>GIOVANNE HENRIQUE BRESSAN SCHIAVON</v>
          </cell>
          <cell r="K534" t="str">
            <v>CAMPUS LONDRINA</v>
          </cell>
          <cell r="AG534" t="str">
            <v>SIM</v>
          </cell>
          <cell r="AI534">
            <v>14</v>
          </cell>
        </row>
        <row r="535">
          <cell r="B535" t="str">
            <v>GISELE FRANCINI DEVETAK CASAROTTI</v>
          </cell>
          <cell r="K535" t="str">
            <v>CAMPUS CURITIBA</v>
          </cell>
          <cell r="AG535" t="str">
            <v>SIM</v>
          </cell>
          <cell r="AI535">
            <v>16</v>
          </cell>
        </row>
        <row r="536">
          <cell r="B536" t="str">
            <v>GISELE PONTAROLI RAYMUNDO</v>
          </cell>
          <cell r="K536" t="str">
            <v>CAMPUS CURITIBA</v>
          </cell>
          <cell r="AG536" t="str">
            <v>SIM</v>
          </cell>
          <cell r="AI536">
            <v>22</v>
          </cell>
        </row>
        <row r="537">
          <cell r="B537" t="str">
            <v>GISELE RICHTER MINHOTO</v>
          </cell>
          <cell r="K537" t="str">
            <v>CAMPUS CURITIBA</v>
          </cell>
          <cell r="AG537" t="str">
            <v>SIM</v>
          </cell>
          <cell r="AI537">
            <v>15</v>
          </cell>
        </row>
        <row r="538">
          <cell r="B538" t="str">
            <v>GISELE RIETOW BERTOTTI</v>
          </cell>
          <cell r="K538" t="str">
            <v>CAMPUS CURITIBA</v>
          </cell>
          <cell r="AG538" t="str">
            <v>SIM</v>
          </cell>
          <cell r="AI538">
            <v>3</v>
          </cell>
        </row>
        <row r="539">
          <cell r="B539" t="str">
            <v>GISELLE APARECIDA NOBRE COSTA</v>
          </cell>
          <cell r="K539" t="str">
            <v>CAMPUS LONDRINA</v>
          </cell>
          <cell r="AG539" t="str">
            <v>SIM</v>
          </cell>
          <cell r="AI539">
            <v>10</v>
          </cell>
        </row>
        <row r="540">
          <cell r="B540" t="str">
            <v>GISLAINE APARECIDA SUZUKI</v>
          </cell>
          <cell r="K540" t="str">
            <v>CAMPUS LONDRINA</v>
          </cell>
          <cell r="AG540" t="str">
            <v>SIM</v>
          </cell>
          <cell r="AI540">
            <v>4</v>
          </cell>
        </row>
        <row r="541">
          <cell r="B541" t="str">
            <v>GISLAYNE CARVALHO FRAGOSO</v>
          </cell>
          <cell r="K541" t="str">
            <v>CAMPUS LONDRINA</v>
          </cell>
          <cell r="AG541" t="str">
            <v>SIM</v>
          </cell>
          <cell r="AI541">
            <v>8</v>
          </cell>
        </row>
        <row r="542">
          <cell r="B542" t="str">
            <v>GIULIO DOMENICO BORDIN</v>
          </cell>
          <cell r="K542" t="str">
            <v>CAMPUS CURITIBA</v>
          </cell>
          <cell r="AG542" t="str">
            <v>SIM</v>
          </cell>
          <cell r="AI542">
            <v>12</v>
          </cell>
        </row>
        <row r="543">
          <cell r="B543" t="str">
            <v>GLAISON AURELIO PELLANDA</v>
          </cell>
          <cell r="K543" t="str">
            <v>CAMPUS CURITIBA</v>
          </cell>
          <cell r="AG543" t="str">
            <v>NÃO</v>
          </cell>
          <cell r="AI543">
            <v>0</v>
          </cell>
        </row>
        <row r="544">
          <cell r="B544" t="str">
            <v>GLAUCIA LUNKMOSS</v>
          </cell>
          <cell r="K544" t="str">
            <v>CAMPUS CURITIBA</v>
          </cell>
          <cell r="AG544" t="str">
            <v>SIM</v>
          </cell>
          <cell r="AI544">
            <v>2</v>
          </cell>
        </row>
        <row r="545">
          <cell r="B545" t="str">
            <v>GLAUCIO HENRIQUE MATSUSHITA MORO</v>
          </cell>
          <cell r="K545" t="str">
            <v>CAMPUS CURITIBA</v>
          </cell>
          <cell r="AG545" t="str">
            <v>SIM</v>
          </cell>
          <cell r="AI545">
            <v>12</v>
          </cell>
        </row>
        <row r="546">
          <cell r="B546" t="str">
            <v>GLAUCO VINICIUS DE FRANCA FURSTENBERGER</v>
          </cell>
          <cell r="K546" t="str">
            <v>CAMPUS CURITIBA</v>
          </cell>
          <cell r="AG546" t="str">
            <v>SIM</v>
          </cell>
          <cell r="AI546">
            <v>19</v>
          </cell>
        </row>
        <row r="547">
          <cell r="B547" t="str">
            <v>GRACIANA LUCIA GRESPAN VICTOR</v>
          </cell>
          <cell r="K547" t="str">
            <v>Campus Toledo</v>
          </cell>
          <cell r="AG547" t="str">
            <v>SIM</v>
          </cell>
          <cell r="AI547">
            <v>2</v>
          </cell>
        </row>
        <row r="548">
          <cell r="B548" t="str">
            <v>GRACIELLY TERZIOTTI DE OLIVEIRA</v>
          </cell>
          <cell r="K548" t="str">
            <v>CAMPUS LONDRINA</v>
          </cell>
          <cell r="AG548" t="str">
            <v>SIM</v>
          </cell>
          <cell r="AI548">
            <v>10</v>
          </cell>
        </row>
        <row r="549">
          <cell r="B549" t="str">
            <v>GRACILIANO JOSE FRANCA</v>
          </cell>
          <cell r="K549" t="str">
            <v>CAMPUS CURITIBA</v>
          </cell>
          <cell r="AG549" t="str">
            <v>SIM</v>
          </cell>
          <cell r="AI549">
            <v>12</v>
          </cell>
        </row>
        <row r="550">
          <cell r="B550" t="str">
            <v>GRACINDA MARIA D ALMEIDA E OLIVEIRA</v>
          </cell>
          <cell r="K550" t="str">
            <v>CAMPUS CURITIBA</v>
          </cell>
          <cell r="AG550" t="str">
            <v>SIM</v>
          </cell>
          <cell r="AI550">
            <v>18</v>
          </cell>
        </row>
        <row r="551">
          <cell r="B551" t="str">
            <v>GRAZIELA SAPIENZA</v>
          </cell>
          <cell r="K551" t="str">
            <v>CAMPUS CURITIBA</v>
          </cell>
          <cell r="AG551" t="str">
            <v>SIM</v>
          </cell>
          <cell r="AI551">
            <v>7</v>
          </cell>
        </row>
        <row r="552">
          <cell r="B552" t="str">
            <v>GUILHERME BARRETO GAMEIRO SILVA</v>
          </cell>
          <cell r="K552" t="str">
            <v>CAMPUS CURITIBA</v>
          </cell>
          <cell r="AG552" t="str">
            <v>SIM</v>
          </cell>
          <cell r="AI552">
            <v>6</v>
          </cell>
        </row>
        <row r="553">
          <cell r="B553" t="str">
            <v>GUILHERME BITTENCOURT TEIXEIRA</v>
          </cell>
          <cell r="K553" t="str">
            <v>CAMPUS LONDRINA</v>
          </cell>
          <cell r="AG553" t="str">
            <v>SIM</v>
          </cell>
          <cell r="AI553">
            <v>8</v>
          </cell>
        </row>
        <row r="554">
          <cell r="B554" t="str">
            <v>GUILHERME BRITTES BENITEZ</v>
          </cell>
          <cell r="K554" t="str">
            <v>CAMPUS CURITIBA</v>
          </cell>
          <cell r="AG554" t="str">
            <v>NÃO</v>
          </cell>
          <cell r="AI554">
            <v>28</v>
          </cell>
        </row>
        <row r="555">
          <cell r="B555" t="str">
            <v>GUILHERME FREIRE DE MELO BARROS</v>
          </cell>
          <cell r="K555" t="str">
            <v>CAMPUS CURITIBA</v>
          </cell>
          <cell r="AG555" t="str">
            <v>SIM</v>
          </cell>
          <cell r="AI555">
            <v>8</v>
          </cell>
        </row>
        <row r="556">
          <cell r="B556" t="str">
            <v>GUILHERME GUBERT MULLER</v>
          </cell>
          <cell r="K556" t="str">
            <v>CAMPUS CURITIBA</v>
          </cell>
          <cell r="AG556" t="str">
            <v>SIM</v>
          </cell>
          <cell r="AI556">
            <v>7</v>
          </cell>
        </row>
        <row r="557">
          <cell r="B557" t="str">
            <v>GUILHERME NUNES NOGUEIRA NETO</v>
          </cell>
          <cell r="K557" t="str">
            <v>CAMPUS CURITIBA</v>
          </cell>
          <cell r="AG557" t="str">
            <v>NÃO</v>
          </cell>
          <cell r="AI557">
            <v>32</v>
          </cell>
        </row>
        <row r="558">
          <cell r="B558" t="str">
            <v>GUILHERME RODOLFO RITTEL</v>
          </cell>
          <cell r="K558" t="str">
            <v>CAMPUS CURITIBA</v>
          </cell>
          <cell r="AG558" t="str">
            <v>NÃO</v>
          </cell>
          <cell r="AI558">
            <v>28</v>
          </cell>
        </row>
        <row r="559">
          <cell r="B559" t="str">
            <v>GUILHERME SIQUEIRA VIEIRA</v>
          </cell>
          <cell r="K559" t="str">
            <v>CAMPUS CURITIBA</v>
          </cell>
          <cell r="AG559" t="str">
            <v>SIM</v>
          </cell>
          <cell r="AI559">
            <v>4</v>
          </cell>
        </row>
        <row r="560">
          <cell r="B560" t="str">
            <v>GUSTAVO AUGUSTO LUZIA VIZZOTTO</v>
          </cell>
          <cell r="K560" t="str">
            <v>Campus Toledo</v>
          </cell>
          <cell r="AG560" t="str">
            <v>SIM</v>
          </cell>
          <cell r="AI560">
            <v>5</v>
          </cell>
        </row>
        <row r="561">
          <cell r="B561" t="str">
            <v>GUSTAVO DAVID DOS SANTOS</v>
          </cell>
          <cell r="K561" t="str">
            <v>CAMPUS CURITIBA</v>
          </cell>
          <cell r="AG561" t="str">
            <v>SIM</v>
          </cell>
          <cell r="AI561">
            <v>15</v>
          </cell>
        </row>
        <row r="562">
          <cell r="B562" t="str">
            <v>GUSTAVO GAVAZZONI BLUME</v>
          </cell>
          <cell r="K562" t="str">
            <v>CAMPUS CURITIBA</v>
          </cell>
          <cell r="AG562" t="str">
            <v>SIM</v>
          </cell>
          <cell r="AI562">
            <v>4</v>
          </cell>
        </row>
        <row r="563">
          <cell r="B563" t="str">
            <v>GUSTAVO GRANDER</v>
          </cell>
          <cell r="K563" t="str">
            <v>CAMPUS TOLEDO</v>
          </cell>
          <cell r="AG563" t="str">
            <v>NÃO</v>
          </cell>
          <cell r="AI563">
            <v>30</v>
          </cell>
        </row>
        <row r="564">
          <cell r="B564" t="str">
            <v>GUSTAVO LEITE FRANKLIN</v>
          </cell>
          <cell r="K564" t="str">
            <v>CAMPUS CURITIBA</v>
          </cell>
          <cell r="AG564" t="str">
            <v>SIM</v>
          </cell>
          <cell r="AI564">
            <v>6</v>
          </cell>
        </row>
        <row r="565">
          <cell r="B565" t="str">
            <v>GUSTAVO LENCI MARQUES</v>
          </cell>
          <cell r="K565" t="str">
            <v>CAMPUS CURITIBA</v>
          </cell>
          <cell r="AG565" t="str">
            <v>SIM</v>
          </cell>
          <cell r="AI565">
            <v>33</v>
          </cell>
        </row>
        <row r="566">
          <cell r="B566" t="str">
            <v>GUSTAVO LUIZ OLICHEVIS HALILA</v>
          </cell>
          <cell r="K566" t="str">
            <v>CAMPUS CURITIBA</v>
          </cell>
          <cell r="AG566" t="str">
            <v>NÃO</v>
          </cell>
          <cell r="AI566">
            <v>31</v>
          </cell>
        </row>
        <row r="567">
          <cell r="B567" t="str">
            <v>GUSTAVO RAVAGLIO</v>
          </cell>
          <cell r="K567" t="str">
            <v>CAMPUS CURITIBA</v>
          </cell>
          <cell r="AG567" t="str">
            <v>SIM</v>
          </cell>
          <cell r="AI567">
            <v>12</v>
          </cell>
        </row>
        <row r="568">
          <cell r="B568" t="str">
            <v>GUSTAVO WANDRESEN</v>
          </cell>
          <cell r="K568" t="str">
            <v>CAMPUS CURITIBA</v>
          </cell>
          <cell r="AG568" t="str">
            <v>SIM</v>
          </cell>
          <cell r="AI568">
            <v>12</v>
          </cell>
        </row>
        <row r="569">
          <cell r="B569" t="str">
            <v>GUSTAVO YUHO ENDO</v>
          </cell>
          <cell r="K569" t="str">
            <v>Campus Toledo</v>
          </cell>
          <cell r="AG569" t="str">
            <v>SIM</v>
          </cell>
          <cell r="AI569">
            <v>6</v>
          </cell>
        </row>
        <row r="570">
          <cell r="B570" t="str">
            <v>HALINA MACEDO LEAL</v>
          </cell>
          <cell r="K570" t="str">
            <v>CAMPUS CURITIBA</v>
          </cell>
          <cell r="AG570" t="str">
            <v>NÃO</v>
          </cell>
          <cell r="AI570">
            <v>40</v>
          </cell>
        </row>
        <row r="571">
          <cell r="B571" t="str">
            <v>HAROLDO OSMAR DE PAULA JUNIOR</v>
          </cell>
          <cell r="K571" t="str">
            <v>CAMPUS CURITIBA</v>
          </cell>
          <cell r="AG571" t="str">
            <v>SIM</v>
          </cell>
          <cell r="AI571">
            <v>10</v>
          </cell>
        </row>
        <row r="572">
          <cell r="B572" t="str">
            <v>HARRY ALBERTO BOLLMANN</v>
          </cell>
          <cell r="K572" t="str">
            <v>CAMPUS CURITIBA</v>
          </cell>
          <cell r="AG572" t="str">
            <v>NÃO</v>
          </cell>
          <cell r="AI572">
            <v>36</v>
          </cell>
        </row>
        <row r="573">
          <cell r="B573" t="str">
            <v>HELENA DE TOLEDO COELHO</v>
          </cell>
          <cell r="K573" t="str">
            <v>CAMPUS CURITIBA</v>
          </cell>
          <cell r="AG573" t="str">
            <v>SIM</v>
          </cell>
          <cell r="AI573">
            <v>8</v>
          </cell>
        </row>
        <row r="574">
          <cell r="B574" t="str">
            <v>HELINE SIVINI FERREIRA</v>
          </cell>
          <cell r="K574" t="str">
            <v>CAMPUS CURITIBA</v>
          </cell>
          <cell r="AG574" t="str">
            <v>NÃO</v>
          </cell>
          <cell r="AI574">
            <v>30</v>
          </cell>
        </row>
        <row r="575">
          <cell r="B575" t="str">
            <v>HELIO EMMENDOERFER JUNIOR</v>
          </cell>
          <cell r="K575" t="str">
            <v>CAMPUS CURITIBA</v>
          </cell>
          <cell r="AG575" t="str">
            <v>NÃO</v>
          </cell>
          <cell r="AI575">
            <v>30</v>
          </cell>
        </row>
        <row r="576">
          <cell r="B576" t="str">
            <v>HELIO GOMES COELHO JUNIOR</v>
          </cell>
          <cell r="K576" t="str">
            <v>CAMPUS CURITIBA</v>
          </cell>
          <cell r="AG576" t="str">
            <v>SIM</v>
          </cell>
          <cell r="AI576">
            <v>0</v>
          </cell>
        </row>
        <row r="577">
          <cell r="B577" t="str">
            <v>HELIO JOSE BAMBERG</v>
          </cell>
          <cell r="K577" t="str">
            <v>CAMPUS TOLEDO</v>
          </cell>
          <cell r="AG577" t="str">
            <v>SIM</v>
          </cell>
          <cell r="AI577">
            <v>12</v>
          </cell>
        </row>
        <row r="578">
          <cell r="B578" t="str">
            <v>HELISON BERTOLI ALVES DIAS</v>
          </cell>
          <cell r="K578" t="str">
            <v>CAMPUS CURITIBA</v>
          </cell>
          <cell r="AG578" t="str">
            <v>SIM</v>
          </cell>
          <cell r="AI578">
            <v>20</v>
          </cell>
        </row>
        <row r="579">
          <cell r="B579" t="str">
            <v>HELON VICENTE HULTMANN AYALA</v>
          </cell>
          <cell r="K579" t="str">
            <v>CAMPUS CURITIBA</v>
          </cell>
          <cell r="AG579" t="str">
            <v>NÃO</v>
          </cell>
          <cell r="AI579">
            <v>32</v>
          </cell>
        </row>
        <row r="580">
          <cell r="B580" t="str">
            <v>HENDRIGO BERNARDI KORNDORFER</v>
          </cell>
          <cell r="K580" t="str">
            <v>CAMPUS CURITIBA</v>
          </cell>
          <cell r="AG580" t="str">
            <v>NÃO</v>
          </cell>
          <cell r="AI580">
            <v>0</v>
          </cell>
        </row>
        <row r="581">
          <cell r="B581" t="str">
            <v>HENRI FREDERICO EBERSPACHER</v>
          </cell>
          <cell r="K581" t="str">
            <v>CAMPUS CURITIBA</v>
          </cell>
          <cell r="AG581" t="str">
            <v>SIM</v>
          </cell>
          <cell r="AI581">
            <v>32</v>
          </cell>
        </row>
        <row r="582">
          <cell r="B582" t="str">
            <v>HENRIQUE CECILIATO DE CARVALHO</v>
          </cell>
          <cell r="K582" t="str">
            <v>CAMPUS LONDRINA</v>
          </cell>
          <cell r="AG582" t="str">
            <v>SIM</v>
          </cell>
          <cell r="AI582">
            <v>28</v>
          </cell>
        </row>
        <row r="583">
          <cell r="B583" t="str">
            <v>HENRIQUE DEMENECK</v>
          </cell>
          <cell r="K583" t="str">
            <v>CAMPUS CURITIBA</v>
          </cell>
          <cell r="AG583" t="str">
            <v>SIM</v>
          </cell>
          <cell r="AI583">
            <v>8</v>
          </cell>
        </row>
        <row r="584">
          <cell r="B584" t="str">
            <v>HENRIQUE FURLAN PAUNA</v>
          </cell>
          <cell r="K584" t="str">
            <v>CAMPUS CURITIBA</v>
          </cell>
          <cell r="AG584" t="str">
            <v>SIM</v>
          </cell>
          <cell r="AI584">
            <v>6</v>
          </cell>
        </row>
        <row r="585">
          <cell r="B585" t="str">
            <v>HENRIQUE JOSE POLATO GOMES</v>
          </cell>
          <cell r="K585" t="str">
            <v>CAMPUS CURITIBA</v>
          </cell>
          <cell r="AG585" t="str">
            <v>SIM</v>
          </cell>
          <cell r="AI585">
            <v>17</v>
          </cell>
        </row>
        <row r="586">
          <cell r="B586" t="str">
            <v>HENRIQUE RAVANHOL FRIGERI</v>
          </cell>
          <cell r="K586" t="str">
            <v>CAMPUS CURITIBA</v>
          </cell>
          <cell r="AG586" t="str">
            <v>SIM</v>
          </cell>
          <cell r="AI586">
            <v>14</v>
          </cell>
        </row>
        <row r="587">
          <cell r="B587" t="str">
            <v>HENRY BELCHIOR DA CUNHA</v>
          </cell>
          <cell r="K587" t="str">
            <v>CAMPUS CURITIBA</v>
          </cell>
          <cell r="AG587" t="str">
            <v>SIM</v>
          </cell>
          <cell r="AI587">
            <v>10</v>
          </cell>
        </row>
        <row r="588">
          <cell r="B588" t="str">
            <v>HERBERT DE PROENCA LOPES</v>
          </cell>
          <cell r="K588" t="str">
            <v>CAMPUS LONDRINA</v>
          </cell>
          <cell r="AG588" t="str">
            <v>SIM</v>
          </cell>
          <cell r="AI588">
            <v>10</v>
          </cell>
        </row>
        <row r="589">
          <cell r="B589" t="str">
            <v>HEWERTON FERNANDES DA SILVA</v>
          </cell>
          <cell r="K589" t="str">
            <v>CAMPUS LONDRINA</v>
          </cell>
          <cell r="AG589" t="str">
            <v>SIM</v>
          </cell>
          <cell r="AI589">
            <v>4</v>
          </cell>
        </row>
        <row r="590">
          <cell r="B590" t="str">
            <v>HOLISSES BELLON</v>
          </cell>
          <cell r="K590" t="str">
            <v>CAMPUS CURITIBA</v>
          </cell>
          <cell r="AG590" t="str">
            <v>SIM</v>
          </cell>
          <cell r="AI590">
            <v>4</v>
          </cell>
        </row>
        <row r="591">
          <cell r="B591" t="str">
            <v>HOMERO LUIS DE AQUINO PALMA</v>
          </cell>
          <cell r="K591" t="str">
            <v>CAMPUS CURITIBA</v>
          </cell>
          <cell r="AG591" t="str">
            <v>SIM</v>
          </cell>
          <cell r="AI591">
            <v>14</v>
          </cell>
        </row>
        <row r="592">
          <cell r="B592" t="str">
            <v>HORACIO ALVARENGA MOREIRA</v>
          </cell>
          <cell r="K592" t="str">
            <v>CAMPUS LONDRINA</v>
          </cell>
          <cell r="AG592" t="str">
            <v>SIM</v>
          </cell>
          <cell r="AI592">
            <v>8</v>
          </cell>
        </row>
        <row r="593">
          <cell r="B593" t="str">
            <v>HSU YANG SHANG</v>
          </cell>
          <cell r="K593" t="str">
            <v>CAMPUS CURITIBA</v>
          </cell>
          <cell r="AG593" t="str">
            <v>NÃO</v>
          </cell>
          <cell r="AI593">
            <v>30</v>
          </cell>
        </row>
        <row r="594">
          <cell r="B594" t="str">
            <v>HUDSON PRESTES DOS SANTOS</v>
          </cell>
          <cell r="K594" t="str">
            <v>CAMPUS CURITIBA</v>
          </cell>
          <cell r="AG594" t="str">
            <v>SIM</v>
          </cell>
          <cell r="AI594">
            <v>28</v>
          </cell>
        </row>
        <row r="595">
          <cell r="B595" t="str">
            <v>HUGO DIAS AMARO</v>
          </cell>
          <cell r="K595" t="str">
            <v>CAMPUS CURITIBA</v>
          </cell>
          <cell r="AG595" t="str">
            <v>NÃO</v>
          </cell>
          <cell r="AI595">
            <v>24</v>
          </cell>
        </row>
        <row r="596">
          <cell r="B596" t="str">
            <v>HUGO LEONARDO MARTINS CORREA</v>
          </cell>
          <cell r="K596" t="str">
            <v>CAMPUS CURITIBA</v>
          </cell>
          <cell r="AG596" t="str">
            <v>SIM</v>
          </cell>
          <cell r="AI596">
            <v>2</v>
          </cell>
        </row>
        <row r="597">
          <cell r="B597" t="str">
            <v>HUMBERTO LUIZ FOGACA DE MEDEIROS</v>
          </cell>
          <cell r="K597" t="str">
            <v>CAMPUS CURITIBA</v>
          </cell>
          <cell r="AG597" t="str">
            <v>NÃO</v>
          </cell>
          <cell r="AI597">
            <v>40</v>
          </cell>
        </row>
        <row r="598">
          <cell r="B598" t="str">
            <v>HUMBERTO MACIEL FRANCA MADEIRA</v>
          </cell>
          <cell r="K598" t="str">
            <v>CAMPUS CURITIBA</v>
          </cell>
          <cell r="AG598" t="str">
            <v>SIM</v>
          </cell>
          <cell r="AI598">
            <v>22</v>
          </cell>
        </row>
        <row r="599">
          <cell r="B599" t="str">
            <v>IAN LUNA PARENTE BRASILEIRO</v>
          </cell>
          <cell r="K599" t="str">
            <v>CAMPUS CURITIBA</v>
          </cell>
          <cell r="AG599" t="str">
            <v>SIM</v>
          </cell>
          <cell r="AI599">
            <v>8</v>
          </cell>
        </row>
        <row r="600">
          <cell r="B600" t="str">
            <v>IARA LANG MARTINS</v>
          </cell>
          <cell r="K600" t="str">
            <v>CAMPUS CURITIBA</v>
          </cell>
          <cell r="AG600" t="str">
            <v>SIM</v>
          </cell>
          <cell r="AI600">
            <v>4</v>
          </cell>
        </row>
        <row r="601">
          <cell r="B601" t="str">
            <v>IDIANA MARINA DALASTRA</v>
          </cell>
          <cell r="K601" t="str">
            <v>CAMPUS TOLEDO</v>
          </cell>
          <cell r="AG601" t="str">
            <v>SIM</v>
          </cell>
          <cell r="AI601">
            <v>11</v>
          </cell>
        </row>
        <row r="602">
          <cell r="B602" t="str">
            <v>IGOR BARCELLOS</v>
          </cell>
          <cell r="K602" t="str">
            <v>CAMPUS CURITIBA</v>
          </cell>
          <cell r="AG602" t="str">
            <v>SIM</v>
          </cell>
          <cell r="AI602">
            <v>8</v>
          </cell>
        </row>
        <row r="603">
          <cell r="B603" t="str">
            <v>ILTON SANTOS DA SILVA</v>
          </cell>
          <cell r="K603" t="str">
            <v>CAMPUS CURITIBA</v>
          </cell>
          <cell r="AG603" t="str">
            <v>SIM</v>
          </cell>
          <cell r="AI603">
            <v>15</v>
          </cell>
        </row>
        <row r="604">
          <cell r="B604" t="str">
            <v>INARA STAUB PROCHNAU</v>
          </cell>
          <cell r="K604" t="str">
            <v>CAMPUS TOLEDO</v>
          </cell>
          <cell r="AG604" t="str">
            <v>NÃO</v>
          </cell>
          <cell r="AI604">
            <v>35</v>
          </cell>
        </row>
        <row r="605">
          <cell r="B605" t="str">
            <v>INEZ GAIAS</v>
          </cell>
          <cell r="K605" t="str">
            <v>CAMPUS CURITIBA</v>
          </cell>
          <cell r="AG605" t="str">
            <v>SIM</v>
          </cell>
          <cell r="AI605">
            <v>2</v>
          </cell>
        </row>
        <row r="606">
          <cell r="B606" t="str">
            <v>INGRID FATIMA ZATTONI CANTOS LOPES</v>
          </cell>
          <cell r="K606" t="str">
            <v>CAMPUS CURITIBA</v>
          </cell>
          <cell r="AG606" t="str">
            <v>SIM</v>
          </cell>
          <cell r="AI606">
            <v>40</v>
          </cell>
        </row>
        <row r="607">
          <cell r="B607" t="str">
            <v>INGRIDHE DE MORAIS MAGALHAES</v>
          </cell>
          <cell r="K607" t="str">
            <v>CAMPUS CURITIBA</v>
          </cell>
          <cell r="AG607" t="str">
            <v>SIM</v>
          </cell>
          <cell r="AI607">
            <v>10</v>
          </cell>
        </row>
        <row r="608">
          <cell r="B608" t="str">
            <v>ISABELA MAYUMI NAKANISHI TAKAKI</v>
          </cell>
          <cell r="K608" t="str">
            <v>CAMPUS LONDRINA</v>
          </cell>
          <cell r="AG608" t="str">
            <v>SIM</v>
          </cell>
          <cell r="AI608">
            <v>34</v>
          </cell>
        </row>
        <row r="609">
          <cell r="B609" t="str">
            <v>ISAQUE DOS SANTOS NEVES DA CRUZ</v>
          </cell>
          <cell r="K609" t="str">
            <v>CAMPUS CURITIBA</v>
          </cell>
          <cell r="AG609" t="str">
            <v>NÃO</v>
          </cell>
          <cell r="AI609">
            <v>0</v>
          </cell>
        </row>
        <row r="610">
          <cell r="B610" t="str">
            <v>ITIBERE PIAIA BERNARDI</v>
          </cell>
          <cell r="K610" t="str">
            <v>CAMPUS CURITIBA</v>
          </cell>
          <cell r="AG610" t="str">
            <v>SIM</v>
          </cell>
          <cell r="AI610">
            <v>8</v>
          </cell>
        </row>
        <row r="611">
          <cell r="B611" t="str">
            <v>IVAN FREITAS DOS SANTOS</v>
          </cell>
          <cell r="K611" t="str">
            <v>CAMPUS LONDRINA</v>
          </cell>
          <cell r="AG611" t="str">
            <v>NÃO</v>
          </cell>
          <cell r="AI611">
            <v>0</v>
          </cell>
        </row>
        <row r="612">
          <cell r="B612" t="str">
            <v>IVAN JORGE CHUEIRI</v>
          </cell>
          <cell r="K612" t="str">
            <v>CAMPUS CURITIBA</v>
          </cell>
          <cell r="AG612" t="str">
            <v>SIM</v>
          </cell>
          <cell r="AI612">
            <v>16</v>
          </cell>
        </row>
        <row r="613">
          <cell r="B613" t="str">
            <v>IVANA SHIZUE IMAYUKI DUARTE MECHAILECH</v>
          </cell>
          <cell r="K613" t="str">
            <v>CAMPUS CURITIBA</v>
          </cell>
          <cell r="AG613" t="str">
            <v>SIM</v>
          </cell>
          <cell r="AI613">
            <v>2</v>
          </cell>
        </row>
        <row r="614">
          <cell r="B614" t="str">
            <v>IVETE MOROSOV</v>
          </cell>
          <cell r="K614" t="str">
            <v>CAMPUS CURITIBA</v>
          </cell>
          <cell r="AG614" t="str">
            <v>SIM</v>
          </cell>
          <cell r="AI614">
            <v>6</v>
          </cell>
        </row>
        <row r="615">
          <cell r="B615" t="str">
            <v>IVILYN WEIGERT</v>
          </cell>
          <cell r="K615" t="str">
            <v>CAMPUS CURITIBA</v>
          </cell>
          <cell r="AG615" t="str">
            <v>SIM</v>
          </cell>
          <cell r="AI615">
            <v>0</v>
          </cell>
        </row>
        <row r="616">
          <cell r="B616" t="str">
            <v>IVONE MAYUMI IKEDA MORIMOTO</v>
          </cell>
          <cell r="K616" t="str">
            <v>CAMPUS CURITIBA</v>
          </cell>
          <cell r="AG616" t="str">
            <v>SIM</v>
          </cell>
          <cell r="AI616">
            <v>24</v>
          </cell>
        </row>
        <row r="617">
          <cell r="B617" t="str">
            <v>IZABELA PATRICIO BASTOS</v>
          </cell>
          <cell r="K617" t="str">
            <v>CAMPUS CURITIBA</v>
          </cell>
          <cell r="AG617" t="str">
            <v>SIM</v>
          </cell>
          <cell r="AI617">
            <v>16</v>
          </cell>
        </row>
        <row r="618">
          <cell r="B618" t="str">
            <v>IZIQUEL ANTONIO RADVANSKEI</v>
          </cell>
          <cell r="K618" t="str">
            <v>CAMPUS CURITIBA</v>
          </cell>
          <cell r="AG618" t="str">
            <v>SIM</v>
          </cell>
          <cell r="AI618">
            <v>10</v>
          </cell>
        </row>
        <row r="619">
          <cell r="B619" t="str">
            <v>JACI DE FATIMA SOUZA CANDIOTTO</v>
          </cell>
          <cell r="K619" t="str">
            <v>CAMPUS CURITIBA</v>
          </cell>
          <cell r="AG619" t="str">
            <v>NÃO</v>
          </cell>
          <cell r="AI619">
            <v>32</v>
          </cell>
        </row>
        <row r="620">
          <cell r="B620" t="str">
            <v>JACIR DAGA</v>
          </cell>
          <cell r="K620" t="str">
            <v>CAMPUS TOLEDO</v>
          </cell>
          <cell r="AG620" t="str">
            <v>SIM</v>
          </cell>
          <cell r="AI620">
            <v>16</v>
          </cell>
        </row>
        <row r="621">
          <cell r="B621" t="str">
            <v>JACKSON LUIS SCHIRIGATTI</v>
          </cell>
          <cell r="K621" t="str">
            <v>Campus Curitiba</v>
          </cell>
          <cell r="AG621" t="str">
            <v>SIM</v>
          </cell>
          <cell r="AI621">
            <v>0</v>
          </cell>
        </row>
        <row r="622">
          <cell r="B622" t="str">
            <v>JACKSON TEIXEIRA BITTENCOURT</v>
          </cell>
          <cell r="K622" t="str">
            <v>CAMPUS CURITIBA</v>
          </cell>
          <cell r="AG622" t="str">
            <v>NÃO</v>
          </cell>
          <cell r="AI622">
            <v>32</v>
          </cell>
        </row>
        <row r="623">
          <cell r="B623" t="str">
            <v>JAIME JOSE RAUBER</v>
          </cell>
          <cell r="K623" t="str">
            <v>CAMPUS TOLEDO</v>
          </cell>
          <cell r="AG623" t="str">
            <v>SIM</v>
          </cell>
          <cell r="AI623">
            <v>20</v>
          </cell>
        </row>
        <row r="624">
          <cell r="B624" t="str">
            <v>JAIME LUIS LOPES ROCHA</v>
          </cell>
          <cell r="K624" t="str">
            <v>CAMPUS CURITIBA</v>
          </cell>
          <cell r="AG624" t="str">
            <v>SIM</v>
          </cell>
          <cell r="AI624">
            <v>8</v>
          </cell>
        </row>
        <row r="625">
          <cell r="B625" t="str">
            <v>JAIR HENRIQUE JUNIOR</v>
          </cell>
          <cell r="K625" t="str">
            <v>CAMPUS LONDRINA</v>
          </cell>
          <cell r="AG625" t="str">
            <v>SIM</v>
          </cell>
          <cell r="AI625">
            <v>8</v>
          </cell>
        </row>
        <row r="626">
          <cell r="B626" t="str">
            <v>JAIR RODINI ENGRACIA FILHO</v>
          </cell>
          <cell r="K626" t="str">
            <v>CAMPUS CURITIBA</v>
          </cell>
          <cell r="AG626" t="str">
            <v>NÃO</v>
          </cell>
          <cell r="AI626">
            <v>21</v>
          </cell>
        </row>
        <row r="627">
          <cell r="B627" t="str">
            <v>JAMESON BORGES DA SILVA</v>
          </cell>
          <cell r="K627" t="str">
            <v>Campus Toledo</v>
          </cell>
          <cell r="AG627" t="str">
            <v>NÃO</v>
          </cell>
          <cell r="AI627">
            <v>20</v>
          </cell>
        </row>
        <row r="628">
          <cell r="B628" t="str">
            <v>JAMIL FAISSAL SONI</v>
          </cell>
          <cell r="K628" t="str">
            <v>CAMPUS CURITIBA</v>
          </cell>
          <cell r="AG628" t="str">
            <v>SIM</v>
          </cell>
          <cell r="AI628">
            <v>32</v>
          </cell>
        </row>
        <row r="629">
          <cell r="B629" t="str">
            <v>JAMILE DA COSTA RIECHI</v>
          </cell>
          <cell r="K629" t="str">
            <v>CAMPUS LONDRINA</v>
          </cell>
          <cell r="AG629" t="str">
            <v>SIM</v>
          </cell>
          <cell r="AI629">
            <v>20</v>
          </cell>
        </row>
        <row r="630">
          <cell r="B630" t="str">
            <v>JAN PAWEL ANDRADE PACHNICKI</v>
          </cell>
          <cell r="K630" t="str">
            <v>CAMPUS CURITIBA</v>
          </cell>
          <cell r="AG630" t="str">
            <v>SIM</v>
          </cell>
          <cell r="AI630">
            <v>6</v>
          </cell>
        </row>
        <row r="631">
          <cell r="B631" t="str">
            <v>JANAINA BRAGA NORTE</v>
          </cell>
          <cell r="K631" t="str">
            <v>CAMPUS LONDRINA</v>
          </cell>
          <cell r="AG631" t="str">
            <v>SIM</v>
          </cell>
          <cell r="AI631">
            <v>12</v>
          </cell>
        </row>
        <row r="632">
          <cell r="B632" t="str">
            <v>JANIO DENIS GABRIEL</v>
          </cell>
          <cell r="K632" t="str">
            <v>CAMPUS CURITIBA</v>
          </cell>
          <cell r="AG632" t="str">
            <v>SIM</v>
          </cell>
          <cell r="AI632">
            <v>2</v>
          </cell>
        </row>
        <row r="633">
          <cell r="B633" t="str">
            <v>JAQUELINE COELHO VISENTIN</v>
          </cell>
          <cell r="K633" t="str">
            <v>Campus Curitiba</v>
          </cell>
          <cell r="AG633" t="str">
            <v>SIM</v>
          </cell>
          <cell r="AI633">
            <v>10</v>
          </cell>
        </row>
        <row r="634">
          <cell r="B634" t="str">
            <v>JAQUELINE COSTA CASTARDO DE PAULA</v>
          </cell>
          <cell r="K634" t="str">
            <v>CAMPUS LONDRINA</v>
          </cell>
          <cell r="AG634" t="str">
            <v>SIM</v>
          </cell>
          <cell r="AI634">
            <v>20</v>
          </cell>
        </row>
        <row r="635">
          <cell r="B635" t="str">
            <v>JAQUELINE DE JESUS ASCHENBRENNER</v>
          </cell>
          <cell r="K635" t="str">
            <v>CAMPUS CURITIBA</v>
          </cell>
          <cell r="AG635" t="str">
            <v>SIM</v>
          </cell>
          <cell r="AI635">
            <v>18</v>
          </cell>
        </row>
        <row r="636">
          <cell r="B636" t="str">
            <v>JAVAN ATAIDE DE OLIVEIRA JUNIOR</v>
          </cell>
          <cell r="K636" t="str">
            <v>Campus Toledo</v>
          </cell>
          <cell r="AG636" t="str">
            <v>SIM</v>
          </cell>
          <cell r="AI636">
            <v>4</v>
          </cell>
        </row>
        <row r="637">
          <cell r="B637" t="str">
            <v>JEAN GABRIEL VIEIRA COUTINHO</v>
          </cell>
          <cell r="K637" t="str">
            <v>Campus Londrina</v>
          </cell>
          <cell r="AG637" t="str">
            <v>SIM</v>
          </cell>
          <cell r="AI637">
            <v>15</v>
          </cell>
        </row>
        <row r="638">
          <cell r="B638" t="str">
            <v>JEAN PAUL BARDDAL</v>
          </cell>
          <cell r="K638" t="str">
            <v>CAMPUS CURITIBA</v>
          </cell>
          <cell r="AG638" t="str">
            <v>NÃO</v>
          </cell>
          <cell r="AI638">
            <v>34</v>
          </cell>
        </row>
        <row r="639">
          <cell r="B639" t="str">
            <v>JEAN RODRIGO TAFAREL</v>
          </cell>
          <cell r="K639" t="str">
            <v>CAMPUS CURITIBA</v>
          </cell>
          <cell r="AG639" t="str">
            <v>NÃO</v>
          </cell>
          <cell r="AI639">
            <v>31</v>
          </cell>
        </row>
        <row r="640">
          <cell r="B640" t="str">
            <v>JEANCARLO RIBAS</v>
          </cell>
          <cell r="K640" t="str">
            <v>CAMPUS CURITIBA</v>
          </cell>
          <cell r="AG640" t="str">
            <v>SIM</v>
          </cell>
          <cell r="AI640">
            <v>22</v>
          </cell>
        </row>
        <row r="641">
          <cell r="B641" t="str">
            <v>JEANINE MARIE NARDIN</v>
          </cell>
          <cell r="K641" t="str">
            <v>CAMPUS CURITIBA</v>
          </cell>
          <cell r="AG641" t="str">
            <v>SIM</v>
          </cell>
          <cell r="AI641">
            <v>7</v>
          </cell>
        </row>
        <row r="642">
          <cell r="B642" t="str">
            <v>JEFERSON DA COSTA VAZ</v>
          </cell>
          <cell r="K642" t="str">
            <v>Campus Curitiba</v>
          </cell>
          <cell r="AG642" t="str">
            <v>SIM</v>
          </cell>
          <cell r="AI642">
            <v>2</v>
          </cell>
        </row>
        <row r="643">
          <cell r="B643" t="str">
            <v>JEFERSON DEMETERCO</v>
          </cell>
          <cell r="K643" t="str">
            <v>CAMPUS CURITIBA</v>
          </cell>
          <cell r="AG643" t="str">
            <v>SIM</v>
          </cell>
          <cell r="AI643">
            <v>2</v>
          </cell>
        </row>
        <row r="644">
          <cell r="B644" t="str">
            <v>JEFERSON JOSE THAUNY</v>
          </cell>
          <cell r="K644" t="str">
            <v>CAMPUS CURITIBA</v>
          </cell>
          <cell r="AG644" t="str">
            <v>NÃO</v>
          </cell>
          <cell r="AI644">
            <v>30</v>
          </cell>
        </row>
        <row r="645">
          <cell r="B645" t="str">
            <v>JEFFERSON JOVELINO AMARAL DOS SANTOS</v>
          </cell>
          <cell r="K645" t="str">
            <v>CAMPUS TOLEDO</v>
          </cell>
          <cell r="AG645" t="str">
            <v>SIM</v>
          </cell>
          <cell r="AI645">
            <v>6</v>
          </cell>
        </row>
        <row r="646">
          <cell r="B646" t="str">
            <v>JEFFERSON PEDRO CUNHA</v>
          </cell>
          <cell r="K646" t="str">
            <v>CAMPUS CURITIBA</v>
          </cell>
          <cell r="AG646" t="str">
            <v>SIM</v>
          </cell>
          <cell r="AI646">
            <v>12</v>
          </cell>
        </row>
        <row r="647">
          <cell r="B647" t="str">
            <v>JELSON ROBERTO DE OLIVEIRA</v>
          </cell>
          <cell r="K647" t="str">
            <v>CAMPUS CURITIBA</v>
          </cell>
          <cell r="AG647" t="str">
            <v>NÃO</v>
          </cell>
          <cell r="AI647">
            <v>36</v>
          </cell>
        </row>
        <row r="648">
          <cell r="B648" t="str">
            <v>JENIFER PAVAN DE PAULA</v>
          </cell>
          <cell r="K648" t="str">
            <v>CAMPUS LONDRINA</v>
          </cell>
          <cell r="AG648" t="str">
            <v>SIM</v>
          </cell>
          <cell r="AI648">
            <v>18</v>
          </cell>
        </row>
        <row r="649">
          <cell r="B649" t="str">
            <v>JESSICA CAROLINE DOS SANTOS</v>
          </cell>
          <cell r="K649" t="str">
            <v>CAMPUS CURITIBA</v>
          </cell>
          <cell r="AG649" t="str">
            <v>SIM</v>
          </cell>
          <cell r="AI649">
            <v>13</v>
          </cell>
        </row>
        <row r="650">
          <cell r="B650" t="str">
            <v>JESSICA DE GANG</v>
          </cell>
          <cell r="K650" t="str">
            <v>CAMPUS CURITIBA</v>
          </cell>
          <cell r="AG650" t="str">
            <v>SIM</v>
          </cell>
          <cell r="AI650">
            <v>4</v>
          </cell>
        </row>
        <row r="651">
          <cell r="B651" t="str">
            <v>JESSICA NAIHARA NUNES BUENO</v>
          </cell>
          <cell r="K651" t="str">
            <v>CAMPUS LONDRINA</v>
          </cell>
          <cell r="AG651" t="str">
            <v>SIM</v>
          </cell>
          <cell r="AI651">
            <v>4</v>
          </cell>
        </row>
        <row r="652">
          <cell r="B652" t="str">
            <v>JESSICA PEDROSA MANDELLI</v>
          </cell>
          <cell r="K652" t="str">
            <v>CAMPUS LONDRINA</v>
          </cell>
          <cell r="AG652" t="str">
            <v>SIM</v>
          </cell>
          <cell r="AI652">
            <v>7</v>
          </cell>
        </row>
        <row r="653">
          <cell r="B653" t="str">
            <v>JESSICA TOMIMITSU RODRIGUES</v>
          </cell>
          <cell r="K653" t="str">
            <v>CAMPUS TOLEDO</v>
          </cell>
          <cell r="AG653" t="str">
            <v>SIM</v>
          </cell>
          <cell r="AI653">
            <v>3</v>
          </cell>
        </row>
        <row r="654">
          <cell r="B654" t="str">
            <v>JHENIFFER LOPES PEREIRA</v>
          </cell>
          <cell r="K654" t="str">
            <v>CAMPUS CURITIBA</v>
          </cell>
          <cell r="AG654" t="str">
            <v>NÃO</v>
          </cell>
          <cell r="AI654">
            <v>0</v>
          </cell>
        </row>
        <row r="655">
          <cell r="B655" t="str">
            <v>JHONATAN GEREMIAS</v>
          </cell>
          <cell r="K655" t="str">
            <v>CAMPUS CURITIBA</v>
          </cell>
          <cell r="AG655" t="str">
            <v>SIM</v>
          </cell>
          <cell r="AI655">
            <v>12</v>
          </cell>
        </row>
        <row r="656">
          <cell r="B656" t="str">
            <v>JOACHIM ANDRADE</v>
          </cell>
          <cell r="K656" t="str">
            <v>CAMPUS CURITIBA</v>
          </cell>
          <cell r="AG656" t="str">
            <v>SIM</v>
          </cell>
          <cell r="AI656">
            <v>2</v>
          </cell>
        </row>
        <row r="657">
          <cell r="B657" t="str">
            <v>JOAO ALFREDO LOPES NYEGRAY</v>
          </cell>
          <cell r="K657" t="str">
            <v>CAMPUS CURITIBA</v>
          </cell>
          <cell r="AG657" t="str">
            <v>SIM</v>
          </cell>
          <cell r="AI657">
            <v>14</v>
          </cell>
        </row>
        <row r="658">
          <cell r="B658" t="str">
            <v>JOAO ANILSON CARVALHO DE LARA FILHO</v>
          </cell>
          <cell r="K658" t="str">
            <v>CAMPUS CURITIBA</v>
          </cell>
          <cell r="AG658" t="str">
            <v>NÃO</v>
          </cell>
          <cell r="AI658">
            <v>0</v>
          </cell>
        </row>
        <row r="659">
          <cell r="B659" t="str">
            <v>JOAO ANTONIO DE FREITAS COELHO</v>
          </cell>
          <cell r="K659" t="str">
            <v>Campus Londrina</v>
          </cell>
          <cell r="AG659" t="str">
            <v>SIM</v>
          </cell>
          <cell r="AI659">
            <v>4</v>
          </cell>
        </row>
        <row r="660">
          <cell r="B660" t="str">
            <v>JOAO ARMANDO BRANCHER</v>
          </cell>
          <cell r="K660" t="str">
            <v>CAMPUS CURITIBA</v>
          </cell>
          <cell r="AG660" t="str">
            <v>SIM</v>
          </cell>
          <cell r="AI660">
            <v>9</v>
          </cell>
        </row>
        <row r="661">
          <cell r="B661" t="str">
            <v>JOAO CARLOS MINOZZO</v>
          </cell>
          <cell r="K661" t="str">
            <v>CAMPUS CURITIBA</v>
          </cell>
          <cell r="AG661" t="str">
            <v>SIM</v>
          </cell>
          <cell r="AI661">
            <v>14</v>
          </cell>
        </row>
        <row r="662">
          <cell r="B662" t="str">
            <v>JOAO EDSON KAEFER</v>
          </cell>
          <cell r="K662" t="str">
            <v>CAMPUS TOLEDO</v>
          </cell>
          <cell r="AG662" t="str">
            <v>SIM</v>
          </cell>
          <cell r="AI662">
            <v>16</v>
          </cell>
        </row>
        <row r="663">
          <cell r="B663" t="str">
            <v>JOAO EDUARDO LEAL NICOLUZZI</v>
          </cell>
          <cell r="K663" t="str">
            <v>CAMPUS CURITIBA</v>
          </cell>
          <cell r="AG663" t="str">
            <v>SIM</v>
          </cell>
          <cell r="AI663">
            <v>4</v>
          </cell>
        </row>
        <row r="664">
          <cell r="B664" t="str">
            <v>JOAO FELIPE ROSSIVAL PRETO</v>
          </cell>
          <cell r="K664" t="str">
            <v>CAMPUS LONDRINA</v>
          </cell>
          <cell r="AG664" t="str">
            <v>SIM</v>
          </cell>
          <cell r="AI664">
            <v>4</v>
          </cell>
        </row>
        <row r="665">
          <cell r="B665" t="str">
            <v>JOAO GUSTAVO DA SILVA FREIRE RITTER</v>
          </cell>
          <cell r="K665" t="str">
            <v>CAMPUS CURITIBA</v>
          </cell>
          <cell r="AG665" t="str">
            <v>SIM</v>
          </cell>
          <cell r="AI665">
            <v>8</v>
          </cell>
        </row>
        <row r="666">
          <cell r="B666" t="str">
            <v>JOAO JULIANI</v>
          </cell>
          <cell r="K666" t="str">
            <v>CAMPUS LONDRINA</v>
          </cell>
          <cell r="AG666" t="str">
            <v>SIM</v>
          </cell>
          <cell r="AI666">
            <v>27</v>
          </cell>
        </row>
        <row r="667">
          <cell r="B667" t="str">
            <v>JOAO PAULO FERNANDES GUERREIRO</v>
          </cell>
          <cell r="K667" t="str">
            <v>CAMPUS LONDRINA</v>
          </cell>
          <cell r="AG667" t="str">
            <v>SIM</v>
          </cell>
          <cell r="AI667">
            <v>4</v>
          </cell>
        </row>
        <row r="668">
          <cell r="B668" t="str">
            <v>JOAO VICTOR PEREIRA DA SILVA</v>
          </cell>
          <cell r="K668" t="str">
            <v>CAMPUS CURITIBA</v>
          </cell>
          <cell r="AG668" t="str">
            <v>NÃO</v>
          </cell>
          <cell r="AI668">
            <v>0</v>
          </cell>
        </row>
        <row r="669">
          <cell r="B669" t="str">
            <v>JOCELINE FRANCO DALL AGNOL</v>
          </cell>
          <cell r="K669" t="str">
            <v>CAMPUS CURITIBA</v>
          </cell>
          <cell r="AG669" t="str">
            <v>NÃO</v>
          </cell>
          <cell r="AI669">
            <v>20</v>
          </cell>
        </row>
        <row r="670">
          <cell r="B670" t="str">
            <v>JOCEMARA GURMINI</v>
          </cell>
          <cell r="K670" t="str">
            <v>CAMPUS CURITIBA</v>
          </cell>
          <cell r="AG670" t="str">
            <v>SIM</v>
          </cell>
          <cell r="AI670">
            <v>23</v>
          </cell>
        </row>
        <row r="671">
          <cell r="B671" t="str">
            <v>JOELTON DEONEI GOTZ</v>
          </cell>
          <cell r="K671" t="str">
            <v>CAMPUS CURITIBA</v>
          </cell>
          <cell r="AG671" t="str">
            <v>SIM</v>
          </cell>
          <cell r="AI671">
            <v>24</v>
          </cell>
        </row>
        <row r="672">
          <cell r="B672" t="str">
            <v>JOICE DE OLIVEIRA PETRECCA TOMASCHITZ</v>
          </cell>
          <cell r="K672" t="str">
            <v>CAMPUS CURITIBA</v>
          </cell>
          <cell r="AG672" t="str">
            <v>NÃO</v>
          </cell>
          <cell r="AI672">
            <v>22</v>
          </cell>
        </row>
        <row r="673">
          <cell r="B673" t="str">
            <v>JONAS KRAUSE</v>
          </cell>
          <cell r="K673" t="str">
            <v>CAMPUS CURITIBA</v>
          </cell>
          <cell r="AG673" t="str">
            <v>NÃO</v>
          </cell>
          <cell r="AI673">
            <v>20</v>
          </cell>
        </row>
        <row r="674">
          <cell r="B674" t="str">
            <v>JONES LUIS SCHAEFER</v>
          </cell>
          <cell r="K674" t="str">
            <v>CAMPUS CURITIBA</v>
          </cell>
          <cell r="AG674" t="str">
            <v>NÃO</v>
          </cell>
          <cell r="AI674">
            <v>30</v>
          </cell>
        </row>
        <row r="675">
          <cell r="B675" t="str">
            <v>JORDAO VIOLIN</v>
          </cell>
          <cell r="K675" t="str">
            <v>CAMPUS CURITIBA</v>
          </cell>
          <cell r="AG675" t="str">
            <v>SIM</v>
          </cell>
          <cell r="AI675">
            <v>18</v>
          </cell>
        </row>
        <row r="676">
          <cell r="B676" t="str">
            <v>JORGE LUIZ COSTA CASTRO</v>
          </cell>
          <cell r="K676" t="str">
            <v>CAMPUS CURITIBA</v>
          </cell>
          <cell r="AG676" t="str">
            <v>SIM</v>
          </cell>
          <cell r="AI676">
            <v>9</v>
          </cell>
        </row>
        <row r="677">
          <cell r="B677" t="str">
            <v>JOSE ADEMAR KAEFER</v>
          </cell>
          <cell r="K677" t="str">
            <v>CAMPUS CURITIBA</v>
          </cell>
          <cell r="AG677" t="str">
            <v>NÃO</v>
          </cell>
          <cell r="AI677">
            <v>30</v>
          </cell>
        </row>
        <row r="678">
          <cell r="B678" t="str">
            <v>JOSE ADEMAR VILLANOVA JUNIOR</v>
          </cell>
          <cell r="K678" t="str">
            <v>CAMPUS CURITIBA</v>
          </cell>
          <cell r="AG678" t="str">
            <v>NÃO</v>
          </cell>
          <cell r="AI678">
            <v>28</v>
          </cell>
        </row>
        <row r="679">
          <cell r="B679" t="str">
            <v>JOSE ANTONIO MIGUEL</v>
          </cell>
          <cell r="K679" t="str">
            <v>CAMPUS LONDRINA</v>
          </cell>
          <cell r="AG679" t="str">
            <v>SIM</v>
          </cell>
          <cell r="AI679">
            <v>6</v>
          </cell>
        </row>
        <row r="680">
          <cell r="B680" t="str">
            <v>JOSE AUGUSTO RIBAS FORTES</v>
          </cell>
          <cell r="K680" t="str">
            <v>CAMPUS CURITIBA</v>
          </cell>
          <cell r="AG680" t="str">
            <v>SIM</v>
          </cell>
          <cell r="AI680">
            <v>11</v>
          </cell>
        </row>
        <row r="681">
          <cell r="B681" t="str">
            <v>JOSE CRISTIANO BENTO DOS SANTOS</v>
          </cell>
          <cell r="K681" t="str">
            <v>CAMPUS LONDRINA</v>
          </cell>
          <cell r="AG681" t="str">
            <v>SIM</v>
          </cell>
          <cell r="AI681">
            <v>4</v>
          </cell>
        </row>
        <row r="682">
          <cell r="B682" t="str">
            <v>JOSE EDUARDO NUNES LINO</v>
          </cell>
          <cell r="K682" t="str">
            <v>CAMPUS CURITIBA</v>
          </cell>
          <cell r="AG682" t="str">
            <v>NÃO</v>
          </cell>
          <cell r="AI682">
            <v>36</v>
          </cell>
        </row>
        <row r="683">
          <cell r="B683" t="str">
            <v>JOSE ELOIR KRUPECHACKE</v>
          </cell>
          <cell r="K683" t="str">
            <v>CAMPUS CURITIBA</v>
          </cell>
          <cell r="AG683" t="str">
            <v>SIM</v>
          </cell>
          <cell r="AI683">
            <v>10</v>
          </cell>
        </row>
        <row r="684">
          <cell r="B684" t="str">
            <v>JOSE GERALDO LOPES DE NORONHA FILHO</v>
          </cell>
          <cell r="K684" t="str">
            <v>CAMPUS CURITIBA</v>
          </cell>
          <cell r="AG684" t="str">
            <v>SIM</v>
          </cell>
          <cell r="AI684">
            <v>24</v>
          </cell>
        </row>
        <row r="685">
          <cell r="B685" t="str">
            <v>JOSE GUSTAVO DE OLIVEIRA FRANCO</v>
          </cell>
          <cell r="K685" t="str">
            <v>CAMPUS CURITIBA</v>
          </cell>
          <cell r="AG685" t="str">
            <v>SIM</v>
          </cell>
          <cell r="AI685">
            <v>0</v>
          </cell>
        </row>
        <row r="686">
          <cell r="B686" t="str">
            <v>JOSE KNOPFHOLZ</v>
          </cell>
          <cell r="K686" t="str">
            <v>CAMPUS CURITIBA</v>
          </cell>
          <cell r="AG686" t="str">
            <v>NÃO</v>
          </cell>
          <cell r="AI686">
            <v>38</v>
          </cell>
        </row>
        <row r="687">
          <cell r="B687" t="str">
            <v>JOSE MARIA TIEPOLO</v>
          </cell>
          <cell r="K687" t="str">
            <v>CAMPUS CURITIBA</v>
          </cell>
          <cell r="AG687" t="str">
            <v>SIM</v>
          </cell>
          <cell r="AI687">
            <v>4</v>
          </cell>
        </row>
        <row r="688">
          <cell r="B688" t="str">
            <v>JOSE MARIO TUPINA MACHADO</v>
          </cell>
          <cell r="K688" t="str">
            <v>CAMPUS CURITIBA</v>
          </cell>
          <cell r="AG688" t="str">
            <v>SIM</v>
          </cell>
          <cell r="AI688">
            <v>32</v>
          </cell>
        </row>
        <row r="689">
          <cell r="B689" t="str">
            <v>JOSE RAFAEL SOLANO DURAN</v>
          </cell>
          <cell r="K689" t="str">
            <v>CAMPUS LONDRINA</v>
          </cell>
          <cell r="AG689" t="str">
            <v>NÃO</v>
          </cell>
          <cell r="AI689">
            <v>28</v>
          </cell>
        </row>
        <row r="690">
          <cell r="B690" t="str">
            <v>JOSE ROCHA FARIA NETO</v>
          </cell>
          <cell r="K690" t="str">
            <v>CAMPUS CURITIBA</v>
          </cell>
          <cell r="AG690" t="str">
            <v>NÃO</v>
          </cell>
          <cell r="AI690">
            <v>36</v>
          </cell>
        </row>
        <row r="691">
          <cell r="B691" t="str">
            <v>JOSEANE MARIA ANDRADE MOUZINHO DE OLIVEIRA</v>
          </cell>
          <cell r="K691" t="str">
            <v>CAMPUS CURITIBA</v>
          </cell>
          <cell r="AG691" t="str">
            <v>SIM</v>
          </cell>
          <cell r="AI691">
            <v>8</v>
          </cell>
        </row>
        <row r="692">
          <cell r="B692" t="str">
            <v>JOSELAINE VALASKI</v>
          </cell>
          <cell r="K692" t="str">
            <v>CAMPUS CURITIBA</v>
          </cell>
          <cell r="AG692" t="str">
            <v>NÃO</v>
          </cell>
          <cell r="AI692">
            <v>30</v>
          </cell>
        </row>
        <row r="693">
          <cell r="B693" t="str">
            <v>JOSELIA RIBEIRO</v>
          </cell>
          <cell r="K693" t="str">
            <v>CAMPUS CURITIBA</v>
          </cell>
          <cell r="AG693" t="str">
            <v>NÃO</v>
          </cell>
          <cell r="AI693">
            <v>40</v>
          </cell>
        </row>
        <row r="694">
          <cell r="B694" t="str">
            <v>JOSEMAR BATISTA</v>
          </cell>
          <cell r="K694" t="str">
            <v>CAMPUS CURITIBA</v>
          </cell>
          <cell r="AG694" t="str">
            <v>SIM</v>
          </cell>
          <cell r="AI694">
            <v>5</v>
          </cell>
        </row>
        <row r="695">
          <cell r="B695" t="str">
            <v>JOSETH ANTONIA OLIVEIRA JARDIM</v>
          </cell>
          <cell r="K695" t="str">
            <v>CAMPUS CURITIBA</v>
          </cell>
          <cell r="AG695" t="str">
            <v>SIM</v>
          </cell>
          <cell r="AI695">
            <v>20</v>
          </cell>
        </row>
        <row r="696">
          <cell r="B696" t="str">
            <v>JOSIANE REGINA KRUPINISKI</v>
          </cell>
          <cell r="K696" t="str">
            <v>CAMPUS TOLEDO</v>
          </cell>
          <cell r="AG696" t="str">
            <v>SIM</v>
          </cell>
          <cell r="AI696">
            <v>16</v>
          </cell>
        </row>
        <row r="697">
          <cell r="B697" t="str">
            <v>JOSSIANI AUGUSTA HONORIO DIAS</v>
          </cell>
          <cell r="K697" t="str">
            <v>CAMPUS TOLEDO</v>
          </cell>
          <cell r="AG697" t="str">
            <v>SIM</v>
          </cell>
          <cell r="AI697">
            <v>18</v>
          </cell>
        </row>
        <row r="698">
          <cell r="B698" t="str">
            <v>JUAN EDSON CABRERA QUISPE</v>
          </cell>
          <cell r="K698" t="str">
            <v>CAMPUS CURITIBA</v>
          </cell>
          <cell r="AG698" t="str">
            <v>NÃO</v>
          </cell>
          <cell r="AI698">
            <v>40</v>
          </cell>
        </row>
        <row r="699">
          <cell r="B699" t="str">
            <v>JUAN JOSE CAMOU VIACAVA</v>
          </cell>
          <cell r="K699" t="str">
            <v>CAMPUS CURITIBA</v>
          </cell>
          <cell r="AG699" t="str">
            <v>NÃO</v>
          </cell>
          <cell r="AI699">
            <v>32</v>
          </cell>
        </row>
        <row r="700">
          <cell r="B700" t="str">
            <v>JUCIMERI ISOLDA SILVEIRA</v>
          </cell>
          <cell r="K700" t="str">
            <v>CAMPUS CURITIBA</v>
          </cell>
          <cell r="AG700" t="str">
            <v>NÃO</v>
          </cell>
          <cell r="AI700">
            <v>36</v>
          </cell>
        </row>
        <row r="701">
          <cell r="B701" t="str">
            <v>JULIA IZADORA DA SILVA MARTINS</v>
          </cell>
          <cell r="K701" t="str">
            <v>CAMPUS LONDRINA</v>
          </cell>
          <cell r="AG701" t="str">
            <v>SIM</v>
          </cell>
          <cell r="AI701">
            <v>12</v>
          </cell>
        </row>
        <row r="702">
          <cell r="B702" t="str">
            <v>JULIANA ALVES SANTOS</v>
          </cell>
          <cell r="K702" t="str">
            <v>CAMPUS CURITIBA</v>
          </cell>
          <cell r="AG702" t="str">
            <v>NÃO</v>
          </cell>
          <cell r="AI702">
            <v>0</v>
          </cell>
        </row>
        <row r="703">
          <cell r="B703" t="str">
            <v>JULIANA CARVALHO PAVAO</v>
          </cell>
          <cell r="K703" t="str">
            <v>CAMPUS LONDRINA</v>
          </cell>
          <cell r="AG703" t="str">
            <v>SIM</v>
          </cell>
          <cell r="AI703">
            <v>6</v>
          </cell>
        </row>
        <row r="704">
          <cell r="B704" t="str">
            <v>JULIANA CONCEICAO NOSCHANG DA COSTA</v>
          </cell>
          <cell r="K704" t="str">
            <v>CAMPUS CURITIBA</v>
          </cell>
          <cell r="AG704" t="str">
            <v>NÃO</v>
          </cell>
          <cell r="AI704">
            <v>36</v>
          </cell>
        </row>
        <row r="705">
          <cell r="B705" t="str">
            <v>JULIANA DEL SECCHI</v>
          </cell>
          <cell r="K705" t="str">
            <v>CAMPUS CURITIBA</v>
          </cell>
          <cell r="AG705" t="str">
            <v>SIM</v>
          </cell>
          <cell r="AI705">
            <v>14</v>
          </cell>
        </row>
        <row r="706">
          <cell r="B706" t="str">
            <v>JULIANA FERNANDES JUNGES CARARO</v>
          </cell>
          <cell r="K706" t="str">
            <v>CAMPUS CURITIBA</v>
          </cell>
          <cell r="AG706" t="str">
            <v>NÃO</v>
          </cell>
          <cell r="AI706">
            <v>24</v>
          </cell>
        </row>
        <row r="707">
          <cell r="B707" t="str">
            <v>JULIANA FERREIRA MONTENEGRO</v>
          </cell>
          <cell r="K707" t="str">
            <v>CAMPUS CURITIBA</v>
          </cell>
          <cell r="AG707" t="str">
            <v>SIM</v>
          </cell>
          <cell r="AI707">
            <v>2</v>
          </cell>
        </row>
        <row r="708">
          <cell r="B708" t="str">
            <v>JULIANA LIMA LICONTI</v>
          </cell>
          <cell r="K708" t="str">
            <v>CAMPUS CURITIBA</v>
          </cell>
          <cell r="AG708" t="str">
            <v>SIM</v>
          </cell>
          <cell r="AI708">
            <v>2</v>
          </cell>
        </row>
        <row r="709">
          <cell r="B709" t="str">
            <v>JULIANA PUKA</v>
          </cell>
          <cell r="K709" t="str">
            <v>CAMPUS CURITIBA</v>
          </cell>
          <cell r="AG709" t="str">
            <v>SIM</v>
          </cell>
          <cell r="AI709">
            <v>7</v>
          </cell>
        </row>
        <row r="710">
          <cell r="B710" t="str">
            <v>JULIANA RADAELLI</v>
          </cell>
          <cell r="K710" t="str">
            <v>CAMPUS CURITIBA</v>
          </cell>
          <cell r="AG710" t="str">
            <v>SIM</v>
          </cell>
          <cell r="AI710">
            <v>4</v>
          </cell>
        </row>
        <row r="711">
          <cell r="B711" t="str">
            <v>JULIANO COSTA</v>
          </cell>
          <cell r="K711" t="str">
            <v>CAMPUS CURITIBA</v>
          </cell>
          <cell r="AG711" t="str">
            <v>SIM</v>
          </cell>
          <cell r="AI711">
            <v>14</v>
          </cell>
        </row>
        <row r="712">
          <cell r="B712" t="str">
            <v>JULIANO DE TROTTA</v>
          </cell>
          <cell r="K712" t="str">
            <v>CAMPUS CURITIBA</v>
          </cell>
          <cell r="AG712" t="str">
            <v>SIM</v>
          </cell>
          <cell r="AI712">
            <v>6</v>
          </cell>
        </row>
        <row r="713">
          <cell r="B713" t="str">
            <v>JULIANO GASPARETTO</v>
          </cell>
          <cell r="K713" t="str">
            <v>CAMPUS CURITIBA</v>
          </cell>
          <cell r="AG713" t="str">
            <v>NÃO</v>
          </cell>
          <cell r="AI713">
            <v>38</v>
          </cell>
        </row>
        <row r="714">
          <cell r="B714" t="str">
            <v>JULIANO GERALDI</v>
          </cell>
          <cell r="K714" t="str">
            <v>CAMPUS CURITIBA</v>
          </cell>
          <cell r="AG714" t="str">
            <v>SIM</v>
          </cell>
          <cell r="AI714">
            <v>6</v>
          </cell>
        </row>
        <row r="715">
          <cell r="B715" t="str">
            <v>JULIANO MUNIK BORA</v>
          </cell>
          <cell r="K715" t="str">
            <v>CAMPUS CURITIBA</v>
          </cell>
          <cell r="AG715" t="str">
            <v>SIM</v>
          </cell>
          <cell r="AI715">
            <v>15</v>
          </cell>
        </row>
        <row r="716">
          <cell r="B716" t="str">
            <v>JULIO CESAR BISINELLI</v>
          </cell>
          <cell r="K716" t="str">
            <v>CAMPUS CURITIBA</v>
          </cell>
          <cell r="AG716" t="str">
            <v>SIM</v>
          </cell>
          <cell r="AI716">
            <v>2</v>
          </cell>
        </row>
        <row r="717">
          <cell r="B717" t="str">
            <v>JULIO CESAR DE MOURA LEITE</v>
          </cell>
          <cell r="K717" t="str">
            <v>CAMPUS CURITIBA</v>
          </cell>
          <cell r="AG717" t="str">
            <v>SIM</v>
          </cell>
          <cell r="AI717">
            <v>9</v>
          </cell>
        </row>
        <row r="718">
          <cell r="B718" t="str">
            <v>JULIO CESAR DE SOUZA MOTA</v>
          </cell>
          <cell r="K718" t="str">
            <v>CAMPUS CURITIBA</v>
          </cell>
          <cell r="AG718" t="str">
            <v>SIM</v>
          </cell>
          <cell r="AI718">
            <v>2</v>
          </cell>
        </row>
        <row r="719">
          <cell r="B719" t="str">
            <v>JULIO CESAR FERREIRA</v>
          </cell>
          <cell r="K719" t="str">
            <v>Campus Curitiba</v>
          </cell>
          <cell r="AG719" t="str">
            <v>SIM</v>
          </cell>
          <cell r="AI719">
            <v>2</v>
          </cell>
        </row>
        <row r="720">
          <cell r="B720" t="str">
            <v>JULIO CESAR NIEVOLA</v>
          </cell>
          <cell r="K720" t="str">
            <v>CAMPUS CURITIBA</v>
          </cell>
          <cell r="AG720" t="str">
            <v>NÃO</v>
          </cell>
          <cell r="AI720">
            <v>32</v>
          </cell>
        </row>
        <row r="721">
          <cell r="B721" t="str">
            <v>JULIO CEZAR MERLIN</v>
          </cell>
          <cell r="K721" t="str">
            <v>CAMPUS CURITIBA</v>
          </cell>
          <cell r="AG721" t="str">
            <v>SIM</v>
          </cell>
          <cell r="AI721">
            <v>16</v>
          </cell>
        </row>
        <row r="722">
          <cell r="B722" t="str">
            <v>JUNE ALISSON WESTARB CRUZ</v>
          </cell>
          <cell r="K722" t="str">
            <v>CAMPUS CURITIBA</v>
          </cell>
          <cell r="AG722" t="str">
            <v>NÃO</v>
          </cell>
          <cell r="AI722">
            <v>4</v>
          </cell>
        </row>
        <row r="723">
          <cell r="B723" t="str">
            <v>JUNIO CESAR MANGONARO</v>
          </cell>
          <cell r="K723" t="str">
            <v>CAMPUS LONDRINA</v>
          </cell>
          <cell r="AG723" t="str">
            <v>SIM</v>
          </cell>
          <cell r="AI723">
            <v>20</v>
          </cell>
        </row>
        <row r="724">
          <cell r="B724" t="str">
            <v>KAMILA COLOMBO</v>
          </cell>
          <cell r="K724" t="str">
            <v>CAMPUS CURITIBA</v>
          </cell>
          <cell r="AG724" t="str">
            <v>NÃO</v>
          </cell>
          <cell r="AI724">
            <v>25</v>
          </cell>
        </row>
        <row r="725">
          <cell r="B725" t="str">
            <v>KAREN BARROS PARRON FERNANDES</v>
          </cell>
          <cell r="K725" t="str">
            <v>CAMPUS LONDRINA</v>
          </cell>
          <cell r="AG725" t="str">
            <v>NÃO</v>
          </cell>
          <cell r="AI725">
            <v>34</v>
          </cell>
        </row>
        <row r="726">
          <cell r="B726" t="str">
            <v>KAREN FERNANDES DE MOURA SAAB</v>
          </cell>
          <cell r="K726" t="str">
            <v>CAMPUS CURITIBA</v>
          </cell>
          <cell r="AG726" t="str">
            <v>SIM</v>
          </cell>
          <cell r="AI726">
            <v>24</v>
          </cell>
        </row>
        <row r="727">
          <cell r="B727" t="str">
            <v>KAREN MAYUMI NAKAYA</v>
          </cell>
          <cell r="K727" t="str">
            <v>CAMPUS LONDRINA</v>
          </cell>
          <cell r="AG727" t="str">
            <v>SIM</v>
          </cell>
          <cell r="AI727">
            <v>26</v>
          </cell>
        </row>
        <row r="728">
          <cell r="B728" t="str">
            <v>KAREN SUMIRE KUBO</v>
          </cell>
          <cell r="K728" t="str">
            <v>CAMPUS CURITIBA</v>
          </cell>
          <cell r="AG728" t="str">
            <v>NÃO</v>
          </cell>
          <cell r="AI728">
            <v>34</v>
          </cell>
        </row>
        <row r="729">
          <cell r="B729" t="str">
            <v>KARINA AIRES REINLEIN FERNANDES COUTO DE MORAES</v>
          </cell>
          <cell r="K729" t="str">
            <v>CAMPUS CURITIBA</v>
          </cell>
          <cell r="AG729" t="str">
            <v>SIM</v>
          </cell>
          <cell r="AI729">
            <v>15</v>
          </cell>
        </row>
        <row r="730">
          <cell r="B730" t="str">
            <v>KARINA DA SILVA MAGATAO</v>
          </cell>
          <cell r="K730" t="str">
            <v>CAMPUS CURITIBA</v>
          </cell>
          <cell r="AG730" t="str">
            <v>NÃO</v>
          </cell>
          <cell r="AI730">
            <v>30</v>
          </cell>
        </row>
        <row r="731">
          <cell r="B731" t="str">
            <v>KARINA DE GUADALUPE BERTOLDI GIROTTO</v>
          </cell>
          <cell r="K731" t="str">
            <v>CAMPUS CURITIBA</v>
          </cell>
          <cell r="AG731" t="str">
            <v>SIM</v>
          </cell>
          <cell r="AI731">
            <v>9</v>
          </cell>
        </row>
        <row r="732">
          <cell r="B732" t="str">
            <v>KARINA PACHECO DOS SANTOS VANDER BROOCK</v>
          </cell>
          <cell r="K732" t="str">
            <v>CAMPUS CURITIBA</v>
          </cell>
          <cell r="AG732" t="str">
            <v>SIM</v>
          </cell>
          <cell r="AI732">
            <v>14</v>
          </cell>
        </row>
        <row r="733">
          <cell r="B733" t="str">
            <v>KARLA CRISTIANE ARSIE</v>
          </cell>
          <cell r="K733" t="str">
            <v>CAMPUS CURITIBA</v>
          </cell>
          <cell r="AG733" t="str">
            <v>NÃO</v>
          </cell>
          <cell r="AI733">
            <v>36</v>
          </cell>
        </row>
        <row r="734">
          <cell r="B734" t="str">
            <v>KARLAN MULLER MUNIZ</v>
          </cell>
          <cell r="K734" t="str">
            <v>CAMPUS CURITIBA</v>
          </cell>
          <cell r="AG734" t="str">
            <v>SIM</v>
          </cell>
          <cell r="AI734">
            <v>18</v>
          </cell>
        </row>
        <row r="735">
          <cell r="B735" t="str">
            <v>KAROLINE MOREIRA BASTOS DE SOUZA</v>
          </cell>
          <cell r="K735" t="str">
            <v>CAMPUS CURITIBA</v>
          </cell>
          <cell r="AG735" t="str">
            <v>NÃO</v>
          </cell>
          <cell r="AI735">
            <v>0</v>
          </cell>
        </row>
        <row r="736">
          <cell r="B736" t="str">
            <v>KASSIA RENATA DA SILVA ZANAO</v>
          </cell>
          <cell r="K736" t="str">
            <v>CAMPUS CURITIBA</v>
          </cell>
          <cell r="AG736" t="str">
            <v>SIM</v>
          </cell>
          <cell r="AI736">
            <v>2</v>
          </cell>
        </row>
        <row r="737">
          <cell r="B737" t="str">
            <v>KATHERINE DAMBROWSKI</v>
          </cell>
          <cell r="K737" t="str">
            <v>CAMPUS CURITIBA</v>
          </cell>
          <cell r="AG737" t="str">
            <v>SIM</v>
          </cell>
          <cell r="AI737">
            <v>10</v>
          </cell>
        </row>
        <row r="738">
          <cell r="B738" t="str">
            <v>KATIA ALESSANDRA PASTORI TERRIN</v>
          </cell>
          <cell r="K738" t="str">
            <v>CAMPUS LONDRINA</v>
          </cell>
          <cell r="AG738" t="str">
            <v>SIM</v>
          </cell>
          <cell r="AI738">
            <v>10</v>
          </cell>
        </row>
        <row r="739">
          <cell r="B739" t="str">
            <v>KATIA ETHIENNE ESTEVES DOS SANTOS</v>
          </cell>
          <cell r="K739" t="str">
            <v>CAMPUS CURITIBA</v>
          </cell>
          <cell r="AG739" t="str">
            <v>NÃO</v>
          </cell>
          <cell r="AI739">
            <v>30</v>
          </cell>
        </row>
        <row r="740">
          <cell r="B740" t="str">
            <v>KATYA KOZICKI</v>
          </cell>
          <cell r="K740" t="str">
            <v>CAMPUS CURITIBA</v>
          </cell>
          <cell r="AG740" t="str">
            <v>NÃO</v>
          </cell>
          <cell r="AI740">
            <v>30</v>
          </cell>
        </row>
        <row r="741">
          <cell r="B741" t="str">
            <v>KAUANA VIEIRA DA ROSA KALACHE</v>
          </cell>
          <cell r="K741" t="str">
            <v>CAMPUS CURITIBA</v>
          </cell>
          <cell r="AG741" t="str">
            <v>SIM</v>
          </cell>
          <cell r="AI741">
            <v>10</v>
          </cell>
        </row>
        <row r="742">
          <cell r="B742" t="str">
            <v>KEANU TELLES DA COSTA</v>
          </cell>
          <cell r="K742" t="str">
            <v>CAMPUS CURITIBA</v>
          </cell>
          <cell r="AG742" t="str">
            <v>SIM</v>
          </cell>
          <cell r="AI742">
            <v>24</v>
          </cell>
        </row>
        <row r="743">
          <cell r="B743" t="str">
            <v>KEITH MARY DE SOUZA SATO URBINATI</v>
          </cell>
          <cell r="K743" t="str">
            <v>CAMPUS CURITIBA</v>
          </cell>
          <cell r="AG743" t="str">
            <v>SIM</v>
          </cell>
          <cell r="AI743">
            <v>13</v>
          </cell>
        </row>
        <row r="744">
          <cell r="B744" t="str">
            <v>KELIANI BORDIN</v>
          </cell>
          <cell r="K744" t="str">
            <v>CAMPUS CURITIBA</v>
          </cell>
          <cell r="AG744" t="str">
            <v>SIM</v>
          </cell>
          <cell r="AI744">
            <v>17</v>
          </cell>
        </row>
        <row r="745">
          <cell r="B745" t="str">
            <v>KELLY CHRISTINE LANDOLFI BETTIO</v>
          </cell>
          <cell r="K745" t="str">
            <v>CAMPUS CURITIBA</v>
          </cell>
          <cell r="AG745" t="str">
            <v>SIM</v>
          </cell>
          <cell r="AI745">
            <v>16</v>
          </cell>
        </row>
        <row r="746">
          <cell r="B746" t="str">
            <v>KELLY CRISTINA BORDIGNON GOMES</v>
          </cell>
          <cell r="K746" t="str">
            <v>Campus Toledo</v>
          </cell>
          <cell r="AG746" t="str">
            <v>SIM</v>
          </cell>
          <cell r="AI746">
            <v>9</v>
          </cell>
        </row>
        <row r="747">
          <cell r="B747" t="str">
            <v>KELLY MAZUTTI MONTEIRO</v>
          </cell>
          <cell r="K747" t="str">
            <v>CAMPUS CURITIBA</v>
          </cell>
          <cell r="AG747" t="str">
            <v>SIM</v>
          </cell>
          <cell r="AI747">
            <v>19</v>
          </cell>
        </row>
        <row r="748">
          <cell r="B748" t="str">
            <v>KELLY RAFAELA OTEMAIER</v>
          </cell>
          <cell r="K748" t="str">
            <v>CAMPUS CURITIBA</v>
          </cell>
          <cell r="AG748" t="str">
            <v>NÃO</v>
          </cell>
          <cell r="AI748">
            <v>32</v>
          </cell>
        </row>
        <row r="749">
          <cell r="B749" t="str">
            <v>KENZO HOKAZONO</v>
          </cell>
          <cell r="K749" t="str">
            <v>CAMPUS CURITIBA</v>
          </cell>
          <cell r="AG749" t="str">
            <v>SIM</v>
          </cell>
          <cell r="AI749">
            <v>8</v>
          </cell>
        </row>
        <row r="750">
          <cell r="B750" t="str">
            <v>KEY FONSECA DE LIMA</v>
          </cell>
          <cell r="K750" t="str">
            <v>CAMPUS CURITIBA</v>
          </cell>
          <cell r="AG750" t="str">
            <v>NÃO</v>
          </cell>
          <cell r="AI750">
            <v>32</v>
          </cell>
        </row>
        <row r="751">
          <cell r="B751" t="str">
            <v>KHALIL GIBRAN MARTINS ZERAIK ABDALLA</v>
          </cell>
          <cell r="K751" t="str">
            <v>CAMPUS CURITIBA</v>
          </cell>
          <cell r="AG751" t="str">
            <v>SIM</v>
          </cell>
          <cell r="AI751">
            <v>8</v>
          </cell>
        </row>
        <row r="752">
          <cell r="B752" t="str">
            <v>KLEBER BEZ BIROLO CANDIOTTO</v>
          </cell>
          <cell r="K752" t="str">
            <v>CAMPUS CURITIBA</v>
          </cell>
          <cell r="AG752" t="str">
            <v>NÃO</v>
          </cell>
          <cell r="AI752">
            <v>32</v>
          </cell>
        </row>
        <row r="753">
          <cell r="B753" t="str">
            <v>KUNG DARH CHI</v>
          </cell>
          <cell r="K753" t="str">
            <v>CAMPUS CURITIBA</v>
          </cell>
          <cell r="AG753" t="str">
            <v>SIM</v>
          </cell>
          <cell r="AI753">
            <v>24</v>
          </cell>
        </row>
        <row r="754">
          <cell r="B754" t="str">
            <v>LAERCIO UEMURA</v>
          </cell>
          <cell r="K754" t="str">
            <v>CAMPUS LONDRINA</v>
          </cell>
          <cell r="AG754" t="str">
            <v>SIM</v>
          </cell>
          <cell r="AI754">
            <v>10</v>
          </cell>
        </row>
        <row r="755">
          <cell r="B755" t="str">
            <v>LARA GUERIOS</v>
          </cell>
          <cell r="K755" t="str">
            <v>CAMPUS CURITIBA</v>
          </cell>
          <cell r="AG755" t="str">
            <v>SIM</v>
          </cell>
          <cell r="AI755">
            <v>8</v>
          </cell>
        </row>
        <row r="756">
          <cell r="B756" t="str">
            <v>LARIANE MORTEAN ONO</v>
          </cell>
          <cell r="K756" t="str">
            <v>CAMPUS CURITIBA</v>
          </cell>
          <cell r="AG756" t="str">
            <v>SIM</v>
          </cell>
          <cell r="AI756">
            <v>7</v>
          </cell>
        </row>
        <row r="757">
          <cell r="B757" t="str">
            <v>LARISSA CHIOQUETTA LORENSET</v>
          </cell>
          <cell r="K757" t="str">
            <v>CAMPUS CURITIBA</v>
          </cell>
          <cell r="AG757" t="str">
            <v>SIM</v>
          </cell>
          <cell r="AI757">
            <v>12</v>
          </cell>
        </row>
        <row r="758">
          <cell r="B758" t="str">
            <v>LARISSA HERMANN DE SOUZA NUNES</v>
          </cell>
          <cell r="K758" t="str">
            <v>CAMPUS CURITIBA</v>
          </cell>
          <cell r="AG758" t="str">
            <v>SIM</v>
          </cell>
          <cell r="AI758">
            <v>16</v>
          </cell>
        </row>
        <row r="759">
          <cell r="B759" t="str">
            <v>LAURA ALVES SANTOS</v>
          </cell>
          <cell r="K759" t="str">
            <v>CAMPUS CURITIBA</v>
          </cell>
          <cell r="AG759" t="str">
            <v>NÃO</v>
          </cell>
          <cell r="AI759">
            <v>0</v>
          </cell>
        </row>
        <row r="760">
          <cell r="B760" t="str">
            <v>LAURA CINQUINI FRANCO</v>
          </cell>
          <cell r="K760" t="str">
            <v>CAMPUS LONDRINA</v>
          </cell>
          <cell r="AG760" t="str">
            <v>SIM</v>
          </cell>
          <cell r="AI760">
            <v>13</v>
          </cell>
        </row>
        <row r="761">
          <cell r="B761" t="str">
            <v>LAYS CHEROBIM PAROLIN</v>
          </cell>
          <cell r="K761" t="str">
            <v>CAMPUS CURITIBA</v>
          </cell>
          <cell r="AG761" t="str">
            <v>NÃO</v>
          </cell>
          <cell r="AI761">
            <v>34</v>
          </cell>
        </row>
        <row r="762">
          <cell r="B762" t="str">
            <v>LEANA CAROLINA FERREIRA</v>
          </cell>
          <cell r="K762" t="str">
            <v>CAMPUS CURITIBA</v>
          </cell>
          <cell r="AG762" t="str">
            <v>SIM</v>
          </cell>
          <cell r="AI762">
            <v>14</v>
          </cell>
        </row>
        <row r="763">
          <cell r="B763" t="str">
            <v>LEANDRO BATISTA COSTA</v>
          </cell>
          <cell r="K763" t="str">
            <v>CAMPUS CURITIBA</v>
          </cell>
          <cell r="AG763" t="str">
            <v>NÃO</v>
          </cell>
          <cell r="AI763">
            <v>33</v>
          </cell>
        </row>
        <row r="764">
          <cell r="B764" t="str">
            <v>LEANDRO FEIJO SONNBERGER</v>
          </cell>
          <cell r="K764" t="str">
            <v>CAMPUS LONDRINA</v>
          </cell>
          <cell r="AG764" t="str">
            <v>SIM</v>
          </cell>
          <cell r="AI764">
            <v>14</v>
          </cell>
        </row>
        <row r="765">
          <cell r="B765" t="str">
            <v>LEANDRO JOSE GREBOGI PAMPUCH</v>
          </cell>
          <cell r="K765" t="str">
            <v>CAMPUS CURITIBA</v>
          </cell>
          <cell r="AG765" t="str">
            <v>NÃO</v>
          </cell>
          <cell r="AI765">
            <v>0</v>
          </cell>
        </row>
        <row r="766">
          <cell r="B766" t="str">
            <v>LEANDRO TADEU CATAPAM</v>
          </cell>
          <cell r="K766" t="str">
            <v>CAMPUS CURITIBA</v>
          </cell>
          <cell r="AG766" t="str">
            <v>SIM</v>
          </cell>
          <cell r="AI766">
            <v>0</v>
          </cell>
        </row>
        <row r="767">
          <cell r="B767" t="str">
            <v>LEANDRO ZEN KARAM</v>
          </cell>
          <cell r="K767" t="str">
            <v>CAMPUS CURITIBA</v>
          </cell>
          <cell r="AG767" t="str">
            <v>NÃO</v>
          </cell>
          <cell r="AI767">
            <v>32</v>
          </cell>
        </row>
        <row r="768">
          <cell r="B768" t="str">
            <v>LEDA RAMOS MAY</v>
          </cell>
          <cell r="K768" t="str">
            <v>CAMPUS CURITIBA</v>
          </cell>
          <cell r="AG768" t="str">
            <v>SIM</v>
          </cell>
          <cell r="AI768">
            <v>4</v>
          </cell>
        </row>
        <row r="769">
          <cell r="B769" t="str">
            <v>LEILA ANDRESSA DISSENHA</v>
          </cell>
          <cell r="K769" t="str">
            <v>CAMPUS CURITIBA</v>
          </cell>
          <cell r="AG769" t="str">
            <v>NÃO</v>
          </cell>
          <cell r="AI769">
            <v>38</v>
          </cell>
        </row>
        <row r="770">
          <cell r="B770" t="str">
            <v>LEILA SCUCATO MARCAL</v>
          </cell>
          <cell r="K770" t="str">
            <v>Campus Curitiba</v>
          </cell>
          <cell r="AG770" t="str">
            <v>SIM</v>
          </cell>
          <cell r="AI770">
            <v>1</v>
          </cell>
        </row>
        <row r="771">
          <cell r="B771" t="str">
            <v>LENISE AUBRIFT KLENK</v>
          </cell>
          <cell r="K771" t="str">
            <v>CAMPUS CURITIBA</v>
          </cell>
          <cell r="AG771" t="str">
            <v>SIM</v>
          </cell>
          <cell r="AI771">
            <v>10</v>
          </cell>
        </row>
        <row r="772">
          <cell r="B772" t="str">
            <v>LEO NATAN PASCHOAL</v>
          </cell>
          <cell r="K772" t="str">
            <v>CAMPUS CURITIBA</v>
          </cell>
          <cell r="AG772" t="str">
            <v>NÃO</v>
          </cell>
          <cell r="AI772">
            <v>34</v>
          </cell>
        </row>
        <row r="773">
          <cell r="B773" t="str">
            <v>LEO PERUZZO JUNIOR</v>
          </cell>
          <cell r="K773" t="str">
            <v>CAMPUS CURITIBA</v>
          </cell>
          <cell r="AG773" t="str">
            <v>NÃO</v>
          </cell>
          <cell r="AI773">
            <v>34</v>
          </cell>
        </row>
        <row r="774">
          <cell r="B774" t="str">
            <v>LEONARDO CAMPOS TEIXEIRA</v>
          </cell>
          <cell r="K774" t="str">
            <v>CAMPUS CURITIBA</v>
          </cell>
          <cell r="AG774" t="str">
            <v>SIM</v>
          </cell>
          <cell r="AI774">
            <v>9</v>
          </cell>
        </row>
        <row r="775">
          <cell r="B775" t="str">
            <v>LEONARDO CAVALHEIRO MARTINEZ</v>
          </cell>
          <cell r="K775" t="str">
            <v>CAMPUS CURITIBA</v>
          </cell>
          <cell r="AG775" t="str">
            <v>NÃO</v>
          </cell>
          <cell r="AI775">
            <v>30</v>
          </cell>
        </row>
        <row r="776">
          <cell r="B776" t="str">
            <v>LEONARDO GONCALVES RODRIGUES DA SILVA</v>
          </cell>
          <cell r="K776" t="str">
            <v>CAMPUS CURITIBA</v>
          </cell>
          <cell r="AG776" t="str">
            <v>NÃO</v>
          </cell>
          <cell r="AI776">
            <v>40</v>
          </cell>
        </row>
        <row r="777">
          <cell r="B777" t="str">
            <v>LEONARDO MURILO NEPOMUCENO</v>
          </cell>
          <cell r="K777" t="str">
            <v>CAMPUS CURITIBA</v>
          </cell>
          <cell r="AG777" t="str">
            <v>SIM</v>
          </cell>
          <cell r="AI777">
            <v>10</v>
          </cell>
        </row>
        <row r="778">
          <cell r="B778" t="str">
            <v>LEONARDO RAFAEL DE SOUZA</v>
          </cell>
          <cell r="K778" t="str">
            <v>CAMPUS CURITIBA</v>
          </cell>
          <cell r="AG778" t="str">
            <v>NÃO</v>
          </cell>
          <cell r="AI778">
            <v>28</v>
          </cell>
        </row>
        <row r="779">
          <cell r="B779" t="str">
            <v>LEONARDO SILVA DE LIMA</v>
          </cell>
          <cell r="K779" t="str">
            <v>CAMPUS CURITIBA</v>
          </cell>
          <cell r="AG779" t="str">
            <v>NÃO</v>
          </cell>
          <cell r="AI779">
            <v>0</v>
          </cell>
        </row>
        <row r="780">
          <cell r="B780" t="str">
            <v>LEONARDO TOSSIAKI OBA</v>
          </cell>
          <cell r="K780" t="str">
            <v>CAMPUS CURITIBA</v>
          </cell>
          <cell r="AG780" t="str">
            <v>SIM</v>
          </cell>
          <cell r="AI780">
            <v>8</v>
          </cell>
        </row>
        <row r="781">
          <cell r="B781" t="str">
            <v>LEONARDO VALENTE DE CAMARGO</v>
          </cell>
          <cell r="K781" t="str">
            <v>CAMPUS LONDRINA</v>
          </cell>
          <cell r="AG781" t="str">
            <v>SIM</v>
          </cell>
          <cell r="AI781">
            <v>4</v>
          </cell>
        </row>
        <row r="782">
          <cell r="B782" t="str">
            <v>LETICIA DE OLIVEIRA BORBA</v>
          </cell>
          <cell r="K782" t="str">
            <v>CAMPUS CURITIBA</v>
          </cell>
          <cell r="AG782" t="str">
            <v>SIM</v>
          </cell>
          <cell r="AI782">
            <v>1</v>
          </cell>
        </row>
        <row r="783">
          <cell r="B783" t="str">
            <v>LETICIA DE PIERRI</v>
          </cell>
          <cell r="K783" t="str">
            <v>CAMPUS CURITIBA</v>
          </cell>
          <cell r="AG783" t="str">
            <v>SIM</v>
          </cell>
          <cell r="AI783">
            <v>8</v>
          </cell>
        </row>
        <row r="784">
          <cell r="B784" t="str">
            <v>LETICIA FERNANDES BELO</v>
          </cell>
          <cell r="K784" t="str">
            <v>CAMPUS CURITIBA</v>
          </cell>
          <cell r="AG784" t="str">
            <v>SIM</v>
          </cell>
          <cell r="AI784">
            <v>17</v>
          </cell>
        </row>
        <row r="785">
          <cell r="B785" t="str">
            <v>LETICIA KRAFT</v>
          </cell>
          <cell r="K785" t="str">
            <v>Campus Curitiba</v>
          </cell>
          <cell r="AG785" t="str">
            <v>SIM</v>
          </cell>
          <cell r="AI785">
            <v>0</v>
          </cell>
        </row>
        <row r="786">
          <cell r="B786" t="str">
            <v>LETICIA NAZZARI</v>
          </cell>
          <cell r="K786" t="str">
            <v>CAMPUS TOLEDO</v>
          </cell>
          <cell r="AG786" t="str">
            <v>SIM</v>
          </cell>
          <cell r="AI786">
            <v>4</v>
          </cell>
        </row>
        <row r="787">
          <cell r="B787" t="str">
            <v>LETICIA PASCELLI SANT ANA SANTOS</v>
          </cell>
          <cell r="K787" t="str">
            <v>CAMPUS CURITIBA</v>
          </cell>
          <cell r="AG787" t="str">
            <v>SIM</v>
          </cell>
          <cell r="AI787">
            <v>11</v>
          </cell>
        </row>
        <row r="788">
          <cell r="B788" t="str">
            <v>LETICIA PERET ANTUNES HARDT</v>
          </cell>
          <cell r="K788" t="str">
            <v>CAMPUS CURITIBA</v>
          </cell>
          <cell r="AG788" t="str">
            <v>NÃO</v>
          </cell>
          <cell r="AI788">
            <v>40</v>
          </cell>
        </row>
        <row r="789">
          <cell r="B789" t="str">
            <v>LETICIA POPHAL CUTISQUE</v>
          </cell>
          <cell r="K789" t="str">
            <v>CAMPUS CURITIBA</v>
          </cell>
          <cell r="AG789" t="str">
            <v>SIM</v>
          </cell>
          <cell r="AI789">
            <v>14</v>
          </cell>
        </row>
        <row r="790">
          <cell r="B790" t="str">
            <v>LETYCIA BOECHAT FERREIRA GOMES</v>
          </cell>
          <cell r="K790" t="str">
            <v>Campus Toledo</v>
          </cell>
          <cell r="AG790" t="str">
            <v>SIM</v>
          </cell>
          <cell r="AI790">
            <v>6</v>
          </cell>
        </row>
        <row r="791">
          <cell r="B791" t="str">
            <v>LEVINO BERTOCHI JUNIOR</v>
          </cell>
          <cell r="K791" t="str">
            <v>CAMPUS CURITIBA</v>
          </cell>
          <cell r="AG791" t="str">
            <v>SIM</v>
          </cell>
          <cell r="AI791">
            <v>26</v>
          </cell>
        </row>
        <row r="792">
          <cell r="B792" t="str">
            <v>LIDIA ANA ZYTYNSKI MOURA</v>
          </cell>
          <cell r="K792" t="str">
            <v>CAMPUS CURITIBA</v>
          </cell>
          <cell r="AG792" t="str">
            <v>NÃO</v>
          </cell>
          <cell r="AI792">
            <v>36</v>
          </cell>
        </row>
        <row r="793">
          <cell r="B793" t="str">
            <v>LIGIA ZIEGLER SAMUEL</v>
          </cell>
          <cell r="K793" t="str">
            <v>Campus Curitiba</v>
          </cell>
          <cell r="AG793" t="str">
            <v>SIM</v>
          </cell>
          <cell r="AI793">
            <v>14</v>
          </cell>
        </row>
        <row r="794">
          <cell r="B794" t="str">
            <v>LILIAN PAMELA TAPIA CARRENO DORNBUSCH</v>
          </cell>
          <cell r="K794" t="str">
            <v>CAMPUS CURITIBA</v>
          </cell>
          <cell r="AG794" t="str">
            <v>SIM</v>
          </cell>
          <cell r="AI794">
            <v>11</v>
          </cell>
        </row>
        <row r="795">
          <cell r="B795" t="str">
            <v>LILIAN PAULA FURLAN</v>
          </cell>
          <cell r="K795" t="str">
            <v>CAMPUS LONDRINA</v>
          </cell>
          <cell r="AG795" t="str">
            <v>NÃO</v>
          </cell>
          <cell r="AI795">
            <v>0</v>
          </cell>
        </row>
        <row r="796">
          <cell r="B796" t="str">
            <v>LILIANE DO ROCIO MARCONCIN</v>
          </cell>
          <cell r="K796" t="str">
            <v>CAMPUS CURITIBA</v>
          </cell>
          <cell r="AG796" t="str">
            <v>SIM</v>
          </cell>
          <cell r="AI796">
            <v>20</v>
          </cell>
        </row>
        <row r="797">
          <cell r="B797" t="str">
            <v>LILIANE MARIA BUSATO BATISTA</v>
          </cell>
          <cell r="K797" t="str">
            <v>CAMPUS CURITIBA</v>
          </cell>
          <cell r="AG797" t="str">
            <v>SIM</v>
          </cell>
          <cell r="AI797">
            <v>14</v>
          </cell>
        </row>
        <row r="798">
          <cell r="B798" t="str">
            <v>LILIANE MAYUMI SWIECH</v>
          </cell>
          <cell r="K798" t="str">
            <v>CAMPUS CURITIBA</v>
          </cell>
          <cell r="AG798" t="str">
            <v>SIM</v>
          </cell>
          <cell r="AI798">
            <v>0</v>
          </cell>
        </row>
        <row r="799">
          <cell r="B799" t="str">
            <v>LINDOMAR WESSLER BONETI</v>
          </cell>
          <cell r="K799" t="str">
            <v>CAMPUS CURITIBA</v>
          </cell>
          <cell r="AG799" t="str">
            <v>NÃO</v>
          </cell>
          <cell r="AI799">
            <v>30</v>
          </cell>
        </row>
        <row r="800">
          <cell r="B800" t="str">
            <v>LINDSEY MITIE NAKAKOGUE</v>
          </cell>
          <cell r="K800" t="str">
            <v>CAMPUS LONDRINA</v>
          </cell>
          <cell r="AG800" t="str">
            <v>SIM</v>
          </cell>
          <cell r="AI800">
            <v>20</v>
          </cell>
        </row>
        <row r="801">
          <cell r="B801" t="str">
            <v>LINIZAI LERIKA SANTOS</v>
          </cell>
          <cell r="K801" t="str">
            <v>CAMPUS CURITIBA</v>
          </cell>
          <cell r="AG801" t="str">
            <v>NÃO</v>
          </cell>
          <cell r="AI801">
            <v>0</v>
          </cell>
        </row>
        <row r="802">
          <cell r="B802" t="str">
            <v>LISIANE REIPS</v>
          </cell>
          <cell r="K802" t="str">
            <v>CAMPUS CURITIBA</v>
          </cell>
          <cell r="AG802" t="str">
            <v>SIM</v>
          </cell>
          <cell r="AI802">
            <v>6</v>
          </cell>
        </row>
        <row r="803">
          <cell r="B803" t="str">
            <v>LIVIA SISSI GONCALVES SOUZA PIECHNIK</v>
          </cell>
          <cell r="K803" t="str">
            <v>CAMPUS CURITIBA</v>
          </cell>
          <cell r="AG803" t="str">
            <v>SIM</v>
          </cell>
          <cell r="AI803">
            <v>15</v>
          </cell>
        </row>
        <row r="804">
          <cell r="B804" t="str">
            <v>LIZ RIBEIRO WALLIM</v>
          </cell>
          <cell r="K804" t="str">
            <v>CAMPUS CURITIBA</v>
          </cell>
          <cell r="AG804" t="str">
            <v>SIM</v>
          </cell>
          <cell r="AI804">
            <v>12</v>
          </cell>
        </row>
        <row r="805">
          <cell r="B805" t="str">
            <v>LIZ YUMI SAGUTI</v>
          </cell>
          <cell r="K805" t="str">
            <v>CAMPUS LONDRINA</v>
          </cell>
          <cell r="AG805" t="str">
            <v>SIM</v>
          </cell>
          <cell r="AI805">
            <v>12</v>
          </cell>
        </row>
        <row r="806">
          <cell r="B806" t="str">
            <v>LORENA BORTOLINI NAVARRO</v>
          </cell>
          <cell r="K806" t="str">
            <v>CAMPUS CURITIBA</v>
          </cell>
          <cell r="AG806" t="str">
            <v>SIM</v>
          </cell>
          <cell r="AI806">
            <v>4</v>
          </cell>
        </row>
        <row r="807">
          <cell r="B807" t="str">
            <v>LUAN GUSTAVO RODRIGUES</v>
          </cell>
          <cell r="K807" t="str">
            <v>CAMPUS CURITIBA</v>
          </cell>
          <cell r="AG807" t="str">
            <v>SIM</v>
          </cell>
          <cell r="AI807">
            <v>0</v>
          </cell>
        </row>
        <row r="808">
          <cell r="B808" t="str">
            <v>LUANA APARECIDA OLIVEIRA DA SILVA</v>
          </cell>
          <cell r="K808" t="str">
            <v>CAMPUS LONDRINA</v>
          </cell>
          <cell r="AG808" t="str">
            <v>NÃO</v>
          </cell>
          <cell r="AI808">
            <v>0</v>
          </cell>
        </row>
        <row r="809">
          <cell r="B809" t="str">
            <v>LUANA CARLA FALCAO REBOUCAS</v>
          </cell>
          <cell r="K809" t="str">
            <v>CAMPUS CURITIBA</v>
          </cell>
          <cell r="AG809" t="str">
            <v>SIM</v>
          </cell>
          <cell r="AI809">
            <v>4</v>
          </cell>
        </row>
        <row r="810">
          <cell r="B810" t="str">
            <v>LUANA KAVA</v>
          </cell>
          <cell r="K810" t="str">
            <v>CAMPUS CURITIBA</v>
          </cell>
          <cell r="AG810" t="str">
            <v>NÃO</v>
          </cell>
          <cell r="AI810">
            <v>32</v>
          </cell>
        </row>
        <row r="811">
          <cell r="B811" t="str">
            <v>LUANA TONIN</v>
          </cell>
          <cell r="K811" t="str">
            <v>CAMPUS CURITIBA</v>
          </cell>
          <cell r="AG811" t="str">
            <v>NÃO</v>
          </cell>
          <cell r="AI811">
            <v>24</v>
          </cell>
        </row>
        <row r="812">
          <cell r="B812" t="str">
            <v>LUCAS BACH ADADA</v>
          </cell>
          <cell r="K812" t="str">
            <v>CAMPUS CURITIBA</v>
          </cell>
          <cell r="AG812" t="str">
            <v>SIM</v>
          </cell>
          <cell r="AI812">
            <v>2</v>
          </cell>
        </row>
        <row r="813">
          <cell r="B813" t="str">
            <v>LUCAS CASONATO JACINTO</v>
          </cell>
          <cell r="K813" t="str">
            <v>CAMPUS CURITIBA</v>
          </cell>
          <cell r="AG813" t="str">
            <v>SIM</v>
          </cell>
          <cell r="AI813">
            <v>10</v>
          </cell>
        </row>
        <row r="814">
          <cell r="B814" t="str">
            <v>LUCAS DE LIMA</v>
          </cell>
          <cell r="K814" t="str">
            <v>CAMPUS TOLEDO</v>
          </cell>
          <cell r="AG814" t="str">
            <v>SIM</v>
          </cell>
          <cell r="AI814">
            <v>6</v>
          </cell>
        </row>
        <row r="815">
          <cell r="B815" t="str">
            <v>LUCAS EMANUEL SILVA E OLIVEIRA</v>
          </cell>
          <cell r="K815" t="str">
            <v>CAMPUS CURITIBA</v>
          </cell>
          <cell r="AG815" t="str">
            <v>NÃO</v>
          </cell>
          <cell r="AI815">
            <v>30</v>
          </cell>
        </row>
        <row r="816">
          <cell r="B816" t="str">
            <v>LUCAS LAUTERT DEZORDI</v>
          </cell>
          <cell r="K816" t="str">
            <v>CAMPUS CURITIBA</v>
          </cell>
          <cell r="AG816" t="str">
            <v>SIM</v>
          </cell>
          <cell r="AI816">
            <v>20</v>
          </cell>
        </row>
        <row r="817">
          <cell r="B817" t="str">
            <v>LUCELIA MARIA GONCALVES</v>
          </cell>
          <cell r="K817" t="str">
            <v>Campus Curitiba</v>
          </cell>
          <cell r="AG817" t="str">
            <v>SIM</v>
          </cell>
          <cell r="AI817">
            <v>10</v>
          </cell>
        </row>
        <row r="818">
          <cell r="B818" t="str">
            <v>LUCI KEIKO KUROMOTO DE CASTRO</v>
          </cell>
          <cell r="K818" t="str">
            <v>CAMPUS LONDRINA</v>
          </cell>
          <cell r="AG818" t="str">
            <v>NÃO</v>
          </cell>
          <cell r="AI818">
            <v>25</v>
          </cell>
        </row>
        <row r="819">
          <cell r="B819" t="str">
            <v>LUCI MICHELON LOHMANN</v>
          </cell>
          <cell r="K819" t="str">
            <v>CAMPUS CURITIBA</v>
          </cell>
          <cell r="AG819" t="str">
            <v>SIM</v>
          </cell>
          <cell r="AI819">
            <v>20</v>
          </cell>
        </row>
        <row r="820">
          <cell r="B820" t="str">
            <v>LUCIA DE NORONHA</v>
          </cell>
          <cell r="K820" t="str">
            <v>CAMPUS CURITIBA</v>
          </cell>
          <cell r="AG820" t="str">
            <v>NÃO</v>
          </cell>
          <cell r="AI820">
            <v>35</v>
          </cell>
        </row>
        <row r="821">
          <cell r="B821" t="str">
            <v>LUCIANA ALVES FOGACA</v>
          </cell>
          <cell r="K821" t="str">
            <v>CAMPUS TOLEDO</v>
          </cell>
          <cell r="AG821" t="str">
            <v>SIM</v>
          </cell>
          <cell r="AI821">
            <v>1</v>
          </cell>
        </row>
        <row r="822">
          <cell r="B822" t="str">
            <v>LUCIANA ANDREIA LASARO MANGIERI</v>
          </cell>
          <cell r="K822" t="str">
            <v>CAMPUS LONDRINA</v>
          </cell>
          <cell r="AG822" t="str">
            <v>SIM</v>
          </cell>
          <cell r="AI822">
            <v>3</v>
          </cell>
        </row>
        <row r="823">
          <cell r="B823" t="str">
            <v>LUCIANA BANDEIRA MENDEZ RIBEIRO</v>
          </cell>
          <cell r="K823" t="str">
            <v>CAMPUS CURITIBA</v>
          </cell>
          <cell r="AG823" t="str">
            <v>SIM</v>
          </cell>
          <cell r="AI823">
            <v>8</v>
          </cell>
        </row>
        <row r="824">
          <cell r="B824" t="str">
            <v>LUCIANA CAETANO DA SILVA</v>
          </cell>
          <cell r="K824" t="str">
            <v>CAMPUS CURITIBA</v>
          </cell>
          <cell r="AG824" t="str">
            <v>SIM</v>
          </cell>
          <cell r="AI824">
            <v>36</v>
          </cell>
        </row>
        <row r="825">
          <cell r="B825" t="str">
            <v>LUCIANA ELISABETE SAVARIS</v>
          </cell>
          <cell r="K825" t="str">
            <v>CAMPUS CURITIBA</v>
          </cell>
          <cell r="AG825" t="str">
            <v>SIM</v>
          </cell>
          <cell r="AI825">
            <v>4</v>
          </cell>
        </row>
        <row r="826">
          <cell r="B826" t="str">
            <v>LUCIANA GIBBERT</v>
          </cell>
          <cell r="K826" t="str">
            <v>CAMPUS CURITIBA</v>
          </cell>
          <cell r="AG826" t="str">
            <v>SIM</v>
          </cell>
          <cell r="AI826">
            <v>8</v>
          </cell>
        </row>
        <row r="827">
          <cell r="B827" t="str">
            <v>LUCIANA GUIDARINI DOS SANTOS</v>
          </cell>
          <cell r="K827" t="str">
            <v>CAMPUS TOLEDO</v>
          </cell>
          <cell r="AG827" t="str">
            <v>NÃO</v>
          </cell>
          <cell r="AI827">
            <v>0</v>
          </cell>
        </row>
        <row r="828">
          <cell r="B828" t="str">
            <v>LUCIANA REIS AZEVEDO ALANIS</v>
          </cell>
          <cell r="K828" t="str">
            <v>CAMPUS CURITIBA</v>
          </cell>
          <cell r="AG828" t="str">
            <v>NÃO</v>
          </cell>
          <cell r="AI828">
            <v>28</v>
          </cell>
        </row>
        <row r="829">
          <cell r="B829" t="str">
            <v>LUCIANE HILU</v>
          </cell>
          <cell r="K829" t="str">
            <v>CAMPUS CURITIBA</v>
          </cell>
          <cell r="AG829" t="str">
            <v>SIM</v>
          </cell>
          <cell r="AI829">
            <v>12</v>
          </cell>
        </row>
        <row r="830">
          <cell r="B830" t="str">
            <v>LUCIANO ALVES LEANDRO</v>
          </cell>
          <cell r="K830" t="str">
            <v>CAMPUS CURITIBA</v>
          </cell>
          <cell r="AG830" t="str">
            <v>SIM</v>
          </cell>
          <cell r="AI830">
            <v>16</v>
          </cell>
        </row>
        <row r="831">
          <cell r="B831" t="str">
            <v>LUCIANO AYRES DE MELLO</v>
          </cell>
          <cell r="K831" t="str">
            <v>CAMPUS CURITIBA</v>
          </cell>
          <cell r="AG831" t="str">
            <v>NÃO</v>
          </cell>
          <cell r="AI831">
            <v>30</v>
          </cell>
        </row>
        <row r="832">
          <cell r="B832" t="str">
            <v>LUCIANO CARDOSO</v>
          </cell>
          <cell r="K832" t="str">
            <v>CAMPUS CURITIBA</v>
          </cell>
          <cell r="AG832" t="str">
            <v>NÃO</v>
          </cell>
          <cell r="AI832">
            <v>0</v>
          </cell>
        </row>
        <row r="833">
          <cell r="B833" t="str">
            <v>LUCIENE MARTINS MOREIRA</v>
          </cell>
          <cell r="K833" t="str">
            <v>CAMPUS CURITIBA</v>
          </cell>
          <cell r="AG833" t="str">
            <v>SIM</v>
          </cell>
          <cell r="AI833">
            <v>25</v>
          </cell>
        </row>
        <row r="834">
          <cell r="B834" t="str">
            <v>LUCIENE PIMENTEL DA SILVA</v>
          </cell>
          <cell r="K834" t="str">
            <v>CAMPUS CURITIBA</v>
          </cell>
          <cell r="AG834" t="str">
            <v>NÃO</v>
          </cell>
          <cell r="AI834">
            <v>32</v>
          </cell>
        </row>
        <row r="835">
          <cell r="B835" t="str">
            <v>LUCIMARY DE CASTRO SYLVESTRE</v>
          </cell>
          <cell r="K835" t="str">
            <v>CAMPUS CURITIBA</v>
          </cell>
          <cell r="AG835" t="str">
            <v>SIM</v>
          </cell>
          <cell r="AI835">
            <v>25</v>
          </cell>
        </row>
        <row r="836">
          <cell r="B836" t="str">
            <v>LUCIO BAENA DE MELO</v>
          </cell>
          <cell r="K836" t="str">
            <v>CAMPUS LONDRINA</v>
          </cell>
          <cell r="AG836" t="str">
            <v>SIM</v>
          </cell>
          <cell r="AI836">
            <v>4</v>
          </cell>
        </row>
        <row r="837">
          <cell r="B837" t="str">
            <v>LUCIO TRACZ</v>
          </cell>
          <cell r="K837" t="str">
            <v>CAMPUS CURITIBA</v>
          </cell>
          <cell r="AG837" t="str">
            <v>NÃO</v>
          </cell>
          <cell r="AI837">
            <v>40</v>
          </cell>
        </row>
        <row r="838">
          <cell r="B838" t="str">
            <v>LUDMILA ANDRZEJEWSKI CULPI</v>
          </cell>
          <cell r="K838" t="str">
            <v>CAMPUS CURITIBA</v>
          </cell>
          <cell r="AG838" t="str">
            <v>SIM</v>
          </cell>
          <cell r="AI838">
            <v>8</v>
          </cell>
        </row>
        <row r="839">
          <cell r="B839" t="str">
            <v>LUIS ALEXANDRE CARTA WINTER</v>
          </cell>
          <cell r="K839" t="str">
            <v>CAMPUS CURITIBA</v>
          </cell>
          <cell r="AG839" t="str">
            <v>NÃO</v>
          </cell>
          <cell r="AI839">
            <v>32</v>
          </cell>
        </row>
        <row r="840">
          <cell r="B840" t="str">
            <v>LUIS CESAR DE CARLI TURCO</v>
          </cell>
          <cell r="K840" t="str">
            <v>CAMPUS CURITIBA</v>
          </cell>
          <cell r="AG840" t="str">
            <v>SIM</v>
          </cell>
          <cell r="AI840">
            <v>21</v>
          </cell>
        </row>
        <row r="841">
          <cell r="B841" t="str">
            <v>LUIS DARIO SEPULVEDA</v>
          </cell>
          <cell r="K841" t="str">
            <v>CAMPUS CURITIBA</v>
          </cell>
          <cell r="AG841" t="str">
            <v>SIM</v>
          </cell>
          <cell r="AI841">
            <v>6</v>
          </cell>
        </row>
        <row r="842">
          <cell r="B842" t="str">
            <v>LUIS FERNANDO FONSECA KASPRZAK</v>
          </cell>
          <cell r="K842" t="str">
            <v>CAMPUS CURITIBA</v>
          </cell>
          <cell r="AG842" t="str">
            <v>NÃO</v>
          </cell>
          <cell r="AI842">
            <v>38</v>
          </cell>
        </row>
        <row r="843">
          <cell r="B843" t="str">
            <v>LUIS GONZAGA DE PAULO</v>
          </cell>
          <cell r="K843" t="str">
            <v>CAMPUS CURITIBA</v>
          </cell>
          <cell r="AG843" t="str">
            <v>SIM</v>
          </cell>
          <cell r="AI843">
            <v>0</v>
          </cell>
        </row>
        <row r="844">
          <cell r="B844" t="str">
            <v>LUIS MAURO MOURA</v>
          </cell>
          <cell r="K844" t="str">
            <v>CAMPUS CURITIBA</v>
          </cell>
          <cell r="AG844" t="str">
            <v>NÃO</v>
          </cell>
          <cell r="AI844">
            <v>34</v>
          </cell>
        </row>
        <row r="845">
          <cell r="B845" t="str">
            <v>LUIS SALVADOR PETRUCCI GNOATO</v>
          </cell>
          <cell r="K845" t="str">
            <v>CAMPUS CURITIBA</v>
          </cell>
          <cell r="AG845" t="str">
            <v>SIM</v>
          </cell>
          <cell r="AI845">
            <v>5</v>
          </cell>
        </row>
        <row r="846">
          <cell r="B846" t="str">
            <v>LUIZ ALBERTO BLANCHET</v>
          </cell>
          <cell r="K846" t="str">
            <v>CAMPUS CURITIBA</v>
          </cell>
          <cell r="AG846" t="str">
            <v>NÃO</v>
          </cell>
          <cell r="AI846">
            <v>32</v>
          </cell>
        </row>
        <row r="847">
          <cell r="B847" t="str">
            <v>LUIZ ALBERTO PEREIRA RIBEIRO</v>
          </cell>
          <cell r="K847" t="str">
            <v>CAMPUS LONDRINA</v>
          </cell>
          <cell r="AG847" t="str">
            <v>SIM</v>
          </cell>
          <cell r="AI847">
            <v>8</v>
          </cell>
        </row>
        <row r="848">
          <cell r="B848" t="str">
            <v>LUIZ ALBERTO VIVAN</v>
          </cell>
          <cell r="K848" t="str">
            <v>CAMPUS CURITIBA</v>
          </cell>
          <cell r="AG848" t="str">
            <v>SIM</v>
          </cell>
          <cell r="AI848">
            <v>0</v>
          </cell>
        </row>
        <row r="849">
          <cell r="B849" t="str">
            <v>LUIZ ALEXANDRE SOLANO ROSSI</v>
          </cell>
          <cell r="K849" t="str">
            <v>CAMPUS CURITIBA</v>
          </cell>
          <cell r="AG849" t="str">
            <v>NÃO</v>
          </cell>
          <cell r="AI849">
            <v>30</v>
          </cell>
        </row>
        <row r="850">
          <cell r="B850" t="str">
            <v>LUIZ ANTONIO MARTINS BARBOSA JUNIOR</v>
          </cell>
          <cell r="K850" t="str">
            <v>CAMPUS CURITIBA</v>
          </cell>
          <cell r="AG850" t="str">
            <v>SIM</v>
          </cell>
          <cell r="AI850">
            <v>14</v>
          </cell>
        </row>
        <row r="851">
          <cell r="B851" t="str">
            <v>LUIZ ANTONIO PAVAO</v>
          </cell>
          <cell r="K851" t="str">
            <v>CAMPUS CURITIBA</v>
          </cell>
          <cell r="AG851" t="str">
            <v>SIM</v>
          </cell>
          <cell r="AI851">
            <v>20</v>
          </cell>
        </row>
        <row r="852">
          <cell r="B852" t="str">
            <v>LUIZ AUGUSTO DE PAULA LIMA JUNIOR</v>
          </cell>
          <cell r="K852" t="str">
            <v>CAMPUS CURITIBA</v>
          </cell>
          <cell r="AG852" t="str">
            <v>SIM</v>
          </cell>
          <cell r="AI852">
            <v>8</v>
          </cell>
        </row>
        <row r="853">
          <cell r="B853" t="str">
            <v>LUIZ CARLOS CANTANHEDE FERNANDES JUNIOR</v>
          </cell>
          <cell r="K853" t="str">
            <v>CAMPUS LONDRINA</v>
          </cell>
          <cell r="AG853" t="str">
            <v>SIM</v>
          </cell>
          <cell r="AI853">
            <v>20</v>
          </cell>
        </row>
        <row r="854">
          <cell r="B854" t="str">
            <v>LUIZ CARLOS PY FLORES</v>
          </cell>
          <cell r="K854" t="str">
            <v>CAMPUS CURITIBA</v>
          </cell>
          <cell r="AG854" t="str">
            <v>SIM</v>
          </cell>
          <cell r="AI854">
            <v>8</v>
          </cell>
        </row>
        <row r="855">
          <cell r="B855" t="str">
            <v>LUIZ CARLOS RIBEIRO NEDUZIAK</v>
          </cell>
          <cell r="K855" t="str">
            <v>CAMPUS CURITIBA</v>
          </cell>
          <cell r="AG855" t="str">
            <v>SIM</v>
          </cell>
          <cell r="AI855">
            <v>20</v>
          </cell>
        </row>
        <row r="856">
          <cell r="B856" t="str">
            <v>LUIZ CARLOS VON BAHTEN</v>
          </cell>
          <cell r="K856" t="str">
            <v>CAMPUS CURITIBA</v>
          </cell>
          <cell r="AG856" t="str">
            <v>SIM</v>
          </cell>
          <cell r="AI856">
            <v>16</v>
          </cell>
        </row>
        <row r="857">
          <cell r="B857" t="str">
            <v>LUIZ CESAR GUARITA SOUZA</v>
          </cell>
          <cell r="K857" t="str">
            <v>CAMPUS CURITIBA</v>
          </cell>
          <cell r="AG857" t="str">
            <v>NÃO</v>
          </cell>
          <cell r="AI857">
            <v>40</v>
          </cell>
        </row>
        <row r="858">
          <cell r="B858" t="str">
            <v>LUIZ EDUARDO DE PAULA</v>
          </cell>
          <cell r="K858" t="str">
            <v>CAMPUS LONDRINA</v>
          </cell>
          <cell r="AG858" t="str">
            <v>SIM</v>
          </cell>
          <cell r="AI858">
            <v>5</v>
          </cell>
        </row>
        <row r="859">
          <cell r="B859" t="str">
            <v>LUIZ ERNANDES KOZICKI</v>
          </cell>
          <cell r="K859" t="str">
            <v>CAMPUS CURITIBA</v>
          </cell>
          <cell r="AG859" t="str">
            <v>NÃO</v>
          </cell>
          <cell r="AI859">
            <v>35</v>
          </cell>
        </row>
        <row r="860">
          <cell r="B860" t="str">
            <v>LUIZ FELIPE DE OLIVEIRA PEREIRA</v>
          </cell>
          <cell r="K860" t="str">
            <v>CAMPUS CURITIBA</v>
          </cell>
          <cell r="AG860" t="str">
            <v>SIM</v>
          </cell>
          <cell r="AI860">
            <v>4</v>
          </cell>
        </row>
        <row r="861">
          <cell r="B861" t="str">
            <v>LUIZ FERNANDO BIANCHINI</v>
          </cell>
          <cell r="K861" t="str">
            <v>CAMPUS CURITIBA</v>
          </cell>
          <cell r="AG861" t="str">
            <v>SIM</v>
          </cell>
          <cell r="AI861">
            <v>20</v>
          </cell>
        </row>
        <row r="862">
          <cell r="B862" t="str">
            <v>LUIZ FERNANDO KUNII</v>
          </cell>
          <cell r="K862" t="str">
            <v>CAMPUS LONDRINA</v>
          </cell>
          <cell r="AG862" t="str">
            <v>SIM</v>
          </cell>
          <cell r="AI862">
            <v>31</v>
          </cell>
        </row>
        <row r="863">
          <cell r="B863" t="str">
            <v>LUIZ FERNANDO PEREIRA</v>
          </cell>
          <cell r="K863" t="str">
            <v>CAMPUS CURITIBA</v>
          </cell>
          <cell r="AG863" t="str">
            <v>SIM</v>
          </cell>
          <cell r="AI863">
            <v>2</v>
          </cell>
        </row>
        <row r="864">
          <cell r="B864" t="str">
            <v>LUIZ FERNANDO VELOSO BORBA NAVOLAR</v>
          </cell>
          <cell r="K864" t="str">
            <v>CAMPUS CURITIBA</v>
          </cell>
          <cell r="AG864" t="str">
            <v>SIM</v>
          </cell>
          <cell r="AI864">
            <v>20</v>
          </cell>
        </row>
        <row r="865">
          <cell r="B865" t="str">
            <v>LUIZ GUILHERME ACHCAR CAPRIGLIONE</v>
          </cell>
          <cell r="K865" t="str">
            <v>CAMPUS CURITIBA</v>
          </cell>
          <cell r="AG865" t="str">
            <v>SIM</v>
          </cell>
          <cell r="AI865">
            <v>20</v>
          </cell>
        </row>
        <row r="866">
          <cell r="B866" t="str">
            <v>LUIZ GUILHERME NUNES CICOTTE</v>
          </cell>
          <cell r="K866" t="str">
            <v>CAMPUS LONDRINA</v>
          </cell>
          <cell r="AG866" t="str">
            <v>SIM</v>
          </cell>
          <cell r="AI866">
            <v>6</v>
          </cell>
        </row>
        <row r="867">
          <cell r="B867" t="str">
            <v>LUIZ GUSTAVO PICCOLI DE MELO</v>
          </cell>
          <cell r="K867" t="str">
            <v>CAMPUS LONDRINA</v>
          </cell>
          <cell r="AG867" t="str">
            <v>SIM</v>
          </cell>
          <cell r="AI867">
            <v>23</v>
          </cell>
        </row>
        <row r="868">
          <cell r="B868" t="str">
            <v>LUIZ GUSTAVO PUJOL</v>
          </cell>
          <cell r="K868" t="str">
            <v>CAMPUS CURITIBA</v>
          </cell>
          <cell r="AG868" t="str">
            <v>SIM</v>
          </cell>
          <cell r="AI868">
            <v>4</v>
          </cell>
        </row>
        <row r="869">
          <cell r="B869" t="str">
            <v>LUIZ GUSTAVO THADEO BRAGA</v>
          </cell>
          <cell r="K869" t="str">
            <v>CAMPUS CURITIBA</v>
          </cell>
          <cell r="AG869" t="str">
            <v>SIM</v>
          </cell>
          <cell r="AI869">
            <v>22</v>
          </cell>
        </row>
        <row r="870">
          <cell r="B870" t="str">
            <v>LUIZ HENRIQUE ELOY AMADO</v>
          </cell>
          <cell r="K870" t="str">
            <v>CAMPUS CURITIBA</v>
          </cell>
          <cell r="AG870" t="str">
            <v>NÃO</v>
          </cell>
          <cell r="AI870">
            <v>32</v>
          </cell>
        </row>
        <row r="871">
          <cell r="B871" t="str">
            <v>LUIZ OSORIO MORAES PANZA</v>
          </cell>
          <cell r="K871" t="str">
            <v>Campus Curitiba</v>
          </cell>
          <cell r="AG871" t="str">
            <v>SIM</v>
          </cell>
          <cell r="AI871">
            <v>0</v>
          </cell>
        </row>
        <row r="872">
          <cell r="B872" t="str">
            <v>LUIZA SVIESK SPRUNG</v>
          </cell>
          <cell r="K872" t="str">
            <v>CAMPUS CURITIBA</v>
          </cell>
          <cell r="AG872" t="str">
            <v>SIM</v>
          </cell>
          <cell r="AI872">
            <v>22</v>
          </cell>
        </row>
        <row r="873">
          <cell r="B873" t="str">
            <v>LUKA DAVID LECHINEWSKI</v>
          </cell>
          <cell r="K873" t="str">
            <v>CAMPUS CURITIBA</v>
          </cell>
          <cell r="AG873" t="str">
            <v>SIM</v>
          </cell>
          <cell r="AI873">
            <v>3</v>
          </cell>
        </row>
        <row r="874">
          <cell r="B874" t="str">
            <v>LYDIA VARELA GUERINO</v>
          </cell>
          <cell r="K874" t="str">
            <v>CAMPUS CURITIBA</v>
          </cell>
          <cell r="AG874" t="str">
            <v>SIM</v>
          </cell>
          <cell r="AI874">
            <v>2</v>
          </cell>
        </row>
        <row r="875">
          <cell r="B875" t="str">
            <v>MADALENA DE FARIA SAMPAIO</v>
          </cell>
          <cell r="K875" t="str">
            <v>CAMPUS LONDRINA</v>
          </cell>
          <cell r="AG875" t="str">
            <v>SIM</v>
          </cell>
          <cell r="AI875">
            <v>11</v>
          </cell>
        </row>
        <row r="876">
          <cell r="B876" t="str">
            <v>MAGDA ROSA RAMOS DA CRUZ</v>
          </cell>
          <cell r="K876" t="str">
            <v>CAMPUS CURITIBA</v>
          </cell>
          <cell r="AG876" t="str">
            <v>SIM</v>
          </cell>
          <cell r="AI876">
            <v>19</v>
          </cell>
        </row>
        <row r="877">
          <cell r="B877" t="str">
            <v>MAIARA SILVA TRAMONTE</v>
          </cell>
          <cell r="K877" t="str">
            <v>CAMPUS CURITIBA</v>
          </cell>
          <cell r="AG877" t="str">
            <v>SIM</v>
          </cell>
          <cell r="AI877">
            <v>26</v>
          </cell>
        </row>
        <row r="878">
          <cell r="B878" t="str">
            <v>MAICRIS FERNANDES</v>
          </cell>
          <cell r="K878" t="str">
            <v>CAMPUS CURITIBA</v>
          </cell>
          <cell r="AG878" t="str">
            <v>SIM</v>
          </cell>
          <cell r="AI878">
            <v>12</v>
          </cell>
        </row>
        <row r="879">
          <cell r="B879" t="str">
            <v>MAIRA CARVALHO GALLUCCI</v>
          </cell>
          <cell r="K879" t="str">
            <v>CAMPUS CURITIBA</v>
          </cell>
          <cell r="AG879" t="str">
            <v>SIM</v>
          </cell>
          <cell r="AI879">
            <v>7</v>
          </cell>
        </row>
        <row r="880">
          <cell r="B880" t="str">
            <v>MAISA KELLY NODARI</v>
          </cell>
          <cell r="K880" t="str">
            <v>CAMPUS TOLEDO</v>
          </cell>
          <cell r="AG880" t="str">
            <v>SIM</v>
          </cell>
          <cell r="AI880">
            <v>14</v>
          </cell>
        </row>
        <row r="881">
          <cell r="B881" t="str">
            <v>MANOEL CAMILLO DE OLIVEIRA PENNA NETO</v>
          </cell>
          <cell r="K881" t="str">
            <v>CAMPUS CURITIBA</v>
          </cell>
          <cell r="AG881" t="str">
            <v>SIM</v>
          </cell>
          <cell r="AI881">
            <v>0</v>
          </cell>
        </row>
        <row r="882">
          <cell r="B882" t="str">
            <v>MANOEL VALERIO DA SILVEIRA NETO</v>
          </cell>
          <cell r="K882" t="str">
            <v>CAMPUS CURITIBA</v>
          </cell>
          <cell r="AG882" t="str">
            <v>SIM</v>
          </cell>
          <cell r="AI882">
            <v>2</v>
          </cell>
        </row>
        <row r="883">
          <cell r="B883" t="str">
            <v>MANOELA MASSUCHETTO JAZAR</v>
          </cell>
          <cell r="K883" t="str">
            <v>CAMPUS CURITIBA</v>
          </cell>
          <cell r="AG883" t="str">
            <v>NÃO</v>
          </cell>
          <cell r="AI883">
            <v>20</v>
          </cell>
        </row>
        <row r="884">
          <cell r="B884" t="str">
            <v>MARA FRANCIELI MOTIN</v>
          </cell>
          <cell r="K884" t="str">
            <v>CAMPUS CURITIBA</v>
          </cell>
          <cell r="AG884" t="str">
            <v>SIM</v>
          </cell>
          <cell r="AI884">
            <v>10</v>
          </cell>
        </row>
        <row r="885">
          <cell r="B885" t="str">
            <v>MARCEL JAQUETO</v>
          </cell>
          <cell r="K885" t="str">
            <v>CAMPUS LONDRINA</v>
          </cell>
          <cell r="AG885" t="str">
            <v>SIM</v>
          </cell>
          <cell r="AI885">
            <v>7</v>
          </cell>
        </row>
        <row r="886">
          <cell r="B886" t="str">
            <v>MARCELO AUGUSTO GONCALVES BARDI</v>
          </cell>
          <cell r="K886" t="str">
            <v>Campus Curitiba</v>
          </cell>
          <cell r="AG886" t="str">
            <v>SIM</v>
          </cell>
          <cell r="AI886">
            <v>2</v>
          </cell>
        </row>
        <row r="887">
          <cell r="B887" t="str">
            <v>MARCELO CARDOSO FERRARI</v>
          </cell>
          <cell r="K887" t="str">
            <v>CAMPUS CURITIBA</v>
          </cell>
          <cell r="AG887" t="str">
            <v>SIM</v>
          </cell>
          <cell r="AI887">
            <v>3</v>
          </cell>
        </row>
        <row r="888">
          <cell r="B888" t="str">
            <v>MARCELO CICHACZ</v>
          </cell>
          <cell r="K888" t="str">
            <v>CAMPUS CURITIBA</v>
          </cell>
          <cell r="AG888" t="str">
            <v>SIM</v>
          </cell>
          <cell r="AI888">
            <v>6</v>
          </cell>
        </row>
        <row r="889">
          <cell r="B889" t="str">
            <v>MARCELO DAUDT VON DER HEYDE</v>
          </cell>
          <cell r="K889" t="str">
            <v>CAMPUS CURITIBA</v>
          </cell>
          <cell r="AG889" t="str">
            <v>SIM</v>
          </cell>
          <cell r="AI889">
            <v>11</v>
          </cell>
        </row>
        <row r="890">
          <cell r="B890" t="str">
            <v>MARCELO DO CARMO CAMARGO GAIOTTO</v>
          </cell>
          <cell r="K890" t="str">
            <v>CAMPUS CURITIBA</v>
          </cell>
          <cell r="AG890" t="str">
            <v>SIM</v>
          </cell>
          <cell r="AI890">
            <v>6</v>
          </cell>
        </row>
        <row r="891">
          <cell r="B891" t="str">
            <v>MARCELO EDUARDO PELLENZ</v>
          </cell>
          <cell r="K891" t="str">
            <v>CAMPUS CURITIBA</v>
          </cell>
          <cell r="AG891" t="str">
            <v>NÃO</v>
          </cell>
          <cell r="AI891">
            <v>32</v>
          </cell>
        </row>
        <row r="892">
          <cell r="B892" t="str">
            <v>MARCELO JOSE MARCOLLA</v>
          </cell>
          <cell r="K892" t="str">
            <v>CAMPUS CURITIBA</v>
          </cell>
          <cell r="AG892" t="str">
            <v>SIM</v>
          </cell>
          <cell r="AI892">
            <v>18</v>
          </cell>
        </row>
        <row r="893">
          <cell r="B893" t="str">
            <v>MARCELO ORTEGA MASSAMBANI</v>
          </cell>
          <cell r="K893" t="str">
            <v>CAMPUS LONDRINA</v>
          </cell>
          <cell r="AG893" t="str">
            <v>SIM</v>
          </cell>
          <cell r="AI893">
            <v>8</v>
          </cell>
        </row>
        <row r="894">
          <cell r="B894" t="str">
            <v>MARCELO PILLONETTO</v>
          </cell>
          <cell r="K894" t="str">
            <v>CAMPUS CURITIBA</v>
          </cell>
          <cell r="AG894" t="str">
            <v>SIM</v>
          </cell>
          <cell r="AI894">
            <v>14</v>
          </cell>
        </row>
        <row r="895">
          <cell r="B895" t="str">
            <v>MARCELO PONESTKI OLIVEIRA</v>
          </cell>
          <cell r="K895" t="str">
            <v>CAMPUS CURITIBA</v>
          </cell>
          <cell r="AG895" t="str">
            <v>SIM</v>
          </cell>
          <cell r="AI895">
            <v>14</v>
          </cell>
        </row>
        <row r="896">
          <cell r="B896" t="str">
            <v>MARCELO PUPPI MUNHOZ</v>
          </cell>
          <cell r="K896" t="str">
            <v>CAMPUS CURITIBA</v>
          </cell>
          <cell r="AG896" t="str">
            <v>SIM</v>
          </cell>
          <cell r="AI896">
            <v>8</v>
          </cell>
        </row>
        <row r="897">
          <cell r="B897" t="str">
            <v>MARCELO RUDEK</v>
          </cell>
          <cell r="K897" t="str">
            <v>CAMPUS CURITIBA</v>
          </cell>
          <cell r="AG897" t="str">
            <v>NÃO</v>
          </cell>
          <cell r="AI897">
            <v>32</v>
          </cell>
        </row>
        <row r="898">
          <cell r="B898" t="str">
            <v>MARCELO TAVORA MIRA</v>
          </cell>
          <cell r="K898" t="str">
            <v>CAMPUS CURITIBA</v>
          </cell>
          <cell r="AG898" t="str">
            <v>NÃO</v>
          </cell>
          <cell r="AI898">
            <v>40</v>
          </cell>
        </row>
        <row r="899">
          <cell r="B899" t="str">
            <v>MARCIA DE HOLANDA NOZAKI</v>
          </cell>
          <cell r="K899" t="str">
            <v>CAMPUS TOLEDO</v>
          </cell>
          <cell r="AG899" t="str">
            <v>SIM</v>
          </cell>
          <cell r="AI899">
            <v>12</v>
          </cell>
        </row>
        <row r="900">
          <cell r="B900" t="str">
            <v>MARCIA MARIA ALVES</v>
          </cell>
          <cell r="K900" t="str">
            <v>CAMPUS CURITIBA</v>
          </cell>
          <cell r="AG900" t="str">
            <v>SIM</v>
          </cell>
          <cell r="AI900">
            <v>0</v>
          </cell>
        </row>
        <row r="901">
          <cell r="B901" t="str">
            <v>MARCIA OLANDOSKI</v>
          </cell>
          <cell r="K901" t="str">
            <v>CAMPUS CURITIBA</v>
          </cell>
          <cell r="AG901" t="str">
            <v>SIM</v>
          </cell>
          <cell r="AI901">
            <v>40</v>
          </cell>
        </row>
        <row r="902">
          <cell r="B902" t="str">
            <v>MARCIA RAPACCI</v>
          </cell>
          <cell r="K902" t="str">
            <v>CAMPUS CURITIBA</v>
          </cell>
          <cell r="AG902" t="str">
            <v>SIM</v>
          </cell>
          <cell r="AI902">
            <v>18</v>
          </cell>
        </row>
        <row r="903">
          <cell r="B903" t="str">
            <v>MARCIA REGINA CUBAS</v>
          </cell>
          <cell r="K903" t="str">
            <v>CAMPUS CURITIBA</v>
          </cell>
          <cell r="AG903" t="str">
            <v>NÃO</v>
          </cell>
          <cell r="AI903">
            <v>34</v>
          </cell>
        </row>
        <row r="904">
          <cell r="B904" t="str">
            <v>MARCIA TEREZINHA DE OLIVEIRA</v>
          </cell>
          <cell r="K904" t="str">
            <v>CAMPUS CURITIBA</v>
          </cell>
          <cell r="AG904" t="str">
            <v>SIM</v>
          </cell>
          <cell r="AI904">
            <v>2</v>
          </cell>
        </row>
        <row r="905">
          <cell r="B905" t="str">
            <v>MARCIAL MACANEIRO</v>
          </cell>
          <cell r="K905" t="str">
            <v>CAMPUS CURITIBA</v>
          </cell>
          <cell r="AG905" t="str">
            <v>NÃO</v>
          </cell>
          <cell r="AI905">
            <v>30</v>
          </cell>
        </row>
        <row r="906">
          <cell r="B906" t="str">
            <v>MARCIO DE ABREU MOREIRA</v>
          </cell>
          <cell r="K906" t="str">
            <v>CAMPUS LONDRINA</v>
          </cell>
          <cell r="AG906" t="str">
            <v>SIM</v>
          </cell>
          <cell r="AI906">
            <v>10</v>
          </cell>
        </row>
        <row r="907">
          <cell r="B907" t="str">
            <v>MARCIO LUIZ FERNANDES</v>
          </cell>
          <cell r="K907" t="str">
            <v>CAMPUS CURITIBA</v>
          </cell>
          <cell r="AG907" t="str">
            <v>NÃO</v>
          </cell>
          <cell r="AI907">
            <v>32</v>
          </cell>
        </row>
        <row r="908">
          <cell r="B908" t="str">
            <v>MARCIO RODRIGUES DA FONSECA</v>
          </cell>
          <cell r="K908" t="str">
            <v>CAMPUS TOLEDO</v>
          </cell>
          <cell r="AG908" t="str">
            <v>SIM</v>
          </cell>
          <cell r="AI908">
            <v>4</v>
          </cell>
        </row>
        <row r="909">
          <cell r="B909" t="str">
            <v>MARCIO SAPORSKI SEGUI</v>
          </cell>
          <cell r="K909" t="str">
            <v>CAMPUS CURITIBA</v>
          </cell>
          <cell r="AG909" t="str">
            <v>SIM</v>
          </cell>
          <cell r="AI909">
            <v>15</v>
          </cell>
        </row>
        <row r="910">
          <cell r="B910" t="str">
            <v>MARCO ANTONIO GONZALEZ MORAES</v>
          </cell>
          <cell r="K910" t="str">
            <v>CAMPUS LONDRINA</v>
          </cell>
          <cell r="AG910" t="str">
            <v>SIM</v>
          </cell>
          <cell r="AI910">
            <v>12</v>
          </cell>
        </row>
        <row r="911">
          <cell r="B911" t="str">
            <v>MARCO ANTONIO PALUDO</v>
          </cell>
          <cell r="K911" t="str">
            <v>CAMPUS CURITIBA</v>
          </cell>
          <cell r="AG911" t="str">
            <v>NÃO</v>
          </cell>
          <cell r="AI911">
            <v>40</v>
          </cell>
        </row>
        <row r="912">
          <cell r="B912" t="str">
            <v>MARCO ANTONIO PEDRONI</v>
          </cell>
          <cell r="K912" t="str">
            <v>CAMPUS CURITIBA</v>
          </cell>
          <cell r="AG912" t="str">
            <v>SIM</v>
          </cell>
          <cell r="AI912">
            <v>12</v>
          </cell>
        </row>
        <row r="913">
          <cell r="B913" t="str">
            <v>MARCO ANTONIO SIMOES TEIXEIRA</v>
          </cell>
          <cell r="K913" t="str">
            <v>CAMPUS CURITIBA</v>
          </cell>
          <cell r="AG913" t="str">
            <v>NÃO</v>
          </cell>
          <cell r="AI913">
            <v>32</v>
          </cell>
        </row>
        <row r="914">
          <cell r="B914" t="str">
            <v>MARCO AURELIO CRUCIOL RODRIGUES</v>
          </cell>
          <cell r="K914" t="str">
            <v>CAMPUS LONDRINA</v>
          </cell>
          <cell r="AG914" t="str">
            <v>SIM</v>
          </cell>
          <cell r="AI914">
            <v>10</v>
          </cell>
        </row>
        <row r="915">
          <cell r="B915" t="str">
            <v>MARCO AURELIO FORNAZIERI</v>
          </cell>
          <cell r="K915" t="str">
            <v>CAMPUS LONDRINA</v>
          </cell>
          <cell r="AG915" t="str">
            <v>SIM</v>
          </cell>
          <cell r="AI915">
            <v>29</v>
          </cell>
        </row>
        <row r="916">
          <cell r="B916" t="str">
            <v>MARCO AURELIO GUIMARAES</v>
          </cell>
          <cell r="K916" t="str">
            <v>CAMPUS CURITIBA</v>
          </cell>
          <cell r="AG916" t="str">
            <v>SIM</v>
          </cell>
          <cell r="AI916">
            <v>4</v>
          </cell>
        </row>
        <row r="917">
          <cell r="B917" t="str">
            <v>MARCO CESAR JORGE DOS SANTOS</v>
          </cell>
          <cell r="K917" t="str">
            <v>CAMPUS CURITIBA</v>
          </cell>
          <cell r="AG917" t="str">
            <v>SIM</v>
          </cell>
          <cell r="AI917">
            <v>5</v>
          </cell>
        </row>
        <row r="918">
          <cell r="B918" t="str">
            <v>MARCONI RODRIGUES DE FARIAS</v>
          </cell>
          <cell r="K918" t="str">
            <v>CAMPUS CURITIBA</v>
          </cell>
          <cell r="AG918" t="str">
            <v>NÃO</v>
          </cell>
          <cell r="AI918">
            <v>38</v>
          </cell>
        </row>
        <row r="919">
          <cell r="B919" t="str">
            <v>MARCOS ANTONIO DE ABREU</v>
          </cell>
          <cell r="K919" t="str">
            <v>CAMPUS CURITIBA</v>
          </cell>
          <cell r="AG919" t="str">
            <v>NÃO</v>
          </cell>
          <cell r="AI919">
            <v>0</v>
          </cell>
        </row>
        <row r="920">
          <cell r="B920" t="str">
            <v>MARCOS BATISTELLA LOPES</v>
          </cell>
          <cell r="K920" t="str">
            <v>CAMPUS CURITIBA</v>
          </cell>
          <cell r="AG920" t="str">
            <v>NÃO</v>
          </cell>
          <cell r="AI920">
            <v>38</v>
          </cell>
        </row>
        <row r="921">
          <cell r="B921" t="str">
            <v>MARCOS FELIPE IPARRAGUIRRE NUNOVERO</v>
          </cell>
          <cell r="K921" t="str">
            <v>Campus Curitiba</v>
          </cell>
          <cell r="AG921" t="str">
            <v>SIM</v>
          </cell>
          <cell r="AI921">
            <v>4</v>
          </cell>
        </row>
        <row r="922">
          <cell r="B922" t="str">
            <v>MARCOS JOSE ZABLONSKY</v>
          </cell>
          <cell r="K922" t="str">
            <v>CAMPUS CURITIBA</v>
          </cell>
          <cell r="AG922" t="str">
            <v>SIM</v>
          </cell>
          <cell r="AI922">
            <v>17</v>
          </cell>
        </row>
        <row r="923">
          <cell r="B923" t="str">
            <v>MARCOS ROBERTO ALMEIDA DOS SANTOS</v>
          </cell>
          <cell r="K923" t="str">
            <v>CAMPUS LONDRINA</v>
          </cell>
          <cell r="AG923" t="str">
            <v>SIM</v>
          </cell>
          <cell r="AI923">
            <v>2</v>
          </cell>
        </row>
        <row r="924">
          <cell r="B924" t="str">
            <v>MARCOS ROBERTO GARCIA</v>
          </cell>
          <cell r="K924" t="str">
            <v>CAMPUS LONDRINA</v>
          </cell>
          <cell r="AG924" t="str">
            <v>NÃO</v>
          </cell>
          <cell r="AI924">
            <v>38</v>
          </cell>
        </row>
        <row r="925">
          <cell r="B925" t="str">
            <v>MARCUS VINICIUS BRUDZINSKI</v>
          </cell>
          <cell r="K925" t="str">
            <v>CAMPUS CURITIBA</v>
          </cell>
          <cell r="AG925" t="str">
            <v>SIM</v>
          </cell>
          <cell r="AI925">
            <v>0</v>
          </cell>
        </row>
        <row r="926">
          <cell r="B926" t="str">
            <v>MARGARETE WINKLER MARQUES MACHADO</v>
          </cell>
          <cell r="K926" t="str">
            <v>CAMPUS CURITIBA</v>
          </cell>
          <cell r="AG926" t="str">
            <v>SIM</v>
          </cell>
          <cell r="AI926">
            <v>6</v>
          </cell>
        </row>
        <row r="927">
          <cell r="B927" t="str">
            <v>MARI REGINA ANASTACIO</v>
          </cell>
          <cell r="K927" t="str">
            <v>CAMPUS CURITIBA</v>
          </cell>
          <cell r="AG927" t="str">
            <v>SIM</v>
          </cell>
          <cell r="AI927">
            <v>16</v>
          </cell>
        </row>
        <row r="928">
          <cell r="B928" t="str">
            <v>MARIA ALICE WITT</v>
          </cell>
          <cell r="K928" t="str">
            <v>CAMPUS CURITIBA</v>
          </cell>
          <cell r="AG928" t="str">
            <v>NÃO</v>
          </cell>
          <cell r="AI928">
            <v>28</v>
          </cell>
        </row>
        <row r="929">
          <cell r="B929" t="str">
            <v>MARIA ANGELA MOSCALEWSKI ROVEREDO DOS SANTOS</v>
          </cell>
          <cell r="K929" t="str">
            <v>CAMPUS CURITIBA</v>
          </cell>
          <cell r="AG929" t="str">
            <v>SIM</v>
          </cell>
          <cell r="AI929">
            <v>10</v>
          </cell>
        </row>
        <row r="930">
          <cell r="B930" t="str">
            <v>MARIA AUGUSTA NASCIMENTO HEIM</v>
          </cell>
          <cell r="K930" t="str">
            <v>CAMPUS CURITIBA</v>
          </cell>
          <cell r="AG930" t="str">
            <v>SIM</v>
          </cell>
          <cell r="AI930">
            <v>12</v>
          </cell>
        </row>
        <row r="931">
          <cell r="B931" t="str">
            <v>MARIA CECILIA BARRETO AMORIM PILLA</v>
          </cell>
          <cell r="K931" t="str">
            <v>CAMPUS CURITIBA</v>
          </cell>
          <cell r="AG931" t="str">
            <v>NÃO</v>
          </cell>
          <cell r="AI931">
            <v>40</v>
          </cell>
        </row>
        <row r="932">
          <cell r="B932" t="str">
            <v>MARIA CECILIA DE LIMA RORIG</v>
          </cell>
          <cell r="K932" t="str">
            <v>CAMPUS TOLEDO</v>
          </cell>
          <cell r="AG932" t="str">
            <v>SIM</v>
          </cell>
          <cell r="AI932">
            <v>20</v>
          </cell>
        </row>
        <row r="933">
          <cell r="B933" t="str">
            <v>MARIA CELIA BARBOSA FABRICIO DE MELO</v>
          </cell>
          <cell r="K933" t="str">
            <v>CAMPUS CURITIBA</v>
          </cell>
          <cell r="AG933" t="str">
            <v>SIM</v>
          </cell>
          <cell r="AI933">
            <v>15</v>
          </cell>
        </row>
        <row r="934">
          <cell r="B934" t="str">
            <v>MARIA CELIA NOGUEIRA PINTO E BORGO BZUNECK</v>
          </cell>
          <cell r="K934" t="str">
            <v>CAMPUS LONDRINA</v>
          </cell>
          <cell r="AG934" t="str">
            <v>SIM</v>
          </cell>
          <cell r="AI934">
            <v>8</v>
          </cell>
        </row>
        <row r="935">
          <cell r="B935" t="str">
            <v>MARIA CLARA JAEGER GODOY</v>
          </cell>
          <cell r="K935" t="str">
            <v>CAMPUS LONDRINA</v>
          </cell>
          <cell r="AG935" t="str">
            <v>SIM</v>
          </cell>
          <cell r="AI935">
            <v>12</v>
          </cell>
        </row>
        <row r="936">
          <cell r="B936" t="str">
            <v>MARIA CRISTINA FIGUEROA MAGALHAES</v>
          </cell>
          <cell r="K936" t="str">
            <v>CAMPUS CURITIBA</v>
          </cell>
          <cell r="AG936" t="str">
            <v>SIM</v>
          </cell>
          <cell r="AI936">
            <v>8</v>
          </cell>
        </row>
        <row r="937">
          <cell r="B937" t="str">
            <v>MARIA ESTER CONTIN DE OLIVEIRA KLOSS</v>
          </cell>
          <cell r="K937" t="str">
            <v>CAMPUS CURITIBA</v>
          </cell>
          <cell r="AG937" t="str">
            <v>SIM</v>
          </cell>
          <cell r="AI937">
            <v>6</v>
          </cell>
        </row>
        <row r="938">
          <cell r="B938" t="str">
            <v>MARIA HELENA CAMARGO PERALTA DEL VALLE</v>
          </cell>
          <cell r="K938" t="str">
            <v>CAMPUS CURITIBA</v>
          </cell>
          <cell r="AG938" t="str">
            <v>SIM</v>
          </cell>
          <cell r="AI938">
            <v>8</v>
          </cell>
        </row>
        <row r="939">
          <cell r="B939" t="str">
            <v>MARIA HELOISA MADRUGA CHAVES</v>
          </cell>
          <cell r="K939" t="str">
            <v>CAMPUS CURITIBA</v>
          </cell>
          <cell r="AG939" t="str">
            <v>SIM</v>
          </cell>
          <cell r="AI939">
            <v>4</v>
          </cell>
        </row>
        <row r="940">
          <cell r="B940" t="str">
            <v>MARIA INES PINTO BOGISCH</v>
          </cell>
          <cell r="K940" t="str">
            <v>CAMPUS CURITIBA</v>
          </cell>
          <cell r="AG940" t="str">
            <v>SIM</v>
          </cell>
          <cell r="AI940">
            <v>6</v>
          </cell>
        </row>
        <row r="941">
          <cell r="B941" t="str">
            <v>MARIA ISABEL LOVO MARTINS BUSCH PEREIRA</v>
          </cell>
          <cell r="K941" t="str">
            <v>Campus Londrina</v>
          </cell>
          <cell r="AG941" t="str">
            <v>SIM</v>
          </cell>
          <cell r="AI941">
            <v>4</v>
          </cell>
        </row>
        <row r="942">
          <cell r="B942" t="str">
            <v>MARIA LAURA MEDEIROS ASSEF</v>
          </cell>
          <cell r="K942" t="str">
            <v>CAMPUS CURITIBA</v>
          </cell>
          <cell r="AG942" t="str">
            <v>SIM</v>
          </cell>
          <cell r="AI942">
            <v>9</v>
          </cell>
        </row>
        <row r="943">
          <cell r="B943" t="str">
            <v>MARIANA BRANDL FREZATTO</v>
          </cell>
          <cell r="K943" t="str">
            <v>CAMPUS CURITIBA</v>
          </cell>
          <cell r="AG943" t="str">
            <v>NÃO</v>
          </cell>
          <cell r="AI943">
            <v>0</v>
          </cell>
        </row>
        <row r="944">
          <cell r="B944" t="str">
            <v>MARIANA COLLETE</v>
          </cell>
          <cell r="K944" t="str">
            <v>CAMPUS LONDRINA</v>
          </cell>
          <cell r="AG944" t="str">
            <v>SIM</v>
          </cell>
          <cell r="AI944">
            <v>4</v>
          </cell>
        </row>
        <row r="945">
          <cell r="B945" t="str">
            <v>MARIANA CORCAO</v>
          </cell>
          <cell r="K945" t="str">
            <v>CAMPUS CURITIBA</v>
          </cell>
          <cell r="AG945" t="str">
            <v>SIM</v>
          </cell>
          <cell r="AI945">
            <v>2</v>
          </cell>
        </row>
        <row r="946">
          <cell r="B946" t="str">
            <v>MARIANA COUTO SIQUEIRA</v>
          </cell>
          <cell r="K946" t="str">
            <v>CAMPUS CURITIBA</v>
          </cell>
          <cell r="AG946" t="str">
            <v>SIM</v>
          </cell>
          <cell r="AI946">
            <v>14</v>
          </cell>
        </row>
        <row r="947">
          <cell r="B947" t="str">
            <v>MARIANA DE MELLO GUSSO ESPINOLA</v>
          </cell>
          <cell r="K947" t="str">
            <v>CAMPUS CURITIBA</v>
          </cell>
          <cell r="AG947" t="str">
            <v>SIM</v>
          </cell>
          <cell r="AI947">
            <v>26</v>
          </cell>
        </row>
        <row r="948">
          <cell r="B948" t="str">
            <v>MARIANA GRASSI NOYA</v>
          </cell>
          <cell r="K948" t="str">
            <v>CAMPUS CURITIBA</v>
          </cell>
          <cell r="AG948" t="str">
            <v>SIM</v>
          </cell>
          <cell r="AI948">
            <v>8</v>
          </cell>
        </row>
        <row r="949">
          <cell r="B949" t="str">
            <v>MARIANA MALUCELLI</v>
          </cell>
          <cell r="K949" t="str">
            <v>CAMPUS CURITIBA</v>
          </cell>
          <cell r="AG949" t="str">
            <v>SIM</v>
          </cell>
          <cell r="AI949">
            <v>18</v>
          </cell>
        </row>
        <row r="950">
          <cell r="B950" t="str">
            <v>MARIANA MUZZOLON</v>
          </cell>
          <cell r="K950" t="str">
            <v>Campus Curitiba</v>
          </cell>
          <cell r="AG950" t="str">
            <v>SIM</v>
          </cell>
          <cell r="AI950">
            <v>12</v>
          </cell>
        </row>
        <row r="951">
          <cell r="B951" t="str">
            <v>MARIANA XAVIER DE LIMA</v>
          </cell>
          <cell r="K951" t="str">
            <v>Campus Curitiba</v>
          </cell>
          <cell r="AG951" t="str">
            <v>SIM</v>
          </cell>
          <cell r="AI951">
            <v>40</v>
          </cell>
        </row>
        <row r="952">
          <cell r="B952" t="str">
            <v>MARIANNA SEIXAS GRECA</v>
          </cell>
          <cell r="K952" t="str">
            <v>CAMPUS CURITIBA</v>
          </cell>
          <cell r="AG952" t="str">
            <v>SIM</v>
          </cell>
          <cell r="AI952">
            <v>4</v>
          </cell>
        </row>
        <row r="953">
          <cell r="B953" t="str">
            <v>MARIANO DE ALMEIDA MENEZES</v>
          </cell>
          <cell r="K953" t="str">
            <v>CAMPUS LONDRINA</v>
          </cell>
          <cell r="AG953" t="str">
            <v>SIM</v>
          </cell>
          <cell r="AI953">
            <v>7</v>
          </cell>
        </row>
        <row r="954">
          <cell r="B954" t="str">
            <v>MARICE TAQUES PEREIRA</v>
          </cell>
          <cell r="K954" t="str">
            <v>CAMPUS LONDRINA</v>
          </cell>
          <cell r="AG954" t="str">
            <v>SIM</v>
          </cell>
          <cell r="AI954">
            <v>4</v>
          </cell>
        </row>
        <row r="955">
          <cell r="B955" t="str">
            <v>MARILENA INDIRA WINTER</v>
          </cell>
          <cell r="K955" t="str">
            <v>CAMPUS CURITIBA</v>
          </cell>
          <cell r="AG955" t="str">
            <v>SIM</v>
          </cell>
          <cell r="AI955">
            <v>4</v>
          </cell>
        </row>
        <row r="956">
          <cell r="B956" t="str">
            <v>MARILENE DA COSTA SANTOS</v>
          </cell>
          <cell r="K956" t="str">
            <v>CAMPUS CURITIBA</v>
          </cell>
          <cell r="AG956" t="str">
            <v>SIM</v>
          </cell>
          <cell r="AI956">
            <v>13</v>
          </cell>
        </row>
        <row r="957">
          <cell r="B957" t="str">
            <v>MARILIA SILVA MALVEZZI KARWOWSKI</v>
          </cell>
          <cell r="K957" t="str">
            <v>CAMPUS CURITIBA</v>
          </cell>
          <cell r="AG957" t="str">
            <v>SIM</v>
          </cell>
          <cell r="AI957">
            <v>7</v>
          </cell>
        </row>
        <row r="958">
          <cell r="B958" t="str">
            <v>MARILIN HOHL</v>
          </cell>
          <cell r="K958" t="str">
            <v>CAMPUS CURITIBA</v>
          </cell>
          <cell r="AG958" t="str">
            <v>SIM</v>
          </cell>
          <cell r="AI958">
            <v>38</v>
          </cell>
        </row>
        <row r="959">
          <cell r="B959" t="str">
            <v>MARINA DE LARA</v>
          </cell>
          <cell r="K959" t="str">
            <v>CAMPUS CURITIBA</v>
          </cell>
          <cell r="AG959" t="str">
            <v>SIM</v>
          </cell>
          <cell r="AI959">
            <v>12</v>
          </cell>
        </row>
        <row r="960">
          <cell r="B960" t="str">
            <v>MARINA LUISE VIOLA DE AZEVEDO</v>
          </cell>
          <cell r="K960" t="str">
            <v>CAMPUS CURITIBA</v>
          </cell>
          <cell r="AG960" t="str">
            <v>SIM</v>
          </cell>
          <cell r="AI960">
            <v>22</v>
          </cell>
        </row>
        <row r="961">
          <cell r="B961" t="str">
            <v>MARINA RUTZ MULLER ZIPPERER</v>
          </cell>
          <cell r="K961" t="str">
            <v>CAMPUS CURITIBA</v>
          </cell>
          <cell r="AG961" t="str">
            <v>NÃO</v>
          </cell>
          <cell r="AI961">
            <v>0</v>
          </cell>
        </row>
        <row r="962">
          <cell r="B962" t="str">
            <v>MARINES DOS SANTOS</v>
          </cell>
          <cell r="K962" t="str">
            <v>CAMPUS CURITIBA</v>
          </cell>
          <cell r="AG962" t="str">
            <v>NÃO</v>
          </cell>
          <cell r="AI962">
            <v>0</v>
          </cell>
        </row>
        <row r="963">
          <cell r="B963" t="str">
            <v>MARIO ANTONIO SANCHES</v>
          </cell>
          <cell r="K963" t="str">
            <v>CAMPUS CURITIBA</v>
          </cell>
          <cell r="AG963" t="str">
            <v>NÃO</v>
          </cell>
          <cell r="AI963">
            <v>34</v>
          </cell>
        </row>
        <row r="964">
          <cell r="B964" t="str">
            <v>MARIO PROKOPIUK</v>
          </cell>
          <cell r="K964" t="str">
            <v>CAMPUS CURITIBA</v>
          </cell>
          <cell r="AG964" t="str">
            <v>NÃO</v>
          </cell>
          <cell r="AI964">
            <v>40</v>
          </cell>
        </row>
        <row r="965">
          <cell r="B965" t="str">
            <v>MARIO SERGIO LEPRE</v>
          </cell>
          <cell r="K965" t="str">
            <v>CAMPUS LONDRINA</v>
          </cell>
          <cell r="AG965" t="str">
            <v>SIM</v>
          </cell>
          <cell r="AI965">
            <v>6</v>
          </cell>
        </row>
        <row r="966">
          <cell r="B966" t="str">
            <v>MARION BURGER</v>
          </cell>
          <cell r="K966" t="str">
            <v>CAMPUS CURITIBA</v>
          </cell>
          <cell r="AG966" t="str">
            <v>SIM</v>
          </cell>
          <cell r="AI966">
            <v>4</v>
          </cell>
        </row>
        <row r="967">
          <cell r="B967" t="str">
            <v>MARISA INES CORRADI</v>
          </cell>
          <cell r="K967" t="str">
            <v>CAMPUS CURITIBA</v>
          </cell>
          <cell r="AG967" t="str">
            <v>SIM</v>
          </cell>
          <cell r="AI967">
            <v>16</v>
          </cell>
        </row>
        <row r="968">
          <cell r="B968" t="str">
            <v>MARISSE COSTA DE QUEIROZ</v>
          </cell>
          <cell r="K968" t="str">
            <v>CAMPUS LONDRINA</v>
          </cell>
          <cell r="AG968" t="str">
            <v>SIM</v>
          </cell>
          <cell r="AI968">
            <v>8</v>
          </cell>
        </row>
        <row r="969">
          <cell r="B969" t="str">
            <v>MARISTELA DENISE MARQUES DE SOUZA</v>
          </cell>
          <cell r="K969" t="str">
            <v>CAMPUS CURITIBA</v>
          </cell>
          <cell r="AG969" t="str">
            <v>SIM</v>
          </cell>
          <cell r="AI969">
            <v>12</v>
          </cell>
        </row>
        <row r="970">
          <cell r="B970" t="str">
            <v>MARISTELA REGINA WEINFURTER TEIXEIRA</v>
          </cell>
          <cell r="K970" t="str">
            <v>CAMPUS CURITIBA</v>
          </cell>
          <cell r="AG970" t="str">
            <v>SIM</v>
          </cell>
          <cell r="AI970">
            <v>4</v>
          </cell>
        </row>
        <row r="971">
          <cell r="B971" t="str">
            <v>MARK EIRIK SCORTEGAGNA JOSELLI</v>
          </cell>
          <cell r="K971" t="str">
            <v>CAMPUS CURITIBA</v>
          </cell>
          <cell r="AG971" t="str">
            <v>SIM</v>
          </cell>
          <cell r="AI971">
            <v>28</v>
          </cell>
        </row>
        <row r="972">
          <cell r="B972" t="str">
            <v>MARLOS HARDT</v>
          </cell>
          <cell r="K972" t="str">
            <v>CAMPUS CURITIBA</v>
          </cell>
          <cell r="AG972" t="str">
            <v>SIM</v>
          </cell>
          <cell r="AI972">
            <v>20</v>
          </cell>
        </row>
        <row r="973">
          <cell r="B973" t="str">
            <v>MARTA LUCIANE FISCHER</v>
          </cell>
          <cell r="K973" t="str">
            <v>CAMPUS CURITIBA</v>
          </cell>
          <cell r="AG973" t="str">
            <v>NÃO</v>
          </cell>
          <cell r="AI973">
            <v>32</v>
          </cell>
        </row>
        <row r="974">
          <cell r="B974" t="str">
            <v>MARTA MARIA BERTAN SELLA GABARDO</v>
          </cell>
          <cell r="K974" t="str">
            <v>CAMPUS CURITIBA</v>
          </cell>
          <cell r="AG974" t="str">
            <v>SIM</v>
          </cell>
          <cell r="AI974">
            <v>2</v>
          </cell>
        </row>
        <row r="975">
          <cell r="B975" t="str">
            <v>MARTIOS ECCO</v>
          </cell>
          <cell r="K975" t="str">
            <v>CAMPUS TOLEDO</v>
          </cell>
          <cell r="AG975" t="str">
            <v>SIM</v>
          </cell>
          <cell r="AI975">
            <v>16</v>
          </cell>
        </row>
        <row r="976">
          <cell r="B976" t="str">
            <v>MARY RUTE GOMES ESPERANDIO</v>
          </cell>
          <cell r="K976" t="str">
            <v>CAMPUS CURITIBA</v>
          </cell>
          <cell r="AG976" t="str">
            <v>NÃO</v>
          </cell>
          <cell r="AI976">
            <v>30</v>
          </cell>
        </row>
        <row r="977">
          <cell r="B977" t="str">
            <v>MATEUS JUSTI LUVIZOTTO</v>
          </cell>
          <cell r="K977" t="str">
            <v>Campus Curitiba</v>
          </cell>
          <cell r="AG977" t="str">
            <v>SIM</v>
          </cell>
          <cell r="AI977">
            <v>3</v>
          </cell>
        </row>
        <row r="978">
          <cell r="B978" t="str">
            <v>MATEUS NUNES DA SILVA</v>
          </cell>
          <cell r="K978" t="str">
            <v>CAMPUS CURITIBA</v>
          </cell>
          <cell r="AG978" t="str">
            <v>SIM</v>
          </cell>
          <cell r="AI978">
            <v>8</v>
          </cell>
        </row>
        <row r="979">
          <cell r="B979" t="str">
            <v>MATHEUS BELTRAME CANCIGLIERI</v>
          </cell>
          <cell r="K979" t="str">
            <v>CAMPUS CURITIBA</v>
          </cell>
          <cell r="AG979" t="str">
            <v>SIM</v>
          </cell>
          <cell r="AI979">
            <v>8</v>
          </cell>
        </row>
        <row r="980">
          <cell r="B980" t="str">
            <v>MATHEUS DE LIMA GOEDERT</v>
          </cell>
          <cell r="K980" t="str">
            <v>CAMPUS CURITIBA</v>
          </cell>
          <cell r="AG980" t="str">
            <v>SIM</v>
          </cell>
          <cell r="AI980">
            <v>18</v>
          </cell>
        </row>
        <row r="981">
          <cell r="B981" t="str">
            <v>MATHEUS LENCI MARQUES</v>
          </cell>
          <cell r="K981" t="str">
            <v>CAMPUS CURITIBA</v>
          </cell>
          <cell r="AG981" t="str">
            <v>SIM</v>
          </cell>
          <cell r="AI981">
            <v>7</v>
          </cell>
        </row>
        <row r="982">
          <cell r="B982" t="str">
            <v>MATHEUS MURMEL GUIMARAES</v>
          </cell>
          <cell r="K982" t="str">
            <v>CAMPUS CURITIBA</v>
          </cell>
          <cell r="AG982" t="str">
            <v>SIM</v>
          </cell>
          <cell r="AI982">
            <v>9</v>
          </cell>
        </row>
        <row r="983">
          <cell r="B983" t="str">
            <v>MATHEUS TAKEMI MUCHON NAKATANI</v>
          </cell>
          <cell r="K983" t="str">
            <v>Campus Toledo</v>
          </cell>
          <cell r="AG983" t="str">
            <v>SIM</v>
          </cell>
          <cell r="AI983">
            <v>0</v>
          </cell>
        </row>
        <row r="984">
          <cell r="B984" t="str">
            <v>MAUREN ABREU DE SOUZA</v>
          </cell>
          <cell r="K984" t="str">
            <v>CAMPUS CURITIBA</v>
          </cell>
          <cell r="AG984" t="str">
            <v>NÃO</v>
          </cell>
          <cell r="AI984">
            <v>28</v>
          </cell>
        </row>
        <row r="985">
          <cell r="B985" t="str">
            <v>MAUREN ISFER ANGHEBEM</v>
          </cell>
          <cell r="K985" t="str">
            <v>CAMPUS CURITIBA</v>
          </cell>
          <cell r="AG985" t="str">
            <v>SIM</v>
          </cell>
          <cell r="AI985">
            <v>0</v>
          </cell>
        </row>
        <row r="986">
          <cell r="B986" t="str">
            <v>MAURICIO CESAR IUNG</v>
          </cell>
          <cell r="K986" t="str">
            <v>CAMPUS CURITIBA</v>
          </cell>
          <cell r="AG986" t="str">
            <v>SIM</v>
          </cell>
          <cell r="AI986">
            <v>4</v>
          </cell>
        </row>
        <row r="987">
          <cell r="B987" t="str">
            <v>MAURICIO DE CARVALHO</v>
          </cell>
          <cell r="K987" t="str">
            <v>CAMPUS CURITIBA</v>
          </cell>
          <cell r="AG987" t="str">
            <v>SIM</v>
          </cell>
          <cell r="AI987">
            <v>8</v>
          </cell>
        </row>
        <row r="988">
          <cell r="B988" t="str">
            <v>MAURICIO MONTEMEZZO</v>
          </cell>
          <cell r="K988" t="str">
            <v>CAMPUS CURITIBA</v>
          </cell>
          <cell r="AG988" t="str">
            <v>SIM</v>
          </cell>
          <cell r="AI988">
            <v>8</v>
          </cell>
        </row>
        <row r="989">
          <cell r="B989" t="str">
            <v>MAURICIO ORLANDO WILMSEN</v>
          </cell>
          <cell r="K989" t="str">
            <v>CAMPUS TOLEDO</v>
          </cell>
          <cell r="AG989" t="str">
            <v>SIM</v>
          </cell>
          <cell r="AI989">
            <v>8</v>
          </cell>
        </row>
        <row r="990">
          <cell r="B990" t="str">
            <v>MAURICIO PERIN NEVES DA SILVA</v>
          </cell>
          <cell r="K990" t="str">
            <v>CAMPUS CURITIBA</v>
          </cell>
          <cell r="AG990" t="str">
            <v>SIM</v>
          </cell>
          <cell r="AI990">
            <v>12</v>
          </cell>
        </row>
        <row r="991">
          <cell r="B991" t="str">
            <v>MAURILIO MATOS DA SILVA</v>
          </cell>
          <cell r="K991" t="str">
            <v>CAMPUS LONDRINA</v>
          </cell>
          <cell r="AG991" t="str">
            <v>NÃO</v>
          </cell>
          <cell r="AI991">
            <v>0</v>
          </cell>
        </row>
        <row r="992">
          <cell r="B992" t="str">
            <v>MAURO BUSS</v>
          </cell>
          <cell r="K992" t="str">
            <v>Campus Toledo</v>
          </cell>
          <cell r="AG992" t="str">
            <v>SIM</v>
          </cell>
          <cell r="AI992">
            <v>8</v>
          </cell>
        </row>
        <row r="993">
          <cell r="B993" t="str">
            <v>MAURO PELLISSARI</v>
          </cell>
          <cell r="K993" t="str">
            <v>CAMPUS CURITIBA</v>
          </cell>
          <cell r="AG993" t="str">
            <v>SIM</v>
          </cell>
          <cell r="AI993">
            <v>32</v>
          </cell>
        </row>
        <row r="994">
          <cell r="B994" t="str">
            <v>MAXILIANO RIBEIRO</v>
          </cell>
          <cell r="K994" t="str">
            <v>CAMPUS CURITIBA</v>
          </cell>
          <cell r="AG994" t="str">
            <v>NÃO</v>
          </cell>
          <cell r="AI994">
            <v>40</v>
          </cell>
        </row>
        <row r="995">
          <cell r="B995" t="str">
            <v>MAYCON RENAN DA SILVA SANTOS BONI</v>
          </cell>
          <cell r="K995" t="str">
            <v>CAMPUS LONDRINA</v>
          </cell>
          <cell r="AG995" t="str">
            <v>SIM</v>
          </cell>
          <cell r="AI995">
            <v>4</v>
          </cell>
        </row>
        <row r="996">
          <cell r="B996" t="str">
            <v>MICHAEL HIROMI ZAMPRONIO MIYAZAKI</v>
          </cell>
          <cell r="K996" t="str">
            <v>CAMPUS TOLEDO</v>
          </cell>
          <cell r="AG996" t="str">
            <v>SIM</v>
          </cell>
          <cell r="AI996">
            <v>4</v>
          </cell>
        </row>
        <row r="997">
          <cell r="B997" t="str">
            <v>MICHAELLA CARLA LAURINDO</v>
          </cell>
          <cell r="K997" t="str">
            <v>CAMPUS TOLEDO</v>
          </cell>
          <cell r="AG997" t="str">
            <v>SIM</v>
          </cell>
          <cell r="AI997">
            <v>30</v>
          </cell>
        </row>
        <row r="998">
          <cell r="B998" t="str">
            <v>MICHELE ALESSANDRA HASTREITER</v>
          </cell>
          <cell r="K998" t="str">
            <v>CAMPUS CURITIBA</v>
          </cell>
          <cell r="AG998" t="str">
            <v>SIM</v>
          </cell>
          <cell r="AI998">
            <v>6</v>
          </cell>
        </row>
        <row r="999">
          <cell r="B999" t="str">
            <v>MICHELLA YAMAMURA BARDELLI DA SILVA</v>
          </cell>
          <cell r="K999" t="str">
            <v>CAMPUS CURITIBA</v>
          </cell>
          <cell r="AG999" t="str">
            <v>SIM</v>
          </cell>
          <cell r="AI999">
            <v>4</v>
          </cell>
        </row>
        <row r="1000">
          <cell r="B1000" t="str">
            <v>MICHELLE FERNANDA SUSIN</v>
          </cell>
          <cell r="K1000" t="str">
            <v>CAMPUS CURITIBA</v>
          </cell>
          <cell r="AG1000" t="str">
            <v>SIM</v>
          </cell>
          <cell r="AI1000">
            <v>30</v>
          </cell>
        </row>
        <row r="1001">
          <cell r="B1001" t="str">
            <v>MICHELLE SANTOS VIANNA</v>
          </cell>
          <cell r="K1001" t="str">
            <v>CAMPUS CURITIBA</v>
          </cell>
          <cell r="AG1001" t="str">
            <v>SIM</v>
          </cell>
          <cell r="AI1001">
            <v>27</v>
          </cell>
        </row>
        <row r="1002">
          <cell r="B1002" t="str">
            <v>MICHELLE SILVA ZENY</v>
          </cell>
          <cell r="K1002" t="str">
            <v>CAMPUS CURITIBA</v>
          </cell>
          <cell r="AG1002" t="str">
            <v>SIM</v>
          </cell>
          <cell r="AI1002">
            <v>8</v>
          </cell>
        </row>
        <row r="1003">
          <cell r="B1003" t="str">
            <v>MICHELLE SOSTAG MERUVIA</v>
          </cell>
          <cell r="K1003" t="str">
            <v>CAMPUS CURITIBA</v>
          </cell>
          <cell r="AG1003" t="str">
            <v>NÃO</v>
          </cell>
          <cell r="AI1003">
            <v>30</v>
          </cell>
        </row>
        <row r="1004">
          <cell r="B1004" t="str">
            <v>MIGUEL IBRAIM ABBOUD HANNA SOBRINHO</v>
          </cell>
          <cell r="K1004" t="str">
            <v>CAMPUS CURITIBA</v>
          </cell>
          <cell r="AG1004" t="str">
            <v>SIM</v>
          </cell>
          <cell r="AI1004">
            <v>30</v>
          </cell>
        </row>
        <row r="1005">
          <cell r="B1005" t="str">
            <v>MILENA DA SILVA LORENCETE</v>
          </cell>
          <cell r="K1005" t="str">
            <v>Campus Toledo</v>
          </cell>
          <cell r="AG1005" t="str">
            <v>SIM</v>
          </cell>
          <cell r="AI1005">
            <v>10</v>
          </cell>
        </row>
        <row r="1006">
          <cell r="B1006" t="str">
            <v>MILENE LEIVAS VIEIRA</v>
          </cell>
          <cell r="K1006" t="str">
            <v>CAMPUS LONDRINA</v>
          </cell>
          <cell r="AG1006" t="str">
            <v>SIM</v>
          </cell>
          <cell r="AI1006">
            <v>21</v>
          </cell>
        </row>
        <row r="1007">
          <cell r="B1007" t="str">
            <v>MIRIAM IZOLINA PADOIN DALLA ROSA</v>
          </cell>
          <cell r="K1007" t="str">
            <v>CAMPUS TOLEDO</v>
          </cell>
          <cell r="AG1007" t="str">
            <v>SIM</v>
          </cell>
          <cell r="AI1007">
            <v>8</v>
          </cell>
        </row>
        <row r="1008">
          <cell r="B1008" t="str">
            <v>MIRIAM OLIVIA KNOPIK FERRAZ</v>
          </cell>
          <cell r="K1008" t="str">
            <v>CAMPUS CURITIBA</v>
          </cell>
          <cell r="AG1008" t="str">
            <v>SIM</v>
          </cell>
          <cell r="AI1008">
            <v>20</v>
          </cell>
        </row>
        <row r="1009">
          <cell r="B1009" t="str">
            <v>MIRIAM STOLSES MAZO</v>
          </cell>
          <cell r="K1009" t="str">
            <v>CAMPUS CURITIBA</v>
          </cell>
          <cell r="AG1009" t="str">
            <v>NÃO</v>
          </cell>
          <cell r="AI1009">
            <v>40</v>
          </cell>
        </row>
        <row r="1010">
          <cell r="B1010" t="str">
            <v>MIRIAN CELIA CASTELLAIN GUEBERT</v>
          </cell>
          <cell r="K1010" t="str">
            <v>CAMPUS CURITIBA</v>
          </cell>
          <cell r="AG1010" t="str">
            <v>NÃO</v>
          </cell>
          <cell r="AI1010">
            <v>36</v>
          </cell>
        </row>
        <row r="1011">
          <cell r="B1011" t="str">
            <v>MOARA ZUCCHERELLI</v>
          </cell>
          <cell r="K1011" t="str">
            <v>CAMPUS CURITIBA</v>
          </cell>
          <cell r="AG1011" t="str">
            <v>SIM</v>
          </cell>
          <cell r="AI1011">
            <v>4</v>
          </cell>
        </row>
        <row r="1012">
          <cell r="B1012" t="str">
            <v>MONICA JANKE DE CASTRO PROSDOCIMO</v>
          </cell>
          <cell r="K1012" t="str">
            <v>CAMPUS CURITIBA</v>
          </cell>
          <cell r="AG1012" t="str">
            <v>SIM</v>
          </cell>
          <cell r="AI1012">
            <v>10</v>
          </cell>
        </row>
        <row r="1013">
          <cell r="B1013" t="str">
            <v>MOZART GONCALVES</v>
          </cell>
          <cell r="K1013" t="str">
            <v>CAMPUS CURITIBA</v>
          </cell>
          <cell r="AG1013" t="str">
            <v>SIM</v>
          </cell>
          <cell r="AI1013">
            <v>17</v>
          </cell>
        </row>
        <row r="1014">
          <cell r="B1014" t="str">
            <v>MOZART MARQUES WALZ</v>
          </cell>
          <cell r="K1014" t="str">
            <v>Campus Toledo</v>
          </cell>
          <cell r="AG1014" t="str">
            <v>SIM</v>
          </cell>
          <cell r="AI1014">
            <v>7</v>
          </cell>
        </row>
        <row r="1015">
          <cell r="B1015" t="str">
            <v>MURILO KARASINSKI</v>
          </cell>
          <cell r="K1015" t="str">
            <v>CAMPUS CURITIBA</v>
          </cell>
          <cell r="AG1015" t="str">
            <v>NÃO</v>
          </cell>
          <cell r="AI1015">
            <v>40</v>
          </cell>
        </row>
        <row r="1016">
          <cell r="B1016" t="str">
            <v>MYENNE MIEKO AYRES TSUTSUMI</v>
          </cell>
          <cell r="K1016" t="str">
            <v>CAMPUS LONDRINA</v>
          </cell>
          <cell r="AG1016" t="str">
            <v>SIM</v>
          </cell>
          <cell r="AI1016">
            <v>10</v>
          </cell>
        </row>
        <row r="1017">
          <cell r="B1017" t="str">
            <v>NADINA APARECIDA MORENO</v>
          </cell>
          <cell r="K1017" t="str">
            <v>CAMPUS LONDRINA</v>
          </cell>
          <cell r="AG1017" t="str">
            <v>NÃO</v>
          </cell>
          <cell r="AI1017">
            <v>40</v>
          </cell>
        </row>
        <row r="1018">
          <cell r="B1018" t="str">
            <v>NAIRANA RADTKE CANEPPELE BUSSLER</v>
          </cell>
          <cell r="K1018" t="str">
            <v>CAMPUS CURITIBA</v>
          </cell>
          <cell r="AG1018" t="str">
            <v>NÃO</v>
          </cell>
          <cell r="AI1018">
            <v>20</v>
          </cell>
        </row>
        <row r="1019">
          <cell r="B1019" t="str">
            <v>NANCY VALENTE</v>
          </cell>
          <cell r="K1019" t="str">
            <v>CAMPUS CURITIBA</v>
          </cell>
          <cell r="AG1019" t="str">
            <v>SIM</v>
          </cell>
          <cell r="AI1019">
            <v>2</v>
          </cell>
        </row>
        <row r="1020">
          <cell r="B1020" t="str">
            <v>NATALI LAISE ZAMBONI HOFF</v>
          </cell>
          <cell r="K1020" t="str">
            <v>Campus Curitiba</v>
          </cell>
          <cell r="AG1020" t="str">
            <v>SIM</v>
          </cell>
          <cell r="AI1020">
            <v>0</v>
          </cell>
        </row>
        <row r="1021">
          <cell r="B1021" t="str">
            <v>NATALIA CARDOSO DOS SANTOS</v>
          </cell>
          <cell r="K1021" t="str">
            <v>CAMPUS TOLEDO</v>
          </cell>
          <cell r="AG1021" t="str">
            <v>SIM</v>
          </cell>
          <cell r="AI1021">
            <v>18</v>
          </cell>
        </row>
        <row r="1022">
          <cell r="B1022" t="str">
            <v>NATHAN MENDES</v>
          </cell>
          <cell r="K1022" t="str">
            <v>CAMPUS CURITIBA</v>
          </cell>
          <cell r="AG1022" t="str">
            <v>NÃO</v>
          </cell>
          <cell r="AI1022">
            <v>40</v>
          </cell>
        </row>
        <row r="1023">
          <cell r="B1023" t="str">
            <v>NEIDAMAR PEDRINI ARIAS FUGACA</v>
          </cell>
          <cell r="K1023" t="str">
            <v>CAMPUS CURITIBA</v>
          </cell>
          <cell r="AG1023" t="str">
            <v>SIM</v>
          </cell>
          <cell r="AI1023">
            <v>12</v>
          </cell>
        </row>
        <row r="1024">
          <cell r="B1024" t="str">
            <v>NELISA SITA PIRES PICOLOTTO MARTIM</v>
          </cell>
          <cell r="K1024" t="str">
            <v>CAMPUS CURITIBA</v>
          </cell>
          <cell r="AG1024" t="str">
            <v>SIM</v>
          </cell>
          <cell r="AI1024">
            <v>14</v>
          </cell>
        </row>
        <row r="1025">
          <cell r="B1025" t="str">
            <v>NELSON MASSARU FUKUMOTO</v>
          </cell>
          <cell r="K1025" t="str">
            <v>CAMPUS TOLEDO</v>
          </cell>
          <cell r="AG1025" t="str">
            <v>SIM</v>
          </cell>
          <cell r="AI1025">
            <v>18</v>
          </cell>
        </row>
        <row r="1026">
          <cell r="B1026" t="str">
            <v>NEOLI LUCYSZYN SUCKOW</v>
          </cell>
          <cell r="K1026" t="str">
            <v>CAMPUS CURITIBA</v>
          </cell>
          <cell r="AG1026" t="str">
            <v>SIM</v>
          </cell>
          <cell r="AI1026">
            <v>22</v>
          </cell>
        </row>
        <row r="1027">
          <cell r="B1027" t="str">
            <v>NEWTON CARVALHAL SANTOS JUNIOR</v>
          </cell>
          <cell r="K1027" t="str">
            <v>CAMPUS CURITIBA</v>
          </cell>
          <cell r="AG1027" t="str">
            <v>SIM</v>
          </cell>
          <cell r="AI1027">
            <v>5</v>
          </cell>
        </row>
        <row r="1028">
          <cell r="B1028" t="str">
            <v>NICE MIKA SAKAMOTO KAMINARI</v>
          </cell>
          <cell r="K1028" t="str">
            <v>CAMPUS CURITIBA</v>
          </cell>
          <cell r="AG1028" t="str">
            <v>SIM</v>
          </cell>
          <cell r="AI1028">
            <v>18</v>
          </cell>
        </row>
        <row r="1029">
          <cell r="B1029" t="str">
            <v>NICOLE CHAGAS LIMA</v>
          </cell>
          <cell r="K1029" t="str">
            <v>CAMPUS CURITIBA</v>
          </cell>
          <cell r="AG1029" t="str">
            <v>SIM</v>
          </cell>
          <cell r="AI1029">
            <v>2</v>
          </cell>
        </row>
        <row r="1030">
          <cell r="B1030" t="str">
            <v>NILSON BARBIERI</v>
          </cell>
          <cell r="K1030" t="str">
            <v>CAMPUS CURITIBA</v>
          </cell>
          <cell r="AG1030" t="str">
            <v>NÃO</v>
          </cell>
          <cell r="AI1030">
            <v>32</v>
          </cell>
        </row>
        <row r="1031">
          <cell r="B1031" t="str">
            <v>NILTON CESAR MONASTIER KLEINA</v>
          </cell>
          <cell r="K1031" t="str">
            <v>Campus Curitiba</v>
          </cell>
          <cell r="AG1031" t="str">
            <v>SIM</v>
          </cell>
          <cell r="AI1031">
            <v>0</v>
          </cell>
        </row>
        <row r="1032">
          <cell r="B1032" t="str">
            <v>NILZA TERESINHA FAORO</v>
          </cell>
          <cell r="K1032" t="str">
            <v>CAMPUS CURITIBA</v>
          </cell>
          <cell r="AG1032" t="str">
            <v>SIM</v>
          </cell>
          <cell r="AI1032">
            <v>21</v>
          </cell>
        </row>
        <row r="1033">
          <cell r="B1033" t="str">
            <v>NOURMIRIO BITTENCOURT TESSEROLI FILHO</v>
          </cell>
          <cell r="K1033" t="str">
            <v>CAMPUS CURITIBA</v>
          </cell>
          <cell r="AG1033" t="str">
            <v>SIM</v>
          </cell>
          <cell r="AI1033">
            <v>4</v>
          </cell>
        </row>
        <row r="1034">
          <cell r="B1034" t="str">
            <v>OKSANDRO OSDIVAL GONCALVES</v>
          </cell>
          <cell r="K1034" t="str">
            <v>CAMPUS CURITIBA</v>
          </cell>
          <cell r="AG1034" t="str">
            <v>NÃO</v>
          </cell>
          <cell r="AI1034">
            <v>30</v>
          </cell>
        </row>
        <row r="1035">
          <cell r="B1035" t="str">
            <v>OLIMPIO DE PAULA XAVIER FILHO</v>
          </cell>
          <cell r="K1035" t="str">
            <v>CAMPUS CURITIBA</v>
          </cell>
          <cell r="AG1035" t="str">
            <v>SIM</v>
          </cell>
          <cell r="AI1035">
            <v>8</v>
          </cell>
        </row>
        <row r="1036">
          <cell r="B1036" t="str">
            <v>ORLANDO MOTOHIRO TANAKA</v>
          </cell>
          <cell r="K1036" t="str">
            <v>CAMPUS CURITIBA</v>
          </cell>
          <cell r="AG1036" t="str">
            <v>NÃO</v>
          </cell>
          <cell r="AI1036">
            <v>28</v>
          </cell>
        </row>
        <row r="1037">
          <cell r="B1037" t="str">
            <v>OSIRIS CANCIGLIERI JUNIOR</v>
          </cell>
          <cell r="K1037" t="str">
            <v>CAMPUS CURITIBA</v>
          </cell>
          <cell r="AG1037" t="str">
            <v>NÃO</v>
          </cell>
          <cell r="AI1037">
            <v>40</v>
          </cell>
        </row>
        <row r="1038">
          <cell r="B1038" t="str">
            <v>OSNY DE BARROS JUNIOR</v>
          </cell>
          <cell r="K1038" t="str">
            <v>CAMPUS CURITIBA</v>
          </cell>
          <cell r="AG1038" t="str">
            <v>SIM</v>
          </cell>
          <cell r="AI1038">
            <v>19</v>
          </cell>
        </row>
        <row r="1039">
          <cell r="B1039" t="str">
            <v>OSWALDO GIACOIA JUNIOR</v>
          </cell>
          <cell r="K1039" t="str">
            <v>CAMPUS CURITIBA</v>
          </cell>
          <cell r="AG1039" t="str">
            <v>NÃO</v>
          </cell>
          <cell r="AI1039">
            <v>30</v>
          </cell>
        </row>
        <row r="1040">
          <cell r="B1040" t="str">
            <v>OTAVIO AUGUSTO BARBOSA RUFINO</v>
          </cell>
          <cell r="K1040" t="str">
            <v>CAMPUS CURITIBA</v>
          </cell>
          <cell r="AG1040" t="str">
            <v>NÃO</v>
          </cell>
          <cell r="AI1040">
            <v>0</v>
          </cell>
        </row>
        <row r="1041">
          <cell r="B1041" t="str">
            <v>OTTO HENRIQUE MARTINS DA SILVA</v>
          </cell>
          <cell r="K1041" t="str">
            <v>CAMPUS CURITIBA</v>
          </cell>
          <cell r="AG1041" t="str">
            <v>SIM</v>
          </cell>
          <cell r="AI1041">
            <v>4</v>
          </cell>
        </row>
        <row r="1042">
          <cell r="B1042" t="str">
            <v>OTTO LEOPOLDO WINCK</v>
          </cell>
          <cell r="K1042" t="str">
            <v>CAMPUS CURITIBA</v>
          </cell>
          <cell r="AG1042" t="str">
            <v>SIM</v>
          </cell>
          <cell r="AI1042">
            <v>6</v>
          </cell>
        </row>
        <row r="1043">
          <cell r="B1043" t="str">
            <v>PABLO GEORGIO DE SOUZA</v>
          </cell>
          <cell r="K1043" t="str">
            <v>CAMPUS CURITIBA</v>
          </cell>
          <cell r="AG1043" t="str">
            <v>SIM</v>
          </cell>
          <cell r="AI1043">
            <v>6</v>
          </cell>
        </row>
        <row r="1044">
          <cell r="B1044" t="str">
            <v>PASQUALINO LAMORTE</v>
          </cell>
          <cell r="K1044" t="str">
            <v>CAMPUS CURITIBA</v>
          </cell>
          <cell r="AG1044" t="str">
            <v>SIM</v>
          </cell>
          <cell r="AI1044">
            <v>4</v>
          </cell>
        </row>
        <row r="1045">
          <cell r="B1045" t="str">
            <v>PATRICIA ANDREIA DOMBROWSKI</v>
          </cell>
          <cell r="K1045" t="str">
            <v>CAMPUS CURITIBA</v>
          </cell>
          <cell r="AG1045" t="str">
            <v>SIM</v>
          </cell>
          <cell r="AI1045">
            <v>0</v>
          </cell>
        </row>
        <row r="1046">
          <cell r="B1046" t="str">
            <v>PATRICIA APARECIDA BORTOLLOTI</v>
          </cell>
          <cell r="K1046" t="str">
            <v>CAMPUS LONDRINA</v>
          </cell>
          <cell r="AG1046" t="str">
            <v>SIM</v>
          </cell>
          <cell r="AI1046">
            <v>6</v>
          </cell>
        </row>
        <row r="1047">
          <cell r="B1047" t="str">
            <v>PATRICIA APARECIDA PIASSETTA</v>
          </cell>
          <cell r="K1047" t="str">
            <v>CAMPUS CURITIBA</v>
          </cell>
          <cell r="AG1047" t="str">
            <v>NÃO</v>
          </cell>
          <cell r="AI1047">
            <v>0</v>
          </cell>
        </row>
        <row r="1048">
          <cell r="B1048" t="str">
            <v>PATRICIA CARLA GANDIN PEREIRA</v>
          </cell>
          <cell r="K1048" t="str">
            <v>CAMPUS CURITIBA</v>
          </cell>
          <cell r="AG1048" t="str">
            <v>SIM</v>
          </cell>
          <cell r="AI1048">
            <v>26</v>
          </cell>
        </row>
        <row r="1049">
          <cell r="B1049" t="str">
            <v>PATRICIA CARLA ZANELATTO GONCALVES</v>
          </cell>
          <cell r="K1049" t="str">
            <v>CAMPUS CURITIBA</v>
          </cell>
          <cell r="AG1049" t="str">
            <v>SIM</v>
          </cell>
          <cell r="AI1049">
            <v>13</v>
          </cell>
        </row>
        <row r="1050">
          <cell r="B1050" t="str">
            <v>PATRICIA ELIANE DA ROSA SARDETO</v>
          </cell>
          <cell r="K1050" t="str">
            <v>CAMPUS LONDRINA</v>
          </cell>
          <cell r="AG1050" t="str">
            <v>SIM</v>
          </cell>
          <cell r="AI1050">
            <v>28</v>
          </cell>
        </row>
        <row r="1051">
          <cell r="B1051" t="str">
            <v>PATRICIA FONSECA FERREIRA FLEURY</v>
          </cell>
          <cell r="K1051" t="str">
            <v>CAMPUS CURITIBA</v>
          </cell>
          <cell r="AG1051" t="str">
            <v>NÃO</v>
          </cell>
          <cell r="AI1051">
            <v>32</v>
          </cell>
        </row>
        <row r="1052">
          <cell r="B1052" t="str">
            <v>PATRICIA GUILLON RIBEIRO</v>
          </cell>
          <cell r="K1052" t="str">
            <v>CAMPUS CURITIBA</v>
          </cell>
          <cell r="AG1052" t="str">
            <v>SIM</v>
          </cell>
          <cell r="AI1052">
            <v>8</v>
          </cell>
        </row>
        <row r="1053">
          <cell r="B1053" t="str">
            <v>PATRICIA LONGHI BUSO</v>
          </cell>
          <cell r="K1053" t="str">
            <v>CAMPUS CURITIBA</v>
          </cell>
          <cell r="AG1053" t="str">
            <v>SIM</v>
          </cell>
          <cell r="AI1053">
            <v>40</v>
          </cell>
        </row>
        <row r="1054">
          <cell r="B1054" t="str">
            <v>PATRICIA LUPION TORRES</v>
          </cell>
          <cell r="K1054" t="str">
            <v>CAMPUS CURITIBA</v>
          </cell>
          <cell r="AG1054" t="str">
            <v>NÃO</v>
          </cell>
          <cell r="AI1054">
            <v>40</v>
          </cell>
        </row>
        <row r="1055">
          <cell r="B1055" t="str">
            <v>PATRICIA MARIA STUELP CAMPELO</v>
          </cell>
          <cell r="K1055" t="str">
            <v>CAMPUS CURITIBA</v>
          </cell>
          <cell r="AG1055" t="str">
            <v>SIM</v>
          </cell>
          <cell r="AI1055">
            <v>12</v>
          </cell>
        </row>
        <row r="1056">
          <cell r="B1056" t="str">
            <v>PATRICIA MARTIN</v>
          </cell>
          <cell r="K1056" t="str">
            <v>CAMPUS CURITIBA</v>
          </cell>
          <cell r="AG1056" t="str">
            <v>SIM</v>
          </cell>
          <cell r="AI1056">
            <v>8</v>
          </cell>
        </row>
        <row r="1057">
          <cell r="B1057" t="str">
            <v>PATRICIA MINATOVICZ FERREIRA DOBLINSKI</v>
          </cell>
          <cell r="K1057" t="str">
            <v>Campus Toledo</v>
          </cell>
          <cell r="AG1057" t="str">
            <v>NÃO</v>
          </cell>
          <cell r="AI1057">
            <v>26</v>
          </cell>
        </row>
        <row r="1058">
          <cell r="B1058" t="str">
            <v>PATRICIA REGINA PIASECKI CUSTODIO</v>
          </cell>
          <cell r="K1058" t="str">
            <v>CAMPUS CURITIBA</v>
          </cell>
          <cell r="AG1058" t="str">
            <v>SIM</v>
          </cell>
          <cell r="AI1058">
            <v>12</v>
          </cell>
        </row>
        <row r="1059">
          <cell r="B1059" t="str">
            <v>PATRICIA RUCKER DE BASSI</v>
          </cell>
          <cell r="K1059" t="str">
            <v>CAMPUS CURITIBA</v>
          </cell>
          <cell r="AG1059" t="str">
            <v>SIM</v>
          </cell>
          <cell r="AI1059">
            <v>6</v>
          </cell>
        </row>
        <row r="1060">
          <cell r="B1060" t="str">
            <v>PATRICIA TENDOLINI OLIVEIRA DE MELO</v>
          </cell>
          <cell r="K1060" t="str">
            <v>CAMPUS CURITIBA</v>
          </cell>
          <cell r="AG1060" t="str">
            <v>NÃO</v>
          </cell>
          <cell r="AI1060">
            <v>26</v>
          </cell>
        </row>
        <row r="1061">
          <cell r="B1061" t="str">
            <v>PATRICIA VERLINGUE RAMIRES MONTEIRO</v>
          </cell>
          <cell r="K1061" t="str">
            <v>CAMPUS CURITIBA</v>
          </cell>
          <cell r="AG1061" t="str">
            <v>SIM</v>
          </cell>
          <cell r="AI1061">
            <v>16</v>
          </cell>
        </row>
        <row r="1062">
          <cell r="B1062" t="str">
            <v>PATRICIA ZAGANIN CAMILO ROSA</v>
          </cell>
          <cell r="K1062" t="str">
            <v>CAMPUS LONDRINA</v>
          </cell>
          <cell r="AG1062" t="str">
            <v>SIM</v>
          </cell>
          <cell r="AI1062">
            <v>2</v>
          </cell>
        </row>
        <row r="1063">
          <cell r="B1063" t="str">
            <v>PAUL JURGEN KELTER</v>
          </cell>
          <cell r="K1063" t="str">
            <v>CAMPUS LONDRINA</v>
          </cell>
          <cell r="AG1063" t="str">
            <v>SIM</v>
          </cell>
          <cell r="AI1063">
            <v>8</v>
          </cell>
        </row>
        <row r="1064">
          <cell r="B1064" t="str">
            <v>PAULA CENIRA SENGER DE CASTRO</v>
          </cell>
          <cell r="K1064" t="str">
            <v>CAMPUS CURITIBA</v>
          </cell>
          <cell r="AG1064" t="str">
            <v>SIM</v>
          </cell>
          <cell r="AI1064">
            <v>3</v>
          </cell>
        </row>
        <row r="1065">
          <cell r="B1065" t="str">
            <v>PAULA CHRISTINA PIRES MULLER MAINGUE</v>
          </cell>
          <cell r="K1065" t="str">
            <v>CAMPUS CURITIBA</v>
          </cell>
          <cell r="AG1065" t="str">
            <v>SIM</v>
          </cell>
          <cell r="AI1065">
            <v>24</v>
          </cell>
        </row>
        <row r="1066">
          <cell r="B1066" t="str">
            <v>PAULA CRISTINA TREVILATTO</v>
          </cell>
          <cell r="K1066" t="str">
            <v>CAMPUS CURITIBA</v>
          </cell>
          <cell r="AG1066" t="str">
            <v>NÃO</v>
          </cell>
          <cell r="AI1066">
            <v>40</v>
          </cell>
        </row>
        <row r="1067">
          <cell r="B1067" t="str">
            <v>PAULA HITOMI SAKIYAMA LUCONI</v>
          </cell>
          <cell r="K1067" t="str">
            <v>Campus Toledo</v>
          </cell>
          <cell r="AG1067" t="str">
            <v>SIM</v>
          </cell>
          <cell r="AI1067">
            <v>7</v>
          </cell>
        </row>
        <row r="1068">
          <cell r="B1068" t="str">
            <v>PAULINA ALEJANDRA SANTANDER PEREZ</v>
          </cell>
          <cell r="K1068" t="str">
            <v>CAMPUS CURITIBA</v>
          </cell>
          <cell r="AG1068" t="str">
            <v>SIM</v>
          </cell>
          <cell r="AI1068">
            <v>4</v>
          </cell>
        </row>
        <row r="1069">
          <cell r="B1069" t="str">
            <v>PAULO ADILSON HERRERA</v>
          </cell>
          <cell r="K1069" t="str">
            <v>CAMPUS LONDRINA</v>
          </cell>
          <cell r="AG1069" t="str">
            <v>SIM</v>
          </cell>
          <cell r="AI1069">
            <v>10</v>
          </cell>
        </row>
        <row r="1070">
          <cell r="B1070" t="str">
            <v>PAULO AUGUSTO CAUCHICK MIGUEL</v>
          </cell>
          <cell r="K1070" t="str">
            <v>CAMPUS CURITIBA</v>
          </cell>
          <cell r="AG1070" t="str">
            <v>NÃO</v>
          </cell>
          <cell r="AI1070">
            <v>20</v>
          </cell>
        </row>
        <row r="1071">
          <cell r="B1071" t="str">
            <v>PAULO CESAR BUSATO</v>
          </cell>
          <cell r="K1071" t="str">
            <v>CAMPUS CURITIBA</v>
          </cell>
          <cell r="AG1071" t="str">
            <v>SIM</v>
          </cell>
          <cell r="AI1071">
            <v>14</v>
          </cell>
        </row>
        <row r="1072">
          <cell r="B1072" t="str">
            <v>PAULO CESAR DE BARROS</v>
          </cell>
          <cell r="K1072" t="str">
            <v>CAMPUS CURITIBA</v>
          </cell>
          <cell r="AG1072" t="str">
            <v>SIM</v>
          </cell>
          <cell r="AI1072">
            <v>18</v>
          </cell>
        </row>
        <row r="1073">
          <cell r="B1073" t="str">
            <v>PAULO CESAR PHILIPPI</v>
          </cell>
          <cell r="K1073" t="str">
            <v>CAMPUS CURITIBA</v>
          </cell>
          <cell r="AG1073" t="str">
            <v>NÃO</v>
          </cell>
          <cell r="AI1073">
            <v>30</v>
          </cell>
        </row>
        <row r="1074">
          <cell r="B1074" t="str">
            <v>PAULO CESAR PORTO MARTINS</v>
          </cell>
          <cell r="K1074" t="str">
            <v>CAMPUS CURITIBA</v>
          </cell>
          <cell r="AG1074" t="str">
            <v>NÃO</v>
          </cell>
          <cell r="AI1074">
            <v>26</v>
          </cell>
        </row>
        <row r="1075">
          <cell r="B1075" t="str">
            <v>PAULO CESAR SOARES JUNIOR</v>
          </cell>
          <cell r="K1075" t="str">
            <v>CAMPUS CURITIBA</v>
          </cell>
          <cell r="AG1075" t="str">
            <v>NÃO</v>
          </cell>
          <cell r="AI1075">
            <v>32</v>
          </cell>
        </row>
        <row r="1076">
          <cell r="B1076" t="str">
            <v>PAULO CESAR ZIMMERMANN FELCHNER</v>
          </cell>
          <cell r="K1076" t="str">
            <v>CAMPUS CURITIBA</v>
          </cell>
          <cell r="AG1076" t="str">
            <v>SIM</v>
          </cell>
          <cell r="AI1076">
            <v>32</v>
          </cell>
        </row>
        <row r="1077">
          <cell r="B1077" t="str">
            <v>PAULO D ASSUMPCAO ZANIOL</v>
          </cell>
          <cell r="K1077" t="str">
            <v>CAMPUS CURITIBA</v>
          </cell>
          <cell r="AG1077" t="str">
            <v>SIM</v>
          </cell>
          <cell r="AI1077">
            <v>10</v>
          </cell>
        </row>
        <row r="1078">
          <cell r="B1078" t="str">
            <v>PAULO DE PAULA BAPTISTA</v>
          </cell>
          <cell r="K1078" t="str">
            <v>CAMPUS CURITIBA</v>
          </cell>
          <cell r="AG1078" t="str">
            <v>NÃO</v>
          </cell>
          <cell r="AI1078">
            <v>40</v>
          </cell>
        </row>
        <row r="1079">
          <cell r="B1079" t="str">
            <v>PAULO EDUARDO LOPES DA SILVA</v>
          </cell>
          <cell r="K1079" t="str">
            <v>CAMPUS CURITIBA</v>
          </cell>
          <cell r="AG1079" t="str">
            <v>SIM</v>
          </cell>
          <cell r="AI1079">
            <v>12</v>
          </cell>
        </row>
        <row r="1080">
          <cell r="B1080" t="str">
            <v>PAULO EDUARDO PINHEIRO ROSA</v>
          </cell>
          <cell r="K1080" t="str">
            <v>CAMPUS CURITIBA</v>
          </cell>
          <cell r="AG1080" t="str">
            <v>SIM</v>
          </cell>
          <cell r="AI1080">
            <v>2</v>
          </cell>
        </row>
        <row r="1081">
          <cell r="B1081" t="str">
            <v>PAULO GUSTAVO KOTZE</v>
          </cell>
          <cell r="K1081" t="str">
            <v>CAMPUS CURITIBA</v>
          </cell>
          <cell r="AG1081" t="str">
            <v>NÃO</v>
          </cell>
          <cell r="AI1081">
            <v>40</v>
          </cell>
        </row>
        <row r="1082">
          <cell r="B1082" t="str">
            <v>PAULO HENRIQUE COUTO SOUZA</v>
          </cell>
          <cell r="K1082" t="str">
            <v>CAMPUS CURITIBA</v>
          </cell>
          <cell r="AG1082" t="str">
            <v>NÃO</v>
          </cell>
          <cell r="AI1082">
            <v>29</v>
          </cell>
        </row>
        <row r="1083">
          <cell r="B1083" t="str">
            <v>PAULO HENRIQUE GUILMAN TANIZAWA</v>
          </cell>
          <cell r="K1083" t="str">
            <v>CAMPUS LONDRINA</v>
          </cell>
          <cell r="AG1083" t="str">
            <v>NÃO</v>
          </cell>
          <cell r="AI1083">
            <v>36</v>
          </cell>
        </row>
        <row r="1084">
          <cell r="B1084" t="str">
            <v>PAULO HENRIQUE MARAVIESKI BRAMBILLA</v>
          </cell>
          <cell r="K1084" t="str">
            <v>CAMPUS LONDRINA</v>
          </cell>
          <cell r="AG1084" t="str">
            <v>SIM</v>
          </cell>
          <cell r="AI1084">
            <v>26</v>
          </cell>
        </row>
        <row r="1085">
          <cell r="B1085" t="str">
            <v>PAULO HENRIQUE REIS NEGREIROS</v>
          </cell>
          <cell r="K1085" t="str">
            <v>CAMPUS CURITIBA</v>
          </cell>
          <cell r="AG1085" t="str">
            <v>SIM</v>
          </cell>
          <cell r="AI1085">
            <v>5</v>
          </cell>
        </row>
        <row r="1086">
          <cell r="B1086" t="str">
            <v>PAULO NASCIMENTO NETO</v>
          </cell>
          <cell r="K1086" t="str">
            <v>CAMPUS CURITIBA</v>
          </cell>
          <cell r="AG1086" t="str">
            <v>NÃO</v>
          </cell>
          <cell r="AI1086">
            <v>40</v>
          </cell>
        </row>
        <row r="1087">
          <cell r="B1087" t="str">
            <v>PAULO OTAVIO MUSSI AUGUSTO</v>
          </cell>
          <cell r="K1087" t="str">
            <v>CAMPUS CURITIBA</v>
          </cell>
          <cell r="AG1087" t="str">
            <v>NÃO</v>
          </cell>
          <cell r="AI1087">
            <v>12</v>
          </cell>
        </row>
        <row r="1088">
          <cell r="B1088" t="str">
            <v>PAULO POLI NETO</v>
          </cell>
          <cell r="K1088" t="str">
            <v>CAMPUS CURITIBA</v>
          </cell>
          <cell r="AG1088" t="str">
            <v>SIM</v>
          </cell>
          <cell r="AI1088">
            <v>7</v>
          </cell>
        </row>
        <row r="1089">
          <cell r="B1089" t="str">
            <v>PAULO RICARDO FRANCIOZI GOIS</v>
          </cell>
          <cell r="K1089" t="str">
            <v>CAMPUS CURITIBA</v>
          </cell>
          <cell r="AG1089" t="str">
            <v>SIM</v>
          </cell>
          <cell r="AI1089">
            <v>7</v>
          </cell>
        </row>
        <row r="1090">
          <cell r="B1090" t="str">
            <v>PAULO ROBERTO BIGNARDI</v>
          </cell>
          <cell r="K1090" t="str">
            <v>CAMPUS LONDRINA</v>
          </cell>
          <cell r="AG1090" t="str">
            <v>NÃO</v>
          </cell>
          <cell r="AI1090">
            <v>38</v>
          </cell>
        </row>
        <row r="1091">
          <cell r="B1091" t="str">
            <v>PAULO ROBERTO FERREIRA DE CAMARGO</v>
          </cell>
          <cell r="K1091" t="str">
            <v>CAMPUS CURITIBA</v>
          </cell>
          <cell r="AG1091" t="str">
            <v>NÃO</v>
          </cell>
          <cell r="AI1091">
            <v>30</v>
          </cell>
        </row>
        <row r="1092">
          <cell r="B1092" t="str">
            <v>PAULO ROBERTO SLUD BROFMAN</v>
          </cell>
          <cell r="K1092" t="str">
            <v>CAMPUS CURITIBA</v>
          </cell>
          <cell r="AG1092" t="str">
            <v>NÃO</v>
          </cell>
          <cell r="AI1092">
            <v>40</v>
          </cell>
        </row>
        <row r="1093">
          <cell r="B1093" t="str">
            <v>PAULO ROBERTO STOBERL</v>
          </cell>
          <cell r="K1093" t="str">
            <v>CAMPUS CURITIBA</v>
          </cell>
          <cell r="AG1093" t="str">
            <v>NÃO</v>
          </cell>
          <cell r="AI1093">
            <v>16</v>
          </cell>
        </row>
        <row r="1094">
          <cell r="B1094" t="str">
            <v>PAULO SERGIO BATISTA DE PAULA</v>
          </cell>
          <cell r="K1094" t="str">
            <v>CAMPUS CURITIBA</v>
          </cell>
          <cell r="AG1094" t="str">
            <v>SIM</v>
          </cell>
          <cell r="AI1094">
            <v>1</v>
          </cell>
        </row>
        <row r="1095">
          <cell r="B1095" t="str">
            <v>PAULO SERGIO MACUCHEN NOGAS</v>
          </cell>
          <cell r="K1095" t="str">
            <v>CAMPUS CURITIBA</v>
          </cell>
          <cell r="AG1095" t="str">
            <v>NÃO</v>
          </cell>
          <cell r="AI1095">
            <v>40</v>
          </cell>
        </row>
        <row r="1096">
          <cell r="B1096" t="str">
            <v>PAULO SERGIO MIGUEL</v>
          </cell>
          <cell r="K1096" t="str">
            <v>CAMPUS CURITIBA</v>
          </cell>
          <cell r="AG1096" t="str">
            <v>SIM</v>
          </cell>
          <cell r="AI1096">
            <v>16</v>
          </cell>
        </row>
        <row r="1097">
          <cell r="B1097" t="str">
            <v>PAULO VINICIUS PRESTIA CUSTODIO</v>
          </cell>
          <cell r="K1097" t="str">
            <v>CAMPUS CURITIBA</v>
          </cell>
          <cell r="AG1097" t="str">
            <v>SIM</v>
          </cell>
          <cell r="AI1097">
            <v>0</v>
          </cell>
        </row>
        <row r="1098">
          <cell r="B1098" t="str">
            <v>PEDRO AUGUSTO GOMES ACHETE</v>
          </cell>
          <cell r="K1098" t="str">
            <v>CAMPUS CURITIBA</v>
          </cell>
          <cell r="AG1098" t="str">
            <v>NÃO</v>
          </cell>
          <cell r="AI1098">
            <v>0</v>
          </cell>
        </row>
        <row r="1099">
          <cell r="B1099" t="str">
            <v>PEDRO GUILHERME RIBEIRO PICCOLI</v>
          </cell>
          <cell r="K1099" t="str">
            <v>CAMPUS CURITIBA</v>
          </cell>
          <cell r="AG1099" t="str">
            <v>NÃO</v>
          </cell>
          <cell r="AI1099">
            <v>32</v>
          </cell>
        </row>
        <row r="1100">
          <cell r="B1100" t="str">
            <v>PEDRO HENRIQUE CARVALHO DA COSTA</v>
          </cell>
          <cell r="K1100" t="str">
            <v>CAMPUS CURITIBA</v>
          </cell>
          <cell r="AG1100" t="str">
            <v>SIM</v>
          </cell>
          <cell r="AI1100">
            <v>2</v>
          </cell>
        </row>
        <row r="1101">
          <cell r="B1101" t="str">
            <v>PEDRO HORCHULHACK</v>
          </cell>
          <cell r="K1101" t="str">
            <v>CAMPUS CURITIBA</v>
          </cell>
          <cell r="AG1101" t="str">
            <v>NÃO</v>
          </cell>
          <cell r="AI1101">
            <v>22</v>
          </cell>
        </row>
        <row r="1102">
          <cell r="B1102" t="str">
            <v>PEDRO VICENTE MICHELOTTO JUNIOR</v>
          </cell>
          <cell r="K1102" t="str">
            <v>CAMPUS CURITIBA</v>
          </cell>
          <cell r="AG1102" t="str">
            <v>NÃO</v>
          </cell>
          <cell r="AI1102">
            <v>33</v>
          </cell>
        </row>
        <row r="1103">
          <cell r="B1103" t="str">
            <v>PERCY NOHAMA</v>
          </cell>
          <cell r="K1103" t="str">
            <v>CAMPUS CURITIBA</v>
          </cell>
          <cell r="AG1103" t="str">
            <v>NÃO</v>
          </cell>
          <cell r="AI1103">
            <v>40</v>
          </cell>
        </row>
        <row r="1104">
          <cell r="B1104" t="str">
            <v>PERI MESQUIDA</v>
          </cell>
          <cell r="K1104" t="str">
            <v>CAMPUS CURITIBA</v>
          </cell>
          <cell r="AG1104" t="str">
            <v>NÃO</v>
          </cell>
          <cell r="AI1104">
            <v>32</v>
          </cell>
        </row>
        <row r="1105">
          <cell r="B1105" t="str">
            <v>PHILIPE QUAGLIATO BELLINATI</v>
          </cell>
          <cell r="K1105" t="str">
            <v>CAMPUS LONDRINA</v>
          </cell>
          <cell r="AG1105" t="str">
            <v>SIM</v>
          </cell>
          <cell r="AI1105">
            <v>23</v>
          </cell>
        </row>
        <row r="1106">
          <cell r="B1106" t="str">
            <v>PRISCILA BEATRIZ DE SOUZA MEDEIROS</v>
          </cell>
          <cell r="K1106" t="str">
            <v>CAMPUS LONDRINA</v>
          </cell>
          <cell r="AG1106" t="str">
            <v>SIM</v>
          </cell>
          <cell r="AI1106">
            <v>8</v>
          </cell>
        </row>
        <row r="1107">
          <cell r="B1107" t="str">
            <v>PRISCILA BRENTAN PRAXEDES PEREIRA</v>
          </cell>
          <cell r="K1107" t="str">
            <v>CAMPUS CURITIBA</v>
          </cell>
          <cell r="AG1107" t="str">
            <v>NÃO</v>
          </cell>
          <cell r="AI1107">
            <v>25</v>
          </cell>
        </row>
        <row r="1108">
          <cell r="B1108" t="str">
            <v>PRISCILA DAIANE PAVEZZI DI RICO</v>
          </cell>
          <cell r="K1108" t="str">
            <v>CAMPUS LONDRINA</v>
          </cell>
          <cell r="AG1108" t="str">
            <v>SIM</v>
          </cell>
          <cell r="AI1108">
            <v>8</v>
          </cell>
        </row>
        <row r="1109">
          <cell r="B1109" t="str">
            <v>PRISCILA SILVA ROCHA</v>
          </cell>
          <cell r="K1109" t="str">
            <v>CAMPUS CURITIBA</v>
          </cell>
          <cell r="AG1109" t="str">
            <v>SIM</v>
          </cell>
          <cell r="AI1109">
            <v>18</v>
          </cell>
        </row>
        <row r="1110">
          <cell r="B1110" t="str">
            <v>PRISCILA XIMENES SOUZA DO NASCIMENTO</v>
          </cell>
          <cell r="K1110" t="str">
            <v>CAMPUS CURITIBA</v>
          </cell>
          <cell r="AG1110" t="str">
            <v>SIM</v>
          </cell>
          <cell r="AI1110">
            <v>10</v>
          </cell>
        </row>
        <row r="1111">
          <cell r="B1111" t="str">
            <v>PRISCILLA PEREZ RUSSO</v>
          </cell>
          <cell r="K1111" t="str">
            <v>CAMPUS LONDRINA</v>
          </cell>
          <cell r="AG1111" t="str">
            <v>SIM</v>
          </cell>
          <cell r="AI1111">
            <v>17</v>
          </cell>
        </row>
        <row r="1112">
          <cell r="B1112" t="str">
            <v>PURA LUCIA OLIVER MARTINS</v>
          </cell>
          <cell r="K1112" t="str">
            <v>CAMPUS CURITIBA</v>
          </cell>
          <cell r="AG1112" t="str">
            <v>NÃO</v>
          </cell>
          <cell r="AI1112">
            <v>30</v>
          </cell>
        </row>
        <row r="1113">
          <cell r="B1113" t="str">
            <v>RAFAEL AUGUSTO CAMARGO</v>
          </cell>
          <cell r="K1113" t="str">
            <v>CAMPUS CURITIBA</v>
          </cell>
          <cell r="AG1113" t="str">
            <v>SIM</v>
          </cell>
          <cell r="AI1113">
            <v>2</v>
          </cell>
        </row>
        <row r="1114">
          <cell r="B1114" t="str">
            <v>RAFAEL CARVALHO MACHADO</v>
          </cell>
          <cell r="K1114" t="str">
            <v>CAMPUS CURITIBA</v>
          </cell>
          <cell r="AG1114" t="str">
            <v>SIM</v>
          </cell>
          <cell r="AI1114">
            <v>2</v>
          </cell>
        </row>
        <row r="1115">
          <cell r="B1115" t="str">
            <v>RAFAEL DE OLIVEIRA ANDRADE</v>
          </cell>
          <cell r="K1115" t="str">
            <v>CAMPUS CURITIBA</v>
          </cell>
          <cell r="AG1115" t="str">
            <v>SIM</v>
          </cell>
          <cell r="AI1115">
            <v>14</v>
          </cell>
        </row>
        <row r="1116">
          <cell r="B1116" t="str">
            <v>RAFAEL DIREITO TEIXEIRA</v>
          </cell>
          <cell r="K1116" t="str">
            <v>CAMPUS LONDRINA</v>
          </cell>
          <cell r="AG1116" t="str">
            <v>SIM</v>
          </cell>
          <cell r="AI1116">
            <v>0</v>
          </cell>
        </row>
        <row r="1117">
          <cell r="B1117" t="str">
            <v>RAFAEL IGLESIAS MENEZES DA SILVA</v>
          </cell>
          <cell r="K1117" t="str">
            <v>CAMPUS CURITIBA</v>
          </cell>
          <cell r="AG1117" t="str">
            <v>SIM</v>
          </cell>
          <cell r="AI1117">
            <v>10</v>
          </cell>
        </row>
        <row r="1118">
          <cell r="B1118" t="str">
            <v>RAFAEL JUNIOR SOARES</v>
          </cell>
          <cell r="K1118" t="str">
            <v>CAMPUS LONDRINA</v>
          </cell>
          <cell r="AG1118" t="str">
            <v>SIM</v>
          </cell>
          <cell r="AI1118">
            <v>8</v>
          </cell>
        </row>
        <row r="1119">
          <cell r="B1119" t="str">
            <v>RAFAEL LOPES LAGOS</v>
          </cell>
          <cell r="K1119" t="str">
            <v>CAMPUS CURITIBA</v>
          </cell>
          <cell r="AG1119" t="str">
            <v>SIM</v>
          </cell>
          <cell r="AI1119">
            <v>4</v>
          </cell>
        </row>
        <row r="1120">
          <cell r="B1120" t="str">
            <v>RAFAEL MATTA CARNASCIALI</v>
          </cell>
          <cell r="K1120" t="str">
            <v>CAMPUS CURITIBA</v>
          </cell>
          <cell r="AG1120" t="str">
            <v>SIM</v>
          </cell>
          <cell r="AI1120">
            <v>2</v>
          </cell>
        </row>
        <row r="1121">
          <cell r="B1121" t="str">
            <v>RAFAEL MENDONCA REY DOS SANTOS</v>
          </cell>
          <cell r="K1121" t="str">
            <v>CAMPUS CURITIBA</v>
          </cell>
          <cell r="AG1121" t="str">
            <v>SIM</v>
          </cell>
          <cell r="AI1121">
            <v>18</v>
          </cell>
        </row>
        <row r="1122">
          <cell r="B1122" t="str">
            <v>RAFAEL RODRIGUES GUIMARAES WOLLMANN</v>
          </cell>
          <cell r="K1122" t="str">
            <v>CAMPUS CURITIBA</v>
          </cell>
          <cell r="AG1122" t="str">
            <v>SIM</v>
          </cell>
          <cell r="AI1122">
            <v>12</v>
          </cell>
        </row>
        <row r="1123">
          <cell r="B1123" t="str">
            <v>RAFAEL TORRES BRUM</v>
          </cell>
          <cell r="K1123" t="str">
            <v>CAMPUS CURITIBA</v>
          </cell>
          <cell r="AG1123" t="str">
            <v>SIM</v>
          </cell>
          <cell r="AI1123">
            <v>9</v>
          </cell>
        </row>
        <row r="1124">
          <cell r="B1124" t="str">
            <v>RAFAEL WEISSHEIMER</v>
          </cell>
          <cell r="K1124" t="str">
            <v>CAMPUS CURITIBA</v>
          </cell>
          <cell r="AG1124" t="str">
            <v>SIM</v>
          </cell>
          <cell r="AI1124">
            <v>24</v>
          </cell>
        </row>
        <row r="1125">
          <cell r="B1125" t="str">
            <v>RAFAELA APARECIDA DE ALMEIDA</v>
          </cell>
          <cell r="K1125" t="str">
            <v>Campus Curitiba</v>
          </cell>
          <cell r="AG1125" t="str">
            <v>SIM</v>
          </cell>
          <cell r="AI1125">
            <v>0</v>
          </cell>
        </row>
        <row r="1126">
          <cell r="B1126" t="str">
            <v>RAFAELA DA SILVA LIMONS DA CUNHA</v>
          </cell>
          <cell r="K1126" t="str">
            <v>CAMPUS CURITIBA</v>
          </cell>
          <cell r="AG1126" t="str">
            <v>SIM</v>
          </cell>
          <cell r="AI1126">
            <v>18</v>
          </cell>
        </row>
        <row r="1127">
          <cell r="B1127" t="str">
            <v>RAFAELA FRANCO CLAUDINO</v>
          </cell>
          <cell r="K1127" t="str">
            <v>CAMPUS CURITIBA</v>
          </cell>
          <cell r="AG1127" t="str">
            <v>SIM</v>
          </cell>
          <cell r="AI1127">
            <v>20</v>
          </cell>
        </row>
        <row r="1128">
          <cell r="B1128" t="str">
            <v>RAFAELA RODRIGUES SAMPAIO NOGUEIRA</v>
          </cell>
          <cell r="K1128" t="str">
            <v>CAMPUS LONDRINA</v>
          </cell>
          <cell r="AG1128" t="str">
            <v>SIM</v>
          </cell>
          <cell r="AI1128">
            <v>14</v>
          </cell>
        </row>
        <row r="1129">
          <cell r="B1129" t="str">
            <v>RAFAELLA STRADIOTTO BERNARDELLI</v>
          </cell>
          <cell r="K1129" t="str">
            <v>CAMPUS CURITIBA</v>
          </cell>
          <cell r="AG1129" t="str">
            <v>SIM</v>
          </cell>
          <cell r="AI1129">
            <v>30</v>
          </cell>
        </row>
        <row r="1130">
          <cell r="B1130" t="str">
            <v>RAISSA CAMPOS D AMICO</v>
          </cell>
          <cell r="K1130" t="str">
            <v>Campus Curitiba</v>
          </cell>
          <cell r="AG1130" t="str">
            <v>SIM</v>
          </cell>
          <cell r="AI1130">
            <v>8</v>
          </cell>
        </row>
        <row r="1131">
          <cell r="B1131" t="str">
            <v>RAMON GOMES DA SILVA</v>
          </cell>
          <cell r="K1131" t="str">
            <v>CAMPUS CURITIBA</v>
          </cell>
          <cell r="AG1131" t="str">
            <v>NÃO</v>
          </cell>
          <cell r="AI1131">
            <v>28</v>
          </cell>
        </row>
        <row r="1132">
          <cell r="B1132" t="str">
            <v>RAPHAEL CHRYSTOPHER BORGUEZAN</v>
          </cell>
          <cell r="K1132" t="str">
            <v>CAMPUS CURITIBA</v>
          </cell>
          <cell r="AG1132" t="str">
            <v>SIM</v>
          </cell>
          <cell r="AI1132">
            <v>12</v>
          </cell>
        </row>
        <row r="1133">
          <cell r="B1133" t="str">
            <v>RAPHAEL DONADIO PITTA</v>
          </cell>
          <cell r="K1133" t="str">
            <v>CAMPUS LONDRINA</v>
          </cell>
          <cell r="AG1133" t="str">
            <v>SIM</v>
          </cell>
          <cell r="AI1133">
            <v>12</v>
          </cell>
        </row>
        <row r="1134">
          <cell r="B1134" t="str">
            <v>RAQUEL CAVALCANTE CABRAL</v>
          </cell>
          <cell r="K1134" t="str">
            <v>CAMPUS LONDRINA</v>
          </cell>
          <cell r="AG1134" t="str">
            <v>SIM</v>
          </cell>
          <cell r="AI1134">
            <v>6</v>
          </cell>
        </row>
        <row r="1135">
          <cell r="B1135" t="str">
            <v>RAQUEL CRISTINA SILVA DAS NEVES</v>
          </cell>
          <cell r="K1135" t="str">
            <v>CAMPUS LONDRINA</v>
          </cell>
          <cell r="AG1135" t="str">
            <v>SIM</v>
          </cell>
          <cell r="AI1135">
            <v>8</v>
          </cell>
        </row>
        <row r="1136">
          <cell r="B1136" t="str">
            <v>RAQUEL DE JESUS PINHEIRO</v>
          </cell>
          <cell r="K1136" t="str">
            <v>CAMPUS LONDRINA</v>
          </cell>
          <cell r="AG1136" t="str">
            <v>NÃO</v>
          </cell>
          <cell r="AI1136">
            <v>0</v>
          </cell>
        </row>
        <row r="1137">
          <cell r="B1137" t="str">
            <v>RAQUEL JAQUELINE FARION</v>
          </cell>
          <cell r="K1137" t="str">
            <v>CAMPUS CURITIBA</v>
          </cell>
          <cell r="AG1137" t="str">
            <v>SIM</v>
          </cell>
          <cell r="AI1137">
            <v>10</v>
          </cell>
        </row>
        <row r="1138">
          <cell r="B1138" t="str">
            <v>RAQUEL MERCEDES MOTTA XAVIER</v>
          </cell>
          <cell r="K1138" t="str">
            <v>CAMPUS LONDRINA</v>
          </cell>
          <cell r="AG1138" t="str">
            <v>SIM</v>
          </cell>
          <cell r="AI1138">
            <v>4</v>
          </cell>
        </row>
        <row r="1139">
          <cell r="B1139" t="str">
            <v>RAQUEL PANKE BITTENCOURT</v>
          </cell>
          <cell r="K1139" t="str">
            <v>CAMPUS CURITIBA</v>
          </cell>
          <cell r="AG1139" t="str">
            <v>SIM</v>
          </cell>
          <cell r="AI1139">
            <v>8</v>
          </cell>
        </row>
        <row r="1140">
          <cell r="B1140" t="str">
            <v>RAQUEL PASTERNAK GLITZ KOWALSKI</v>
          </cell>
          <cell r="K1140" t="str">
            <v>CAMPUS CURITIBA</v>
          </cell>
          <cell r="AG1140" t="str">
            <v>NÃO</v>
          </cell>
          <cell r="AI1140">
            <v>32</v>
          </cell>
        </row>
        <row r="1141">
          <cell r="B1141" t="str">
            <v>RAQUEL PEREIRA RODRIGUES LEITE</v>
          </cell>
          <cell r="K1141" t="str">
            <v>CAMPUS CURITIBA</v>
          </cell>
          <cell r="AG1141" t="str">
            <v>SIM</v>
          </cell>
          <cell r="AI1141">
            <v>28</v>
          </cell>
        </row>
        <row r="1142">
          <cell r="B1142" t="str">
            <v>RAYSON BARTOSKI LAROCA DOS SANTOS</v>
          </cell>
          <cell r="K1142" t="str">
            <v>CAMPUS CURITIBA</v>
          </cell>
          <cell r="AG1142" t="str">
            <v>NÃO</v>
          </cell>
          <cell r="AI1142">
            <v>30</v>
          </cell>
        </row>
        <row r="1143">
          <cell r="B1143" t="str">
            <v>REBECA FERNANDES DIAS</v>
          </cell>
          <cell r="K1143" t="str">
            <v>CAMPUS CURITIBA</v>
          </cell>
          <cell r="AG1143" t="str">
            <v>SIM</v>
          </cell>
          <cell r="AI1143">
            <v>4</v>
          </cell>
        </row>
        <row r="1144">
          <cell r="B1144" t="str">
            <v>REGINA CELIA POLI FREDERICO</v>
          </cell>
          <cell r="K1144" t="str">
            <v>CAMPUS LONDRINA</v>
          </cell>
          <cell r="AG1144" t="str">
            <v>SIM</v>
          </cell>
          <cell r="AI1144">
            <v>24</v>
          </cell>
        </row>
        <row r="1145">
          <cell r="B1145" t="str">
            <v>REGINA FABIA LOPES DE ALBUQUERQUE</v>
          </cell>
          <cell r="K1145" t="str">
            <v>CAMPUS CURITIBA</v>
          </cell>
          <cell r="AG1145" t="str">
            <v>NÃO</v>
          </cell>
          <cell r="AI1145">
            <v>34</v>
          </cell>
        </row>
        <row r="1146">
          <cell r="B1146" t="str">
            <v>REGINA MARIA MARTINS DE ARAUJO KLEIN</v>
          </cell>
          <cell r="K1146" t="str">
            <v>CAMPUS CURITIBA</v>
          </cell>
          <cell r="AG1146" t="str">
            <v>NÃO</v>
          </cell>
          <cell r="AI1146">
            <v>40</v>
          </cell>
        </row>
        <row r="1147">
          <cell r="B1147" t="str">
            <v>REGINALDO ALICANDRO BORDIN</v>
          </cell>
          <cell r="K1147" t="str">
            <v>CAMPUS LONDRINA</v>
          </cell>
          <cell r="AG1147" t="str">
            <v>SIM</v>
          </cell>
          <cell r="AI1147">
            <v>2</v>
          </cell>
        </row>
        <row r="1148">
          <cell r="B1148" t="str">
            <v>REGINALDO RODRIGUES DA COSTA</v>
          </cell>
          <cell r="K1148" t="str">
            <v>CAMPUS CURITIBA</v>
          </cell>
          <cell r="AG1148" t="str">
            <v>SIM</v>
          </cell>
          <cell r="AI1148">
            <v>14</v>
          </cell>
        </row>
        <row r="1149">
          <cell r="B1149" t="str">
            <v>REJANE ECKER</v>
          </cell>
          <cell r="K1149" t="str">
            <v>CAMPUS TOLEDO</v>
          </cell>
          <cell r="AG1149" t="str">
            <v>SIM</v>
          </cell>
          <cell r="AI1149">
            <v>6</v>
          </cell>
        </row>
        <row r="1150">
          <cell r="B1150" t="str">
            <v>REMOM MATHEUS BORTOLOZZI</v>
          </cell>
          <cell r="K1150" t="str">
            <v>CAMPUS CURITIBA</v>
          </cell>
          <cell r="AG1150" t="str">
            <v>SIM</v>
          </cell>
          <cell r="AI1150">
            <v>20</v>
          </cell>
        </row>
        <row r="1151">
          <cell r="B1151" t="str">
            <v>RENAN BATTISTI ARCHER</v>
          </cell>
          <cell r="K1151" t="str">
            <v>CAMPUS CURITIBA</v>
          </cell>
          <cell r="AG1151" t="str">
            <v>SIM</v>
          </cell>
          <cell r="AI1151">
            <v>0</v>
          </cell>
        </row>
        <row r="1152">
          <cell r="B1152" t="str">
            <v>RENAN COLOMBO</v>
          </cell>
          <cell r="K1152" t="str">
            <v>CAMPUS CURITIBA</v>
          </cell>
          <cell r="AG1152" t="str">
            <v>NÃO</v>
          </cell>
          <cell r="AI1152">
            <v>32</v>
          </cell>
        </row>
        <row r="1153">
          <cell r="B1153" t="str">
            <v>RENATA CESCHIN MELFI DE MACEDO</v>
          </cell>
          <cell r="K1153" t="str">
            <v>CAMPUS CURITIBA</v>
          </cell>
          <cell r="AG1153" t="str">
            <v>NÃO</v>
          </cell>
          <cell r="AI1153">
            <v>40</v>
          </cell>
        </row>
        <row r="1154">
          <cell r="B1154" t="str">
            <v>RENATA DINARDI BORGES LIBONI</v>
          </cell>
          <cell r="K1154" t="str">
            <v>CAMPUS LONDRINA</v>
          </cell>
          <cell r="AG1154" t="str">
            <v>SIM</v>
          </cell>
          <cell r="AI1154">
            <v>17</v>
          </cell>
        </row>
        <row r="1155">
          <cell r="B1155" t="str">
            <v>RENATA ERNLUND FREITAS DE MACEDO</v>
          </cell>
          <cell r="K1155" t="str">
            <v>CAMPUS CURITIBA</v>
          </cell>
          <cell r="AG1155" t="str">
            <v>NÃO</v>
          </cell>
          <cell r="AI1155">
            <v>37</v>
          </cell>
        </row>
        <row r="1156">
          <cell r="B1156" t="str">
            <v>RENATA IANI WERNECK</v>
          </cell>
          <cell r="K1156" t="str">
            <v>CAMPUS CURITIBA</v>
          </cell>
          <cell r="AG1156" t="str">
            <v>NÃO</v>
          </cell>
          <cell r="AI1156">
            <v>33</v>
          </cell>
        </row>
        <row r="1157">
          <cell r="B1157" t="str">
            <v>RENATA RODRIGUES LAWDER</v>
          </cell>
          <cell r="K1157" t="str">
            <v>Campus Toledo</v>
          </cell>
          <cell r="AG1157" t="str">
            <v>NÃO</v>
          </cell>
          <cell r="AI1157">
            <v>20</v>
          </cell>
        </row>
        <row r="1158">
          <cell r="B1158" t="str">
            <v>RENATA TORRI SALDANHA COELHO</v>
          </cell>
          <cell r="K1158" t="str">
            <v>CAMPUS TOLEDO</v>
          </cell>
          <cell r="AG1158" t="str">
            <v>SIM</v>
          </cell>
          <cell r="AI1158">
            <v>6</v>
          </cell>
        </row>
        <row r="1159">
          <cell r="B1159" t="str">
            <v>RENATO CAMASSUTTI BEDORE</v>
          </cell>
          <cell r="K1159" t="str">
            <v>CAMPUS CURITIBA</v>
          </cell>
          <cell r="AG1159" t="str">
            <v>SIM</v>
          </cell>
          <cell r="AI1159">
            <v>9</v>
          </cell>
        </row>
        <row r="1160">
          <cell r="B1160" t="str">
            <v>RENATO MACHNIEVSCZ</v>
          </cell>
          <cell r="K1160" t="str">
            <v>CAMPUS CURITIBA</v>
          </cell>
          <cell r="AG1160" t="str">
            <v>SIM</v>
          </cell>
          <cell r="AI1160">
            <v>18</v>
          </cell>
        </row>
        <row r="1161">
          <cell r="B1161" t="str">
            <v>RENATO SOLEIMAN FRANCO</v>
          </cell>
          <cell r="K1161" t="str">
            <v>CAMPUS CURITIBA</v>
          </cell>
          <cell r="AG1161" t="str">
            <v>NÃO</v>
          </cell>
          <cell r="AI1161">
            <v>36</v>
          </cell>
        </row>
        <row r="1162">
          <cell r="B1162" t="str">
            <v>RENE BERGEL</v>
          </cell>
          <cell r="K1162" t="str">
            <v>CAMPUS CURITIBA</v>
          </cell>
          <cell r="AG1162" t="str">
            <v>SIM</v>
          </cell>
          <cell r="AI1162">
            <v>26</v>
          </cell>
        </row>
        <row r="1163">
          <cell r="B1163" t="str">
            <v>RENNE LEONARDO SANT ANA GOMIERO</v>
          </cell>
          <cell r="K1163" t="str">
            <v>CAMPUS TOLEDO</v>
          </cell>
          <cell r="AG1163" t="str">
            <v>SIM</v>
          </cell>
          <cell r="AI1163">
            <v>25</v>
          </cell>
        </row>
        <row r="1164">
          <cell r="B1164" t="str">
            <v>RHAQUEL TESSELE</v>
          </cell>
          <cell r="K1164" t="str">
            <v>Campus Toledo</v>
          </cell>
          <cell r="AG1164" t="str">
            <v>SIM</v>
          </cell>
          <cell r="AI1164">
            <v>4</v>
          </cell>
        </row>
        <row r="1165">
          <cell r="B1165" t="str">
            <v>RICARDO ALEXANDRE DIOGO</v>
          </cell>
          <cell r="K1165" t="str">
            <v>CAMPUS CURITIBA</v>
          </cell>
          <cell r="AG1165" t="str">
            <v>SIM</v>
          </cell>
          <cell r="AI1165">
            <v>18</v>
          </cell>
        </row>
        <row r="1166">
          <cell r="B1166" t="str">
            <v>RICARDO AURINO DE PINHO</v>
          </cell>
          <cell r="K1166" t="str">
            <v>CAMPUS CURITIBA</v>
          </cell>
          <cell r="AG1166" t="str">
            <v>NÃO</v>
          </cell>
          <cell r="AI1166">
            <v>40</v>
          </cell>
        </row>
        <row r="1167">
          <cell r="B1167" t="str">
            <v>RICARDO BERNARDO DA SILVA</v>
          </cell>
          <cell r="K1167" t="str">
            <v>CAMPUS LONDRINA</v>
          </cell>
          <cell r="AG1167" t="str">
            <v>SIM</v>
          </cell>
          <cell r="AI1167">
            <v>28</v>
          </cell>
        </row>
        <row r="1168">
          <cell r="B1168" t="str">
            <v>RICARDO CASSIANO NABHEN</v>
          </cell>
          <cell r="K1168" t="str">
            <v>CAMPUS CURITIBA</v>
          </cell>
          <cell r="AG1168" t="str">
            <v>NÃO</v>
          </cell>
          <cell r="AI1168">
            <v>28</v>
          </cell>
        </row>
        <row r="1169">
          <cell r="B1169" t="str">
            <v>RICARDO CESAR LOPES</v>
          </cell>
          <cell r="K1169" t="str">
            <v>CAMPUS TOLEDO</v>
          </cell>
          <cell r="AG1169" t="str">
            <v>NÃO</v>
          </cell>
          <cell r="AI1169">
            <v>0</v>
          </cell>
        </row>
        <row r="1170">
          <cell r="B1170" t="str">
            <v>RICARDO DE AMORIM CINI</v>
          </cell>
          <cell r="K1170" t="str">
            <v>CAMPUS CURITIBA</v>
          </cell>
          <cell r="AG1170" t="str">
            <v>SIM</v>
          </cell>
          <cell r="AI1170">
            <v>20</v>
          </cell>
        </row>
        <row r="1171">
          <cell r="B1171" t="str">
            <v>RICARDO DIEGO TORRES</v>
          </cell>
          <cell r="K1171" t="str">
            <v>CAMPUS CURITIBA</v>
          </cell>
          <cell r="AG1171" t="str">
            <v>NÃO</v>
          </cell>
          <cell r="AI1171">
            <v>32</v>
          </cell>
        </row>
        <row r="1172">
          <cell r="B1172" t="str">
            <v>RICARDO HENRIQUE DIAS</v>
          </cell>
          <cell r="K1172" t="str">
            <v>CAMPUS CURITIBA</v>
          </cell>
          <cell r="AG1172" t="str">
            <v>SIM</v>
          </cell>
          <cell r="AI1172">
            <v>10</v>
          </cell>
        </row>
        <row r="1173">
          <cell r="B1173" t="str">
            <v>RICARDO JOSE BERTIN</v>
          </cell>
          <cell r="K1173" t="str">
            <v>CAMPUS CURITIBA</v>
          </cell>
          <cell r="AG1173" t="str">
            <v>SIM</v>
          </cell>
          <cell r="AI1173">
            <v>12</v>
          </cell>
        </row>
        <row r="1174">
          <cell r="B1174" t="str">
            <v>RICARDO KURESKI</v>
          </cell>
          <cell r="K1174" t="str">
            <v>CAMPUS CURITIBA</v>
          </cell>
          <cell r="AG1174" t="str">
            <v>SIM</v>
          </cell>
          <cell r="AI1174">
            <v>4</v>
          </cell>
        </row>
        <row r="1175">
          <cell r="B1175" t="str">
            <v>RICARDO LEMES DA ROSA</v>
          </cell>
          <cell r="K1175" t="str">
            <v>CAMPUS CURITIBA</v>
          </cell>
          <cell r="AG1175" t="str">
            <v>SIM</v>
          </cell>
          <cell r="AI1175">
            <v>30</v>
          </cell>
        </row>
        <row r="1176">
          <cell r="B1176" t="str">
            <v>RICARDO LUCATTO BAIDA</v>
          </cell>
          <cell r="K1176" t="str">
            <v>CAMPUS LONDRINA</v>
          </cell>
          <cell r="AG1176" t="str">
            <v>SIM</v>
          </cell>
          <cell r="AI1176">
            <v>14</v>
          </cell>
        </row>
        <row r="1177">
          <cell r="B1177" t="str">
            <v>RICARDO NUNES</v>
          </cell>
          <cell r="K1177" t="str">
            <v>CAMPUS CURITIBA</v>
          </cell>
          <cell r="AG1177" t="str">
            <v>NÃO</v>
          </cell>
          <cell r="AI1177">
            <v>0</v>
          </cell>
        </row>
        <row r="1178">
          <cell r="B1178" t="str">
            <v>RICARDO PADILHA VIANNA FILHO</v>
          </cell>
          <cell r="K1178" t="str">
            <v>CAMPUS CURITIBA</v>
          </cell>
          <cell r="AG1178" t="str">
            <v>SIM</v>
          </cell>
          <cell r="AI1178">
            <v>14</v>
          </cell>
        </row>
        <row r="1179">
          <cell r="B1179" t="str">
            <v>RITA DE CASSIA CORREA DE VASCONCELOS</v>
          </cell>
          <cell r="K1179" t="str">
            <v>CAMPUS CURITIBA</v>
          </cell>
          <cell r="AG1179" t="str">
            <v>SIM</v>
          </cell>
          <cell r="AI1179">
            <v>4</v>
          </cell>
        </row>
        <row r="1180">
          <cell r="B1180" t="str">
            <v>RITA MARIA VENANCIO MANGRICH ROCHA</v>
          </cell>
          <cell r="K1180" t="str">
            <v>CAMPUS CURITIBA</v>
          </cell>
          <cell r="AG1180" t="str">
            <v>SIM</v>
          </cell>
          <cell r="AI1180">
            <v>24</v>
          </cell>
        </row>
        <row r="1181">
          <cell r="B1181" t="str">
            <v>ROBERTA CAROLINA DE AFONSECA E SILVA</v>
          </cell>
          <cell r="K1181" t="str">
            <v>CAMPUS LONDRINA</v>
          </cell>
          <cell r="AG1181" t="str">
            <v>SIM</v>
          </cell>
          <cell r="AI1181">
            <v>4</v>
          </cell>
        </row>
        <row r="1182">
          <cell r="B1182" t="str">
            <v>ROBERTA FERRARI DE SA</v>
          </cell>
          <cell r="K1182" t="str">
            <v>CAMPUS CURITIBA</v>
          </cell>
          <cell r="AG1182" t="str">
            <v>SIM</v>
          </cell>
          <cell r="AI1182">
            <v>0</v>
          </cell>
        </row>
        <row r="1183">
          <cell r="B1183" t="str">
            <v>ROBERTH MINIGUINE TAVANTI</v>
          </cell>
          <cell r="K1183" t="str">
            <v>CAMPUS LONDRINA</v>
          </cell>
          <cell r="AG1183" t="str">
            <v>SIM</v>
          </cell>
          <cell r="AI1183">
            <v>23</v>
          </cell>
        </row>
        <row r="1184">
          <cell r="B1184" t="str">
            <v>ROBERTO BORGES FRANCA</v>
          </cell>
          <cell r="K1184" t="str">
            <v>CAMPUS CURITIBA</v>
          </cell>
          <cell r="AG1184" t="str">
            <v>SIM</v>
          </cell>
          <cell r="AI1184">
            <v>20</v>
          </cell>
        </row>
        <row r="1185">
          <cell r="B1185" t="str">
            <v>ROBERTO FLAVIO SILVA PECOITS FILHO</v>
          </cell>
          <cell r="K1185" t="str">
            <v>CAMPUS CURITIBA</v>
          </cell>
          <cell r="AG1185" t="str">
            <v>NÃO</v>
          </cell>
          <cell r="AI1185">
            <v>20</v>
          </cell>
        </row>
        <row r="1186">
          <cell r="B1186" t="str">
            <v>ROBERTO FRANZINI TIBALDEO</v>
          </cell>
          <cell r="K1186" t="str">
            <v>CAMPUS CURITIBA</v>
          </cell>
          <cell r="AG1186" t="str">
            <v>NÃO</v>
          </cell>
          <cell r="AI1186">
            <v>32</v>
          </cell>
        </row>
        <row r="1187">
          <cell r="B1187" t="str">
            <v>ROBERTO GOMES TARLE</v>
          </cell>
          <cell r="K1187" t="str">
            <v>CAMPUS CURITIBA</v>
          </cell>
          <cell r="AG1187" t="str">
            <v>SIM</v>
          </cell>
          <cell r="AI1187">
            <v>6</v>
          </cell>
        </row>
        <row r="1188">
          <cell r="B1188" t="str">
            <v>ROBERTO HIROCHI HERAI</v>
          </cell>
          <cell r="K1188" t="str">
            <v>CAMPUS CURITIBA</v>
          </cell>
          <cell r="AG1188" t="str">
            <v>NÃO</v>
          </cell>
          <cell r="AI1188">
            <v>38</v>
          </cell>
        </row>
        <row r="1189">
          <cell r="B1189" t="str">
            <v>ROBERTO MASAHIKO AOKI</v>
          </cell>
          <cell r="K1189" t="str">
            <v>CAMPUS LONDRINA</v>
          </cell>
          <cell r="AG1189" t="str">
            <v>SIM</v>
          </cell>
          <cell r="AI1189">
            <v>4</v>
          </cell>
        </row>
        <row r="1190">
          <cell r="B1190" t="str">
            <v>ROBERTO NENTWIG</v>
          </cell>
          <cell r="K1190" t="str">
            <v>CAMPUS CURITIBA</v>
          </cell>
          <cell r="AG1190" t="str">
            <v>SIM</v>
          </cell>
          <cell r="AI1190">
            <v>0</v>
          </cell>
        </row>
        <row r="1191">
          <cell r="B1191" t="str">
            <v>ROBERTO SAMPAIO</v>
          </cell>
          <cell r="K1191" t="str">
            <v>CAMPUS CURITIBA</v>
          </cell>
          <cell r="AG1191" t="str">
            <v>SIM</v>
          </cell>
          <cell r="AI1191">
            <v>4</v>
          </cell>
        </row>
        <row r="1192">
          <cell r="B1192" t="str">
            <v>ROBSON IVAN STIVAL</v>
          </cell>
          <cell r="K1192" t="str">
            <v>CAMPUS CURITIBA</v>
          </cell>
          <cell r="AG1192" t="str">
            <v>SIM</v>
          </cell>
          <cell r="AI1192">
            <v>2</v>
          </cell>
        </row>
        <row r="1193">
          <cell r="B1193" t="str">
            <v>RODOLFO STANCKI SILVA</v>
          </cell>
          <cell r="K1193" t="str">
            <v>CAMPUS CURITIBA</v>
          </cell>
          <cell r="AG1193" t="str">
            <v>SIM</v>
          </cell>
          <cell r="AI1193">
            <v>18</v>
          </cell>
        </row>
        <row r="1194">
          <cell r="B1194" t="str">
            <v>RODRIGO ALVARENGA</v>
          </cell>
          <cell r="K1194" t="str">
            <v>CAMPUS CURITIBA</v>
          </cell>
          <cell r="AG1194" t="str">
            <v>NÃO</v>
          </cell>
          <cell r="AI1194">
            <v>32</v>
          </cell>
        </row>
        <row r="1195">
          <cell r="B1195" t="str">
            <v>RODRIGO CAMPAGNOLO</v>
          </cell>
          <cell r="K1195" t="str">
            <v>CAMPUS TOLEDO</v>
          </cell>
          <cell r="AG1195" t="str">
            <v>SIM</v>
          </cell>
          <cell r="AI1195">
            <v>20</v>
          </cell>
        </row>
        <row r="1196">
          <cell r="B1196" t="str">
            <v>RODRIGO DE ANDRADE KERSTEN</v>
          </cell>
          <cell r="K1196" t="str">
            <v>CAMPUS CURITIBA</v>
          </cell>
          <cell r="AG1196" t="str">
            <v>SIM</v>
          </cell>
          <cell r="AI1196">
            <v>24</v>
          </cell>
        </row>
        <row r="1197">
          <cell r="B1197" t="str">
            <v>RODRIGO ENGELBERT</v>
          </cell>
          <cell r="K1197" t="str">
            <v>CAMPUS CURITIBA</v>
          </cell>
          <cell r="AG1197" t="str">
            <v>SIM</v>
          </cell>
          <cell r="AI1197">
            <v>0</v>
          </cell>
        </row>
        <row r="1198">
          <cell r="B1198" t="str">
            <v>RODRIGO FREESE GONZATTO</v>
          </cell>
          <cell r="K1198" t="str">
            <v>CAMPUS CURITIBA</v>
          </cell>
          <cell r="AG1198" t="str">
            <v>SIM</v>
          </cell>
          <cell r="AI1198">
            <v>24</v>
          </cell>
        </row>
        <row r="1199">
          <cell r="B1199" t="str">
            <v>RODRIGO GOMES DE OLIVEIRA</v>
          </cell>
          <cell r="K1199" t="str">
            <v>CAMPUS LONDRINA</v>
          </cell>
          <cell r="AG1199" t="str">
            <v>SIM</v>
          </cell>
          <cell r="AI1199">
            <v>10</v>
          </cell>
        </row>
        <row r="1200">
          <cell r="B1200" t="str">
            <v>RODRIGO JOSE FIRMINO</v>
          </cell>
          <cell r="K1200" t="str">
            <v>CAMPUS CURITIBA</v>
          </cell>
          <cell r="AG1200" t="str">
            <v>NÃO</v>
          </cell>
          <cell r="AI1200">
            <v>40</v>
          </cell>
        </row>
        <row r="1201">
          <cell r="B1201" t="str">
            <v>RODRIGO LANGE</v>
          </cell>
          <cell r="K1201" t="str">
            <v>CAMPUS CURITIBA</v>
          </cell>
          <cell r="AG1201" t="str">
            <v>SIM</v>
          </cell>
          <cell r="AI1201">
            <v>0</v>
          </cell>
        </row>
        <row r="1202">
          <cell r="B1202" t="str">
            <v>RODRIGO LEITE SOUZA ENOQUE</v>
          </cell>
          <cell r="K1202" t="str">
            <v>CAMPUS CURITIBA</v>
          </cell>
          <cell r="AG1202" t="str">
            <v>SIM</v>
          </cell>
          <cell r="AI1202">
            <v>2</v>
          </cell>
        </row>
        <row r="1203">
          <cell r="B1203" t="str">
            <v>RODRIGO LUIS VOGT</v>
          </cell>
          <cell r="K1203" t="str">
            <v>CAMPUS TOLEDO</v>
          </cell>
          <cell r="AG1203" t="str">
            <v>SIM</v>
          </cell>
          <cell r="AI1203">
            <v>9</v>
          </cell>
        </row>
        <row r="1204">
          <cell r="B1204" t="str">
            <v>RODRIGO MORAES DA SILVEIRA</v>
          </cell>
          <cell r="K1204" t="str">
            <v>CAMPUS CURITIBA</v>
          </cell>
          <cell r="AG1204" t="str">
            <v>SIM</v>
          </cell>
          <cell r="AI1204">
            <v>30</v>
          </cell>
        </row>
        <row r="1205">
          <cell r="B1205" t="str">
            <v>RODRIGO NUNES RACHED</v>
          </cell>
          <cell r="K1205" t="str">
            <v>CAMPUS CURITIBA</v>
          </cell>
          <cell r="AG1205" t="str">
            <v>NÃO</v>
          </cell>
          <cell r="AI1205">
            <v>31</v>
          </cell>
        </row>
        <row r="1206">
          <cell r="B1206" t="str">
            <v>RODRIGO OTAVIO SCHNEIDER RIBEIRO</v>
          </cell>
          <cell r="K1206" t="str">
            <v>CAMPUS CURITIBA</v>
          </cell>
          <cell r="AG1206" t="str">
            <v>SIM</v>
          </cell>
          <cell r="AI1206">
            <v>10</v>
          </cell>
        </row>
        <row r="1207">
          <cell r="B1207" t="str">
            <v>RODRIGO PASTI</v>
          </cell>
          <cell r="K1207" t="str">
            <v>CAMPUS CURITIBA</v>
          </cell>
          <cell r="AG1207" t="str">
            <v>NÃO</v>
          </cell>
          <cell r="AI1207">
            <v>26</v>
          </cell>
        </row>
        <row r="1208">
          <cell r="B1208" t="str">
            <v>RODRIGO PEIXOTO CAMPOS</v>
          </cell>
          <cell r="K1208" t="str">
            <v>CAMPUS CURITIBA</v>
          </cell>
          <cell r="AG1208" t="str">
            <v>SIM</v>
          </cell>
          <cell r="AI1208">
            <v>8</v>
          </cell>
        </row>
        <row r="1209">
          <cell r="B1209" t="str">
            <v>RODRIGO SANCHEZ RIOS</v>
          </cell>
          <cell r="K1209" t="str">
            <v>CAMPUS CURITIBA</v>
          </cell>
          <cell r="AG1209" t="str">
            <v>NÃO</v>
          </cell>
          <cell r="AI1209">
            <v>30</v>
          </cell>
        </row>
        <row r="1210">
          <cell r="B1210" t="str">
            <v>RODRIGO TAVORA MIRA</v>
          </cell>
          <cell r="K1210" t="str">
            <v>CAMPUS CURITIBA</v>
          </cell>
          <cell r="AG1210" t="str">
            <v>SIM</v>
          </cell>
          <cell r="AI1210">
            <v>28</v>
          </cell>
        </row>
        <row r="1211">
          <cell r="B1211" t="str">
            <v>ROGERIO DE FRAGA</v>
          </cell>
          <cell r="K1211" t="str">
            <v>CAMPUS CURITIBA</v>
          </cell>
          <cell r="AG1211" t="str">
            <v>SIM</v>
          </cell>
          <cell r="AI1211">
            <v>10</v>
          </cell>
        </row>
        <row r="1212">
          <cell r="B1212" t="str">
            <v>ROGERIO GOULART DA COSTA</v>
          </cell>
          <cell r="K1212" t="str">
            <v>CAMPUS CURITIBA</v>
          </cell>
          <cell r="AG1212" t="str">
            <v>SIM</v>
          </cell>
          <cell r="AI1212">
            <v>4</v>
          </cell>
        </row>
        <row r="1213">
          <cell r="B1213" t="str">
            <v>ROGERIO LUIZ AIRES LIMA</v>
          </cell>
          <cell r="K1213" t="str">
            <v>CAMPUS LONDRINA</v>
          </cell>
          <cell r="AG1213" t="str">
            <v>NÃO</v>
          </cell>
          <cell r="AI1213">
            <v>31</v>
          </cell>
        </row>
        <row r="1214">
          <cell r="B1214" t="str">
            <v>ROGERIO RENATO MATEUCCI</v>
          </cell>
          <cell r="K1214" t="str">
            <v>CAMPUS CURITIBA</v>
          </cell>
          <cell r="AG1214" t="str">
            <v>SIM</v>
          </cell>
          <cell r="AI1214">
            <v>0</v>
          </cell>
        </row>
        <row r="1215">
          <cell r="B1215" t="str">
            <v>ROGERIO TONIOLO</v>
          </cell>
          <cell r="K1215" t="str">
            <v>CAMPUS CURITIBA</v>
          </cell>
          <cell r="AG1215" t="str">
            <v>SIM</v>
          </cell>
          <cell r="AI1215">
            <v>10</v>
          </cell>
        </row>
        <row r="1216">
          <cell r="B1216" t="str">
            <v>ROLNEI RUA DAROS</v>
          </cell>
          <cell r="K1216" t="str">
            <v>CAMPUS CURITIBA</v>
          </cell>
          <cell r="AG1216" t="str">
            <v>NÃO</v>
          </cell>
          <cell r="AI1216">
            <v>35</v>
          </cell>
        </row>
        <row r="1217">
          <cell r="B1217" t="str">
            <v>RONALDO ADRIANO ALVES DOS SANTOS</v>
          </cell>
          <cell r="K1217" t="str">
            <v>CAMPUS TOLEDO</v>
          </cell>
          <cell r="AG1217" t="str">
            <v>NÃO</v>
          </cell>
          <cell r="AI1217">
            <v>34</v>
          </cell>
        </row>
        <row r="1218">
          <cell r="B1218" t="str">
            <v>RONALDO SILVEIRA DE PAIVA</v>
          </cell>
          <cell r="K1218" t="str">
            <v>CAMPUS LONDRINA</v>
          </cell>
          <cell r="AG1218" t="str">
            <v>SIM</v>
          </cell>
          <cell r="AI1218">
            <v>12</v>
          </cell>
        </row>
        <row r="1219">
          <cell r="B1219" t="str">
            <v>ROSA LYDIA TEIXEIRA CORREA</v>
          </cell>
          <cell r="K1219" t="str">
            <v>CAMPUS CURITIBA</v>
          </cell>
          <cell r="AG1219" t="str">
            <v>NÃO</v>
          </cell>
          <cell r="AI1219">
            <v>32</v>
          </cell>
        </row>
        <row r="1220">
          <cell r="B1220" t="str">
            <v>ROSANA APARECIDA DE ANDRADE</v>
          </cell>
          <cell r="K1220" t="str">
            <v>CAMPUS CURITIBA</v>
          </cell>
          <cell r="AG1220" t="str">
            <v>NÃO</v>
          </cell>
          <cell r="AI1220">
            <v>0</v>
          </cell>
        </row>
        <row r="1221">
          <cell r="B1221" t="str">
            <v>ROSANE DE MELLO SANTO NICOLA</v>
          </cell>
          <cell r="K1221" t="str">
            <v>CAMPUS CURITIBA</v>
          </cell>
          <cell r="AG1221" t="str">
            <v>SIM</v>
          </cell>
          <cell r="AI1221">
            <v>23</v>
          </cell>
        </row>
        <row r="1222">
          <cell r="B1222" t="str">
            <v>ROSANI KUCARZ DA CUNHA</v>
          </cell>
          <cell r="K1222" t="str">
            <v>CAMPUS CURITIBA</v>
          </cell>
          <cell r="AG1222" t="str">
            <v>SIM</v>
          </cell>
          <cell r="AI1222">
            <v>0</v>
          </cell>
        </row>
        <row r="1223">
          <cell r="B1223" t="str">
            <v>ROSILENE FERNANDES</v>
          </cell>
          <cell r="K1223" t="str">
            <v>CAMPUS CURITIBA</v>
          </cell>
          <cell r="AG1223" t="str">
            <v>SIM</v>
          </cell>
          <cell r="AI1223">
            <v>12</v>
          </cell>
        </row>
        <row r="1224">
          <cell r="B1224" t="str">
            <v>ROSIMEIRE SEDREZ BITENCOURT</v>
          </cell>
          <cell r="K1224" t="str">
            <v>CAMPUS CURITIBA</v>
          </cell>
          <cell r="AG1224" t="str">
            <v>SIM</v>
          </cell>
          <cell r="AI1224">
            <v>9</v>
          </cell>
        </row>
        <row r="1225">
          <cell r="B1225" t="str">
            <v>ROSSANA AMIN GRACIANO DE RESENDE</v>
          </cell>
          <cell r="K1225" t="str">
            <v>CAMPUS LONDRINA</v>
          </cell>
          <cell r="AG1225" t="str">
            <v>SIM</v>
          </cell>
          <cell r="AI1225">
            <v>12</v>
          </cell>
        </row>
        <row r="1226">
          <cell r="B1226" t="str">
            <v>RUDA RYUITI FURUKITA BAPTISTA</v>
          </cell>
          <cell r="K1226" t="str">
            <v>CAMPUS LONDRINA</v>
          </cell>
          <cell r="AG1226" t="str">
            <v>SIM</v>
          </cell>
          <cell r="AI1226">
            <v>6</v>
          </cell>
        </row>
        <row r="1227">
          <cell r="B1227" t="str">
            <v>RUDIGER DANIEL OLLHOFF</v>
          </cell>
          <cell r="K1227" t="str">
            <v>CAMPUS CURITIBA</v>
          </cell>
          <cell r="AG1227" t="str">
            <v>NÃO</v>
          </cell>
          <cell r="AI1227">
            <v>34</v>
          </cell>
        </row>
        <row r="1228">
          <cell r="B1228" t="str">
            <v>RUDOLF EDUARD VON SINNER</v>
          </cell>
          <cell r="K1228" t="str">
            <v>CAMPUS CURITIBA</v>
          </cell>
          <cell r="AG1228" t="str">
            <v>NÃO</v>
          </cell>
          <cell r="AI1228">
            <v>40</v>
          </cell>
        </row>
        <row r="1229">
          <cell r="B1229" t="str">
            <v>RUI BARROSO SCHIMITI</v>
          </cell>
          <cell r="K1229" t="str">
            <v>CAMPUS LONDRINA</v>
          </cell>
          <cell r="AG1229" t="str">
            <v>SIM</v>
          </cell>
          <cell r="AI1229">
            <v>9</v>
          </cell>
        </row>
        <row r="1230">
          <cell r="B1230" t="str">
            <v>RUY INACIO NEIVA DE CARVALHO</v>
          </cell>
          <cell r="K1230" t="str">
            <v>CAMPUS CURITIBA</v>
          </cell>
          <cell r="AG1230" t="str">
            <v>SIM</v>
          </cell>
          <cell r="AI1230">
            <v>31</v>
          </cell>
        </row>
        <row r="1231">
          <cell r="B1231" t="str">
            <v>SALMA ALI EL CHAB PAROLIN</v>
          </cell>
          <cell r="K1231" t="str">
            <v>CAMPUS CURITIBA</v>
          </cell>
          <cell r="AG1231" t="str">
            <v>SIM</v>
          </cell>
          <cell r="AI1231">
            <v>22</v>
          </cell>
        </row>
        <row r="1232">
          <cell r="B1232" t="str">
            <v>SAMARAH PERSZEL DE FREITAS</v>
          </cell>
          <cell r="K1232" t="str">
            <v>CAMPUS CURITIBA</v>
          </cell>
          <cell r="AG1232" t="str">
            <v>SIM</v>
          </cell>
          <cell r="AI1232">
            <v>11</v>
          </cell>
        </row>
        <row r="1233">
          <cell r="B1233" t="str">
            <v>SANDRA BATISTA DA COSTA</v>
          </cell>
          <cell r="K1233" t="str">
            <v>CAMPUS CURITIBA</v>
          </cell>
          <cell r="AG1233" t="str">
            <v>SIM</v>
          </cell>
          <cell r="AI1233">
            <v>5</v>
          </cell>
        </row>
        <row r="1234">
          <cell r="B1234" t="str">
            <v>SANDRA CRISTINA BOUFLEUR</v>
          </cell>
          <cell r="K1234" t="str">
            <v>CAMPUS TOLEDO</v>
          </cell>
          <cell r="AG1234" t="str">
            <v>SIM</v>
          </cell>
          <cell r="AI1234">
            <v>4</v>
          </cell>
        </row>
        <row r="1235">
          <cell r="B1235" t="str">
            <v>SANDRA JOIA MIZRAHI JAKOBSON</v>
          </cell>
          <cell r="K1235" t="str">
            <v>CAMPUS CURITIBA</v>
          </cell>
          <cell r="AG1235" t="str">
            <v>SIM</v>
          </cell>
          <cell r="AI1235">
            <v>3</v>
          </cell>
        </row>
        <row r="1236">
          <cell r="B1236" t="str">
            <v>SANDRA MARA FLUGEL ASSAD</v>
          </cell>
          <cell r="K1236" t="str">
            <v>CAMPUS CURITIBA</v>
          </cell>
          <cell r="AG1236" t="str">
            <v>SIM</v>
          </cell>
          <cell r="AI1236">
            <v>2</v>
          </cell>
        </row>
        <row r="1237">
          <cell r="B1237" t="str">
            <v>SANDRA MARIA MATTAR DIAZ</v>
          </cell>
          <cell r="K1237" t="str">
            <v>CAMPUS CURITIBA</v>
          </cell>
          <cell r="AG1237" t="str">
            <v>SIM</v>
          </cell>
          <cell r="AI1237">
            <v>12</v>
          </cell>
        </row>
        <row r="1238">
          <cell r="B1238" t="str">
            <v>SANDRA REGINA CABEL</v>
          </cell>
          <cell r="K1238" t="str">
            <v>CAMPUS CURITIBA</v>
          </cell>
          <cell r="AG1238" t="str">
            <v>SIM</v>
          </cell>
          <cell r="AI1238">
            <v>18</v>
          </cell>
        </row>
        <row r="1239">
          <cell r="B1239" t="str">
            <v>SANDRO FERREIRA</v>
          </cell>
          <cell r="K1239" t="str">
            <v>CAMPUS LONDRINA</v>
          </cell>
          <cell r="AG1239" t="str">
            <v>SIM</v>
          </cell>
          <cell r="AI1239">
            <v>1</v>
          </cell>
        </row>
        <row r="1240">
          <cell r="B1240" t="str">
            <v>SARA REGINA HOKAI</v>
          </cell>
          <cell r="K1240" t="str">
            <v>CAMPUS CURITIBA</v>
          </cell>
          <cell r="AG1240" t="str">
            <v>SIM</v>
          </cell>
          <cell r="AI1240">
            <v>32</v>
          </cell>
        </row>
        <row r="1241">
          <cell r="B1241" t="str">
            <v>SARAH FAGUNDES GROBE</v>
          </cell>
          <cell r="K1241" t="str">
            <v>CAMPUS CURITIBA</v>
          </cell>
          <cell r="AG1241" t="str">
            <v>SIM</v>
          </cell>
          <cell r="AI1241">
            <v>13</v>
          </cell>
        </row>
        <row r="1242">
          <cell r="B1242" t="str">
            <v>SARAH SGAVIOLI</v>
          </cell>
          <cell r="K1242" t="str">
            <v>CAMPUS CURITIBA</v>
          </cell>
          <cell r="AG1242" t="str">
            <v>NÃO</v>
          </cell>
          <cell r="AI1242">
            <v>33</v>
          </cell>
        </row>
        <row r="1243">
          <cell r="B1243" t="str">
            <v>SAULO HENRIQUE WEBER</v>
          </cell>
          <cell r="K1243" t="str">
            <v>CAMPUS CURITIBA</v>
          </cell>
          <cell r="AG1243" t="str">
            <v>NÃO</v>
          </cell>
          <cell r="AI1243">
            <v>30</v>
          </cell>
        </row>
        <row r="1244">
          <cell r="B1244" t="str">
            <v>SAULO PFEFFER GEBER</v>
          </cell>
          <cell r="K1244" t="str">
            <v>CAMPUS CURITIBA</v>
          </cell>
          <cell r="AG1244" t="str">
            <v>NÃO</v>
          </cell>
          <cell r="AI1244">
            <v>40</v>
          </cell>
        </row>
        <row r="1245">
          <cell r="B1245" t="str">
            <v>SAULO VINICIUS DA ROSA</v>
          </cell>
          <cell r="K1245" t="str">
            <v>CAMPUS CURITIBA</v>
          </cell>
          <cell r="AG1245" t="str">
            <v>SIM</v>
          </cell>
          <cell r="AI1245">
            <v>4</v>
          </cell>
        </row>
        <row r="1246">
          <cell r="B1246" t="str">
            <v>SELENE ELIFIO ESPOSITO</v>
          </cell>
          <cell r="K1246" t="str">
            <v>CAMPUS CURITIBA</v>
          </cell>
          <cell r="AG1246" t="str">
            <v>NÃO</v>
          </cell>
          <cell r="AI1246">
            <v>38</v>
          </cell>
        </row>
        <row r="1247">
          <cell r="B1247" t="str">
            <v>SELMA WOYCIKIEWIZC</v>
          </cell>
          <cell r="K1247" t="str">
            <v>CAMPUS CURITIBA</v>
          </cell>
          <cell r="AG1247" t="str">
            <v>SIM</v>
          </cell>
          <cell r="AI1247">
            <v>4</v>
          </cell>
        </row>
        <row r="1248">
          <cell r="B1248" t="str">
            <v>SERGIO ALEXANDRE LIBLIK</v>
          </cell>
          <cell r="K1248" t="str">
            <v>CAMPUS CURITIBA</v>
          </cell>
          <cell r="AG1248" t="str">
            <v>SIM</v>
          </cell>
          <cell r="AI1248">
            <v>21</v>
          </cell>
        </row>
        <row r="1249">
          <cell r="B1249" t="str">
            <v>SERGIO APARECIDO IGNACIO</v>
          </cell>
          <cell r="K1249" t="str">
            <v>CAMPUS CURITIBA</v>
          </cell>
          <cell r="AG1249" t="str">
            <v>NÃO</v>
          </cell>
          <cell r="AI1249">
            <v>30</v>
          </cell>
        </row>
        <row r="1250">
          <cell r="B1250" t="str">
            <v>SERGIO BARBOSA RODRIGUES</v>
          </cell>
          <cell r="K1250" t="str">
            <v>CAMPUS CURITIBA</v>
          </cell>
          <cell r="AG1250" t="str">
            <v>SIM</v>
          </cell>
          <cell r="AI1250">
            <v>4</v>
          </cell>
        </row>
        <row r="1251">
          <cell r="B1251" t="str">
            <v>SERGIO EDUARDO FONTOURA DA SILVA</v>
          </cell>
          <cell r="K1251" t="str">
            <v>CAMPUS CURITIBA</v>
          </cell>
          <cell r="AG1251" t="str">
            <v>SIM</v>
          </cell>
          <cell r="AI1251">
            <v>14</v>
          </cell>
        </row>
        <row r="1252">
          <cell r="B1252" t="str">
            <v>SERGIO LUIS DO NASCIMENTO</v>
          </cell>
          <cell r="K1252" t="str">
            <v>CAMPUS CURITIBA</v>
          </cell>
          <cell r="AG1252" t="str">
            <v>NÃO</v>
          </cell>
          <cell r="AI1252">
            <v>32</v>
          </cell>
        </row>
        <row r="1253">
          <cell r="B1253" t="str">
            <v>SERGIO LUIZ MANENTI</v>
          </cell>
          <cell r="K1253" t="str">
            <v>CAMPUS CURITIBA</v>
          </cell>
          <cell r="AG1253" t="str">
            <v>SIM</v>
          </cell>
          <cell r="AI1253">
            <v>16</v>
          </cell>
        </row>
        <row r="1254">
          <cell r="B1254" t="str">
            <v>SERGIO OSSAMU IOSHII</v>
          </cell>
          <cell r="K1254" t="str">
            <v>CAMPUS CURITIBA</v>
          </cell>
          <cell r="AG1254" t="str">
            <v>NÃO</v>
          </cell>
          <cell r="AI1254">
            <v>36</v>
          </cell>
        </row>
        <row r="1255">
          <cell r="B1255" t="str">
            <v>SHEILA DO ROCIO CERCAL SANTOS LEAL</v>
          </cell>
          <cell r="K1255" t="str">
            <v>CAMPUS CURITIBA</v>
          </cell>
          <cell r="AG1255" t="str">
            <v>SIM</v>
          </cell>
          <cell r="AI1255">
            <v>8</v>
          </cell>
        </row>
        <row r="1256">
          <cell r="B1256" t="str">
            <v>SHEILA DOS SANTOS REINEHR</v>
          </cell>
          <cell r="K1256" t="str">
            <v>CAMPUS CURITIBA</v>
          </cell>
          <cell r="AG1256" t="str">
            <v>NÃO</v>
          </cell>
          <cell r="AI1256">
            <v>34</v>
          </cell>
        </row>
        <row r="1257">
          <cell r="B1257" t="str">
            <v>SHELDON RODRIGO BOTOGOSKI</v>
          </cell>
          <cell r="K1257" t="str">
            <v>CAMPUS CURITIBA</v>
          </cell>
          <cell r="AG1257" t="str">
            <v>SIM</v>
          </cell>
          <cell r="AI1257">
            <v>29</v>
          </cell>
        </row>
        <row r="1258">
          <cell r="B1258" t="str">
            <v>SHEYLA CRISTINA DA SILVA</v>
          </cell>
          <cell r="K1258" t="str">
            <v>CAMPUS CURITIBA</v>
          </cell>
          <cell r="AG1258" t="str">
            <v>NÃO</v>
          </cell>
          <cell r="AI1258">
            <v>0</v>
          </cell>
        </row>
        <row r="1259">
          <cell r="B1259" t="str">
            <v>SHEYLA MARA CORAIOLA</v>
          </cell>
          <cell r="K1259" t="str">
            <v>CAMPUS CURITIBA</v>
          </cell>
          <cell r="AG1259" t="str">
            <v>NÃO</v>
          </cell>
          <cell r="AI1259">
            <v>40</v>
          </cell>
        </row>
        <row r="1260">
          <cell r="B1260" t="str">
            <v>SHIMENY MICHELATO YOSHIY</v>
          </cell>
          <cell r="K1260" t="str">
            <v>CAMPUS LONDRINA</v>
          </cell>
          <cell r="AG1260" t="str">
            <v>SIM</v>
          </cell>
          <cell r="AI1260">
            <v>10</v>
          </cell>
        </row>
        <row r="1261">
          <cell r="B1261" t="str">
            <v>SIDNEI RINALDO PRIOLO FILHO</v>
          </cell>
          <cell r="K1261" t="str">
            <v>Campus Curitiba</v>
          </cell>
          <cell r="AG1261" t="str">
            <v>SIM</v>
          </cell>
          <cell r="AI1261">
            <v>12</v>
          </cell>
        </row>
        <row r="1262">
          <cell r="B1262" t="str">
            <v>SILVANA TASCHEK HASTREITER</v>
          </cell>
          <cell r="K1262" t="str">
            <v>CAMPUS CURITIBA</v>
          </cell>
          <cell r="AG1262" t="str">
            <v>NÃO</v>
          </cell>
          <cell r="AI1262">
            <v>32</v>
          </cell>
        </row>
        <row r="1263">
          <cell r="B1263" t="str">
            <v>SILVIA CARREIRA RIBEIRO</v>
          </cell>
          <cell r="K1263" t="str">
            <v>CAMPUS CURITIBA</v>
          </cell>
          <cell r="AG1263" t="str">
            <v>SIM</v>
          </cell>
          <cell r="AI1263">
            <v>10</v>
          </cell>
        </row>
        <row r="1264">
          <cell r="B1264" t="str">
            <v>SILVIA HELENA DOS SANTOS GAJARDONI FARGES</v>
          </cell>
          <cell r="K1264" t="str">
            <v>CAMPUS LONDRINA</v>
          </cell>
          <cell r="AG1264" t="str">
            <v>SIM</v>
          </cell>
          <cell r="AI1264">
            <v>27</v>
          </cell>
        </row>
        <row r="1265">
          <cell r="B1265" t="str">
            <v>SILVIA KARLA AZEVEDO VIEIRA ANDRADE</v>
          </cell>
          <cell r="K1265" t="str">
            <v>CAMPUS LONDRINA</v>
          </cell>
          <cell r="AG1265" t="str">
            <v>SIM</v>
          </cell>
          <cell r="AI1265">
            <v>8</v>
          </cell>
        </row>
        <row r="1266">
          <cell r="B1266" t="str">
            <v>SILVIA MARIA DE MORAES MONTEIRO PAZELLO</v>
          </cell>
          <cell r="K1266" t="str">
            <v>CAMPUS CURITIBA</v>
          </cell>
          <cell r="AG1266" t="str">
            <v>SIM</v>
          </cell>
          <cell r="AI1266">
            <v>14</v>
          </cell>
        </row>
        <row r="1267">
          <cell r="B1267" t="str">
            <v>SILVIA MIDORI YANAI MIYAZAKI</v>
          </cell>
          <cell r="K1267" t="str">
            <v>CAMPUS CURITIBA</v>
          </cell>
          <cell r="AG1267" t="str">
            <v>SIM</v>
          </cell>
          <cell r="AI1267">
            <v>16</v>
          </cell>
        </row>
        <row r="1268">
          <cell r="B1268" t="str">
            <v>SILVIA PAULINO RIBEIRO ALBANESE</v>
          </cell>
          <cell r="K1268" t="str">
            <v>CAMPUS LONDRINA</v>
          </cell>
          <cell r="AG1268" t="str">
            <v>SIM</v>
          </cell>
          <cell r="AI1268">
            <v>5</v>
          </cell>
        </row>
        <row r="1269">
          <cell r="B1269" t="str">
            <v>SILVIA SCHMIDLIN KEIL</v>
          </cell>
          <cell r="K1269" t="str">
            <v>CAMPUS CURITIBA</v>
          </cell>
          <cell r="AG1269" t="str">
            <v>SIM</v>
          </cell>
          <cell r="AI1269">
            <v>14</v>
          </cell>
        </row>
        <row r="1270">
          <cell r="B1270" t="str">
            <v>SILVIA TURRA GRECHINSKI</v>
          </cell>
          <cell r="K1270" t="str">
            <v>CAMPUS CURITIBA</v>
          </cell>
          <cell r="AG1270" t="str">
            <v>SIM</v>
          </cell>
          <cell r="AI1270">
            <v>4</v>
          </cell>
        </row>
        <row r="1271">
          <cell r="B1271" t="str">
            <v>SILVIO MIRO FRANCHI</v>
          </cell>
          <cell r="K1271" t="str">
            <v>CAMPUS CURITIBA</v>
          </cell>
          <cell r="AG1271" t="str">
            <v>SIM</v>
          </cell>
          <cell r="AI1271">
            <v>8</v>
          </cell>
        </row>
        <row r="1272">
          <cell r="B1272" t="str">
            <v>SIMONE DO AMARAL CASSILHA</v>
          </cell>
          <cell r="K1272" t="str">
            <v>CAMPUS CURITIBA</v>
          </cell>
          <cell r="AG1272" t="str">
            <v>SIM</v>
          </cell>
          <cell r="AI1272">
            <v>0</v>
          </cell>
        </row>
        <row r="1273">
          <cell r="B1273" t="str">
            <v>SIMONE DOS REIS BRANDAO DA SILVEIRA</v>
          </cell>
          <cell r="K1273" t="str">
            <v>CAMPUS CURITIBA</v>
          </cell>
          <cell r="AG1273" t="str">
            <v>SIM</v>
          </cell>
          <cell r="AI1273">
            <v>26</v>
          </cell>
        </row>
        <row r="1274">
          <cell r="B1274" t="str">
            <v>SIMONE LOPES DOS SANTOS</v>
          </cell>
          <cell r="K1274" t="str">
            <v>CAMPUS CURITIBA</v>
          </cell>
          <cell r="AG1274" t="str">
            <v>NÃO</v>
          </cell>
          <cell r="AI1274">
            <v>0</v>
          </cell>
        </row>
        <row r="1275">
          <cell r="B1275" t="str">
            <v>SIMONE MARIA MALUCELLI PINTO SCHELLENBERG</v>
          </cell>
          <cell r="K1275" t="str">
            <v>CAMPUS CURITIBA</v>
          </cell>
          <cell r="AG1275" t="str">
            <v>SIM</v>
          </cell>
          <cell r="AI1275">
            <v>24</v>
          </cell>
        </row>
        <row r="1276">
          <cell r="B1276" t="str">
            <v>SIMONE PEREIRA SILVA</v>
          </cell>
          <cell r="K1276" t="str">
            <v>CAMPUS TOLEDO</v>
          </cell>
          <cell r="AG1276" t="str">
            <v>SIM</v>
          </cell>
          <cell r="AI1276">
            <v>27</v>
          </cell>
        </row>
        <row r="1277">
          <cell r="B1277" t="str">
            <v>SIRLEY TEREZINHA FILIPAK</v>
          </cell>
          <cell r="K1277" t="str">
            <v>CAMPUS CURITIBA</v>
          </cell>
          <cell r="AG1277" t="str">
            <v>NÃO</v>
          </cell>
          <cell r="AI1277">
            <v>30</v>
          </cell>
        </row>
        <row r="1278">
          <cell r="B1278" t="str">
            <v>SOLANGE DE LIMA BARBOSA</v>
          </cell>
          <cell r="K1278" t="str">
            <v>CAMPUS CURITIBA</v>
          </cell>
          <cell r="AG1278" t="str">
            <v>SIM</v>
          </cell>
          <cell r="AI1278">
            <v>24</v>
          </cell>
        </row>
        <row r="1279">
          <cell r="B1279" t="str">
            <v>SOLANGE FERNANDES</v>
          </cell>
          <cell r="K1279" t="str">
            <v>CAMPUS CURITIBA</v>
          </cell>
          <cell r="AG1279" t="str">
            <v>SIM</v>
          </cell>
          <cell r="AI1279">
            <v>4</v>
          </cell>
        </row>
        <row r="1280">
          <cell r="B1280" t="str">
            <v>SOLANGE VIARO PADILHA</v>
          </cell>
          <cell r="K1280" t="str">
            <v>CAMPUS CURITIBA</v>
          </cell>
          <cell r="AG1280" t="str">
            <v>SIM</v>
          </cell>
          <cell r="AI1280">
            <v>4</v>
          </cell>
        </row>
        <row r="1281">
          <cell r="B1281" t="str">
            <v>SOLIMAR DUTRA DA SILVEIRA</v>
          </cell>
          <cell r="K1281" t="str">
            <v>CAMPUS TOLEDO</v>
          </cell>
          <cell r="AG1281" t="str">
            <v>NÃO</v>
          </cell>
          <cell r="AI1281">
            <v>28</v>
          </cell>
        </row>
        <row r="1282">
          <cell r="B1282" t="str">
            <v>SONIA MARA LUCZYSZYN</v>
          </cell>
          <cell r="K1282" t="str">
            <v>CAMPUS CURITIBA</v>
          </cell>
          <cell r="AG1282" t="str">
            <v>NÃO</v>
          </cell>
          <cell r="AI1282">
            <v>18</v>
          </cell>
        </row>
        <row r="1283">
          <cell r="B1283" t="str">
            <v>SORAYA DE AZAMBUJA BERTI COUTO</v>
          </cell>
          <cell r="K1283" t="str">
            <v>CAMPUS CURITIBA</v>
          </cell>
          <cell r="AG1283" t="str">
            <v>SIM</v>
          </cell>
          <cell r="AI1283">
            <v>3</v>
          </cell>
        </row>
        <row r="1284">
          <cell r="B1284" t="str">
            <v>SUELI ALMEIDA DE OLIVEIRA</v>
          </cell>
          <cell r="K1284" t="str">
            <v>CAMPUS LONDRINA</v>
          </cell>
          <cell r="AG1284" t="str">
            <v>SIM</v>
          </cell>
          <cell r="AI1284">
            <v>2</v>
          </cell>
        </row>
        <row r="1285">
          <cell r="B1285" t="str">
            <v>SUSANNE CRISTINE PERTSCHI BORGES</v>
          </cell>
          <cell r="K1285" t="str">
            <v>CAMPUS CURITIBA</v>
          </cell>
          <cell r="AG1285" t="str">
            <v>NÃO</v>
          </cell>
          <cell r="AI1285">
            <v>40</v>
          </cell>
        </row>
        <row r="1286">
          <cell r="B1286" t="str">
            <v>SUYANNE TOLENTINO DE SOUZA</v>
          </cell>
          <cell r="K1286" t="str">
            <v>CAMPUS CURITIBA</v>
          </cell>
          <cell r="AG1286" t="str">
            <v>NÃO</v>
          </cell>
          <cell r="AI1286">
            <v>34</v>
          </cell>
        </row>
        <row r="1287">
          <cell r="B1287" t="str">
            <v>SUZANA MARIA MENEZES GUARIENTE</v>
          </cell>
          <cell r="K1287" t="str">
            <v>CAMPUS LONDRINA</v>
          </cell>
          <cell r="AG1287" t="str">
            <v>SIM</v>
          </cell>
          <cell r="AI1287">
            <v>13</v>
          </cell>
        </row>
        <row r="1288">
          <cell r="B1288" t="str">
            <v>SUZANA VALASKI</v>
          </cell>
          <cell r="K1288" t="str">
            <v>CAMPUS CURITIBA</v>
          </cell>
          <cell r="AG1288" t="str">
            <v>SIM</v>
          </cell>
          <cell r="AI1288">
            <v>10</v>
          </cell>
        </row>
        <row r="1289">
          <cell r="B1289" t="str">
            <v>SYLVIA RAMOS LEITAO</v>
          </cell>
          <cell r="K1289" t="str">
            <v>CAMPUS CURITIBA</v>
          </cell>
          <cell r="AG1289" t="str">
            <v>SIM</v>
          </cell>
          <cell r="AI1289">
            <v>14</v>
          </cell>
        </row>
        <row r="1290">
          <cell r="B1290" t="str">
            <v>TAILINE LISBOA</v>
          </cell>
          <cell r="K1290" t="str">
            <v>CAMPUS CURITIBA</v>
          </cell>
          <cell r="AG1290" t="str">
            <v>SIM</v>
          </cell>
          <cell r="AI1290">
            <v>19</v>
          </cell>
        </row>
        <row r="1291">
          <cell r="B1291" t="str">
            <v>TAISA VIEIRA SENA</v>
          </cell>
          <cell r="K1291" t="str">
            <v>CAMPUS CURITIBA</v>
          </cell>
          <cell r="AG1291" t="str">
            <v>SIM</v>
          </cell>
          <cell r="AI1291">
            <v>14</v>
          </cell>
        </row>
        <row r="1292">
          <cell r="B1292" t="str">
            <v>TALITA CRISTINA FIDELIS PEREIRA BIAGI</v>
          </cell>
          <cell r="K1292" t="str">
            <v>CAMPUS LONDRINA</v>
          </cell>
          <cell r="AG1292" t="str">
            <v>SIM</v>
          </cell>
          <cell r="AI1292">
            <v>18</v>
          </cell>
        </row>
        <row r="1293">
          <cell r="B1293" t="str">
            <v>TALITA QUINSLER VELOSO</v>
          </cell>
          <cell r="K1293" t="str">
            <v>CAMPUS CURITIBA</v>
          </cell>
          <cell r="AG1293" t="str">
            <v>SIM</v>
          </cell>
          <cell r="AI1293">
            <v>8</v>
          </cell>
        </row>
        <row r="1294">
          <cell r="B1294" t="str">
            <v>TALLES BAZEIA LIMA</v>
          </cell>
          <cell r="K1294" t="str">
            <v>CAMPUS LONDRINA</v>
          </cell>
          <cell r="AG1294" t="str">
            <v>SIM</v>
          </cell>
          <cell r="AI1294">
            <v>8</v>
          </cell>
        </row>
        <row r="1295">
          <cell r="B1295" t="str">
            <v>TANIA CRISTINA SILVA BARBIERI</v>
          </cell>
          <cell r="K1295" t="str">
            <v>CAMPUS CURITIBA</v>
          </cell>
          <cell r="AG1295" t="str">
            <v>SIM</v>
          </cell>
          <cell r="AI1295">
            <v>10</v>
          </cell>
        </row>
        <row r="1296">
          <cell r="B1296" t="str">
            <v>TATIANA LORENA DA LUZ KAESTNER</v>
          </cell>
          <cell r="K1296" t="str">
            <v>CAMPUS CURITIBA</v>
          </cell>
          <cell r="AG1296" t="str">
            <v>SIM</v>
          </cell>
          <cell r="AI1296">
            <v>29</v>
          </cell>
        </row>
        <row r="1297">
          <cell r="B1297" t="str">
            <v>TATIANA MAYUMI VEIGA IRIYODA</v>
          </cell>
          <cell r="K1297" t="str">
            <v>CAMPUS LONDRINA</v>
          </cell>
          <cell r="AG1297" t="str">
            <v>SIM</v>
          </cell>
          <cell r="AI1297">
            <v>19</v>
          </cell>
        </row>
        <row r="1298">
          <cell r="B1298" t="str">
            <v>TATIANA VON HERTWIG FERNANDES DE OLIVEIRA KUMER</v>
          </cell>
          <cell r="K1298" t="str">
            <v>CAMPUS CURITIBA</v>
          </cell>
          <cell r="AG1298" t="str">
            <v>SIM</v>
          </cell>
          <cell r="AI1298">
            <v>8</v>
          </cell>
        </row>
        <row r="1299">
          <cell r="B1299" t="str">
            <v>TATIANE MARY GOGOLA</v>
          </cell>
          <cell r="K1299" t="str">
            <v>CAMPUS TOLEDO</v>
          </cell>
          <cell r="AG1299" t="str">
            <v>SIM</v>
          </cell>
          <cell r="AI1299">
            <v>5</v>
          </cell>
        </row>
        <row r="1300">
          <cell r="B1300" t="str">
            <v>TATIANE ZAHN CARDOSO ROLIM</v>
          </cell>
          <cell r="K1300" t="str">
            <v>CAMPUS CURITIBA</v>
          </cell>
          <cell r="AG1300" t="str">
            <v>SIM</v>
          </cell>
          <cell r="AI1300">
            <v>2</v>
          </cell>
        </row>
        <row r="1301">
          <cell r="B1301" t="str">
            <v>TATIANY HONORIO PORTO AOKI</v>
          </cell>
          <cell r="K1301" t="str">
            <v>CAMPUS CURITIBA</v>
          </cell>
          <cell r="AG1301" t="str">
            <v>SIM</v>
          </cell>
          <cell r="AI1301">
            <v>8</v>
          </cell>
        </row>
        <row r="1302">
          <cell r="B1302" t="str">
            <v>TELMA BLANCA LOMBARDO BEDRAN</v>
          </cell>
          <cell r="K1302" t="str">
            <v>CAMPUS CURITIBA</v>
          </cell>
          <cell r="AG1302" t="str">
            <v>SIM</v>
          </cell>
          <cell r="AI1302">
            <v>11</v>
          </cell>
        </row>
        <row r="1303">
          <cell r="B1303" t="str">
            <v>THABATA CRISTY ZERMIANI</v>
          </cell>
          <cell r="K1303" t="str">
            <v>CAMPUS CURITIBA</v>
          </cell>
          <cell r="AG1303" t="str">
            <v>SIM</v>
          </cell>
          <cell r="AI1303">
            <v>23</v>
          </cell>
        </row>
        <row r="1304">
          <cell r="B1304" t="str">
            <v>THAIS DISTEFANO WILTENBURG DOS SANTOS</v>
          </cell>
          <cell r="K1304" t="str">
            <v>CAMPUS LONDRINA</v>
          </cell>
          <cell r="AG1304" t="str">
            <v>SIM</v>
          </cell>
          <cell r="AI1304">
            <v>12</v>
          </cell>
        </row>
        <row r="1305">
          <cell r="B1305" t="str">
            <v>THAIS FERNANDA ROBERTO OLIVEIRA</v>
          </cell>
          <cell r="K1305" t="str">
            <v>CAMPUS LONDRINA</v>
          </cell>
          <cell r="AG1305" t="str">
            <v>SIM</v>
          </cell>
          <cell r="AI1305">
            <v>11</v>
          </cell>
        </row>
        <row r="1306">
          <cell r="B1306" t="str">
            <v>THAIS PACIEVITCH</v>
          </cell>
          <cell r="K1306" t="str">
            <v>CAMPUS CURITIBA</v>
          </cell>
          <cell r="AG1306" t="str">
            <v>SIM</v>
          </cell>
          <cell r="AI1306">
            <v>0</v>
          </cell>
        </row>
        <row r="1307">
          <cell r="B1307" t="str">
            <v>THAIS SCAGLIONE</v>
          </cell>
          <cell r="K1307" t="str">
            <v>CAMPUS CURITIBA</v>
          </cell>
          <cell r="AG1307" t="str">
            <v>SIM</v>
          </cell>
          <cell r="AI1307">
            <v>2</v>
          </cell>
        </row>
        <row r="1308">
          <cell r="B1308" t="str">
            <v>THAIS SIBIONI BERTI BASTOS</v>
          </cell>
          <cell r="K1308" t="str">
            <v>CAMPUS CURITIBA</v>
          </cell>
          <cell r="AG1308" t="str">
            <v>SIM</v>
          </cell>
          <cell r="AI1308">
            <v>6</v>
          </cell>
        </row>
        <row r="1309">
          <cell r="B1309" t="str">
            <v>THAISE LOHR TACLA</v>
          </cell>
          <cell r="K1309" t="str">
            <v>CAMPUS CURITIBA</v>
          </cell>
          <cell r="AG1309" t="str">
            <v>SIM</v>
          </cell>
          <cell r="AI1309">
            <v>10</v>
          </cell>
        </row>
        <row r="1310">
          <cell r="B1310" t="str">
            <v>THALITA ALVES SEJANES</v>
          </cell>
          <cell r="K1310" t="str">
            <v>CAMPUS CURITIBA</v>
          </cell>
          <cell r="AG1310" t="str">
            <v>SIM</v>
          </cell>
          <cell r="AI1310">
            <v>16</v>
          </cell>
        </row>
        <row r="1311">
          <cell r="B1311" t="str">
            <v>THALITA FOLMANN DA SILVA</v>
          </cell>
          <cell r="K1311" t="str">
            <v>CAMPUS CURITIBA</v>
          </cell>
          <cell r="AG1311" t="str">
            <v>SIM</v>
          </cell>
          <cell r="AI1311">
            <v>0</v>
          </cell>
        </row>
        <row r="1312">
          <cell r="B1312" t="str">
            <v>THALITA PORTO HENEQUIM</v>
          </cell>
          <cell r="K1312" t="str">
            <v>CAMPUS CURITIBA</v>
          </cell>
          <cell r="AG1312" t="str">
            <v>NÃO</v>
          </cell>
          <cell r="AI1312">
            <v>0</v>
          </cell>
        </row>
        <row r="1313">
          <cell r="B1313" t="str">
            <v>THATYANNE GRADOWSKI FARIAS DA COSTA DO NASCIMENTO</v>
          </cell>
          <cell r="K1313" t="str">
            <v>CAMPUS CURITIBA</v>
          </cell>
          <cell r="AG1313" t="str">
            <v>SIM</v>
          </cell>
          <cell r="AI1313">
            <v>13</v>
          </cell>
        </row>
        <row r="1314">
          <cell r="B1314" t="str">
            <v>THIAGO HENRIQUE ROZA</v>
          </cell>
          <cell r="K1314" t="str">
            <v>Campus Curitiba</v>
          </cell>
          <cell r="AG1314" t="str">
            <v>SIM</v>
          </cell>
          <cell r="AI1314">
            <v>12</v>
          </cell>
        </row>
        <row r="1315">
          <cell r="B1315" t="str">
            <v>THIAGO ROCHA DA CUNHA</v>
          </cell>
          <cell r="K1315" t="str">
            <v>CAMPUS CURITIBA</v>
          </cell>
          <cell r="AG1315" t="str">
            <v>NÃO</v>
          </cell>
          <cell r="AI1315">
            <v>36</v>
          </cell>
        </row>
        <row r="1316">
          <cell r="B1316" t="str">
            <v>THIAGO THOMAZ KASPCHAK</v>
          </cell>
          <cell r="K1316" t="str">
            <v>CAMPUS CURITIBA</v>
          </cell>
          <cell r="AG1316" t="str">
            <v>NÃO</v>
          </cell>
          <cell r="AI1316">
            <v>40</v>
          </cell>
        </row>
        <row r="1317">
          <cell r="B1317" t="str">
            <v>THOMAZ JEFFERSON DE LEMOS PESSOA</v>
          </cell>
          <cell r="K1317" t="str">
            <v>CAMPUS CURITIBA</v>
          </cell>
          <cell r="AG1317" t="str">
            <v>SIM</v>
          </cell>
          <cell r="AI1317">
            <v>5</v>
          </cell>
        </row>
        <row r="1318">
          <cell r="B1318" t="str">
            <v>THOMAZ MILTON NAVARRO VERASTEGUI</v>
          </cell>
          <cell r="K1318" t="str">
            <v>CAMPUS CURITIBA</v>
          </cell>
          <cell r="AG1318" t="str">
            <v>SIM</v>
          </cell>
          <cell r="AI1318">
            <v>4</v>
          </cell>
        </row>
        <row r="1319">
          <cell r="B1319" t="str">
            <v>THYAGO PROENCA DE MORAES</v>
          </cell>
          <cell r="K1319" t="str">
            <v>CAMPUS CURITIBA</v>
          </cell>
          <cell r="AG1319" t="str">
            <v>NÃO</v>
          </cell>
          <cell r="AI1319">
            <v>36</v>
          </cell>
        </row>
        <row r="1320">
          <cell r="B1320" t="str">
            <v>TIAGO ADELINO NAVARRO</v>
          </cell>
          <cell r="K1320" t="str">
            <v>CAMPUS CURITIBA</v>
          </cell>
          <cell r="AG1320" t="str">
            <v>SIM</v>
          </cell>
          <cell r="AI1320">
            <v>10</v>
          </cell>
        </row>
        <row r="1321">
          <cell r="B1321" t="str">
            <v>TIAGO FRANCESCONI</v>
          </cell>
          <cell r="K1321" t="str">
            <v>CAMPUS CURITIBA</v>
          </cell>
          <cell r="AG1321" t="str">
            <v>NÃO</v>
          </cell>
          <cell r="AI1321">
            <v>36</v>
          </cell>
        </row>
        <row r="1322">
          <cell r="B1322" t="str">
            <v>TIAGO MORALES CALVE</v>
          </cell>
          <cell r="K1322" t="str">
            <v>CAMPUS CURITIBA</v>
          </cell>
          <cell r="AG1322" t="str">
            <v>SIM</v>
          </cell>
          <cell r="AI1322">
            <v>11</v>
          </cell>
        </row>
        <row r="1323">
          <cell r="B1323" t="str">
            <v>TREICE CRISTINA DA CRUZ</v>
          </cell>
          <cell r="K1323" t="str">
            <v>CAMPUS CURITIBA</v>
          </cell>
          <cell r="AG1323" t="str">
            <v>NÃO</v>
          </cell>
          <cell r="AI1323">
            <v>0</v>
          </cell>
        </row>
        <row r="1324">
          <cell r="B1324" t="str">
            <v>UBALDINO DA ROSA FERREIRA FILHO</v>
          </cell>
          <cell r="K1324" t="str">
            <v>CAMPUS CURITIBA</v>
          </cell>
          <cell r="AG1324" t="str">
            <v>SIM</v>
          </cell>
          <cell r="AI1324">
            <v>24</v>
          </cell>
        </row>
        <row r="1325">
          <cell r="B1325" t="str">
            <v>UBIRAJARA IOBE TASQUETI</v>
          </cell>
          <cell r="K1325" t="str">
            <v>CAMPUS CURITIBA</v>
          </cell>
          <cell r="AG1325" t="str">
            <v>SIM</v>
          </cell>
          <cell r="AI1325">
            <v>24</v>
          </cell>
        </row>
        <row r="1326">
          <cell r="B1326" t="str">
            <v>UBIRATA TORTATO</v>
          </cell>
          <cell r="K1326" t="str">
            <v>CAMPUS CURITIBA</v>
          </cell>
          <cell r="AG1326" t="str">
            <v>NÃO</v>
          </cell>
          <cell r="AI1326">
            <v>32</v>
          </cell>
        </row>
        <row r="1327">
          <cell r="B1327" t="str">
            <v>UIARA RAIANA VARGAS DE CASTRO OLIVEIRA RIBEIRO</v>
          </cell>
          <cell r="K1327" t="str">
            <v>CAMPUS CURITIBA</v>
          </cell>
          <cell r="AG1327" t="str">
            <v>SIM</v>
          </cell>
          <cell r="AI1327">
            <v>8</v>
          </cell>
        </row>
        <row r="1328">
          <cell r="B1328" t="str">
            <v>ULISSES DOMINGOS NATAL</v>
          </cell>
          <cell r="K1328" t="str">
            <v>CAMPUS CURITIBA</v>
          </cell>
          <cell r="AG1328" t="str">
            <v>SIM</v>
          </cell>
          <cell r="AI1328">
            <v>24</v>
          </cell>
        </row>
        <row r="1329">
          <cell r="B1329" t="str">
            <v>ULISSES XAVIER DA SILVA NETO</v>
          </cell>
          <cell r="K1329" t="str">
            <v>CAMPUS CURITIBA</v>
          </cell>
          <cell r="AG1329" t="str">
            <v>NÃO</v>
          </cell>
          <cell r="AI1329">
            <v>27</v>
          </cell>
        </row>
        <row r="1330">
          <cell r="B1330" t="str">
            <v>VALCIR MORAES</v>
          </cell>
          <cell r="K1330" t="str">
            <v>CAMPUS CURITIBA</v>
          </cell>
          <cell r="AG1330" t="str">
            <v>SIM</v>
          </cell>
          <cell r="AI1330">
            <v>26</v>
          </cell>
        </row>
        <row r="1331">
          <cell r="B1331" t="str">
            <v>VALDECI ELEUTERIO</v>
          </cell>
          <cell r="K1331" t="str">
            <v>CAMPUS LONDRINA</v>
          </cell>
          <cell r="AG1331" t="str">
            <v>SIM</v>
          </cell>
          <cell r="AI1331">
            <v>12</v>
          </cell>
        </row>
        <row r="1332">
          <cell r="B1332" t="str">
            <v>VALDIR BORGES</v>
          </cell>
          <cell r="K1332" t="str">
            <v>CAMPUS CURITIBA</v>
          </cell>
          <cell r="AG1332" t="str">
            <v>SIM</v>
          </cell>
          <cell r="AI1332">
            <v>0</v>
          </cell>
        </row>
        <row r="1333">
          <cell r="B1333" t="str">
            <v>VALERIA APARECIDA PADOVANI DE SOUZA</v>
          </cell>
          <cell r="K1333" t="str">
            <v>CAMPUS CURITIBA</v>
          </cell>
          <cell r="AG1333" t="str">
            <v>SIM</v>
          </cell>
          <cell r="AI1333">
            <v>6</v>
          </cell>
        </row>
        <row r="1334">
          <cell r="B1334" t="str">
            <v>VALERIA NATASCHA TEIXEIRA</v>
          </cell>
          <cell r="K1334" t="str">
            <v>CAMPUS CURITIBA</v>
          </cell>
          <cell r="AG1334" t="str">
            <v>NÃO</v>
          </cell>
          <cell r="AI1334">
            <v>30</v>
          </cell>
        </row>
        <row r="1335">
          <cell r="B1335" t="str">
            <v>VALQUIRIA ELITA RENK</v>
          </cell>
          <cell r="K1335" t="str">
            <v>CAMPUS CURITIBA</v>
          </cell>
          <cell r="AG1335" t="str">
            <v>NÃO</v>
          </cell>
          <cell r="AI1335">
            <v>34</v>
          </cell>
        </row>
        <row r="1336">
          <cell r="B1336" t="str">
            <v>VALTER FREITAS</v>
          </cell>
          <cell r="K1336" t="str">
            <v>CAMPUS TOLEDO</v>
          </cell>
          <cell r="AG1336" t="str">
            <v>SIM</v>
          </cell>
          <cell r="AI1336">
            <v>26</v>
          </cell>
        </row>
        <row r="1337">
          <cell r="B1337" t="str">
            <v>VALTER KLEIN JUNIOR</v>
          </cell>
          <cell r="K1337" t="str">
            <v>CAMPUS CURITIBA</v>
          </cell>
          <cell r="AG1337" t="str">
            <v>NÃO</v>
          </cell>
          <cell r="AI1337">
            <v>24</v>
          </cell>
        </row>
        <row r="1338">
          <cell r="B1338" t="str">
            <v>VANESSA ARAUJO SALES</v>
          </cell>
          <cell r="K1338" t="str">
            <v>CAMPUS CURITIBA</v>
          </cell>
          <cell r="AG1338" t="str">
            <v>NÃO</v>
          </cell>
          <cell r="AI1338">
            <v>36</v>
          </cell>
        </row>
        <row r="1339">
          <cell r="B1339" t="str">
            <v>VANESSA DAUFENBACK RAMOS</v>
          </cell>
          <cell r="K1339" t="str">
            <v>CAMPUS CURITIBA</v>
          </cell>
          <cell r="AG1339" t="str">
            <v>SIM</v>
          </cell>
          <cell r="AI1339">
            <v>16</v>
          </cell>
        </row>
        <row r="1340">
          <cell r="B1340" t="str">
            <v>VANESSA SANTOS SOTOMAIOR</v>
          </cell>
          <cell r="K1340" t="str">
            <v>CAMPUS CURITIBA</v>
          </cell>
          <cell r="AG1340" t="str">
            <v>NÃO</v>
          </cell>
          <cell r="AI1340">
            <v>40</v>
          </cell>
        </row>
        <row r="1341">
          <cell r="B1341" t="str">
            <v>VANESSA TEREZINHA ALES</v>
          </cell>
          <cell r="K1341" t="str">
            <v>CAMPUS CURITIBA</v>
          </cell>
          <cell r="AG1341" t="str">
            <v>SIM</v>
          </cell>
          <cell r="AI1341">
            <v>10</v>
          </cell>
        </row>
        <row r="1342">
          <cell r="B1342" t="str">
            <v>VANESSA YUMIE SALOMAO WATANABE LIBERALESSO</v>
          </cell>
          <cell r="K1342" t="str">
            <v>CAMPUS CURITIBA</v>
          </cell>
          <cell r="AG1342" t="str">
            <v>SIM</v>
          </cell>
          <cell r="AI1342">
            <v>32</v>
          </cell>
        </row>
        <row r="1343">
          <cell r="B1343" t="str">
            <v>VANIA APARECIDA TERRA</v>
          </cell>
          <cell r="K1343" t="str">
            <v>CAMPUS LONDRINA</v>
          </cell>
          <cell r="AG1343" t="str">
            <v>SIM</v>
          </cell>
          <cell r="AI1343">
            <v>19</v>
          </cell>
        </row>
        <row r="1344">
          <cell r="B1344" t="str">
            <v>VANIR APARECIDA TROMBETTA</v>
          </cell>
          <cell r="K1344" t="str">
            <v>CAMPUS CURITIBA</v>
          </cell>
          <cell r="AG1344" t="str">
            <v>SIM</v>
          </cell>
          <cell r="AI1344">
            <v>7</v>
          </cell>
        </row>
        <row r="1345">
          <cell r="B1345" t="str">
            <v>VICENTE ARTUSO</v>
          </cell>
          <cell r="K1345" t="str">
            <v>CAMPUS CURITIBA</v>
          </cell>
          <cell r="AG1345" t="str">
            <v>NÃO</v>
          </cell>
          <cell r="AI1345">
            <v>30</v>
          </cell>
        </row>
        <row r="1346">
          <cell r="B1346" t="str">
            <v>VICTOR HENRIQUE ALVES RIBEIRO</v>
          </cell>
          <cell r="K1346" t="str">
            <v>CAMPUS CURITIBA</v>
          </cell>
          <cell r="AG1346" t="str">
            <v>NÃO</v>
          </cell>
          <cell r="AI1346">
            <v>31</v>
          </cell>
        </row>
        <row r="1347">
          <cell r="B1347" t="str">
            <v>VICTOR HENRIQUE BENTO</v>
          </cell>
          <cell r="K1347" t="str">
            <v>CAMPUS CURITIBA</v>
          </cell>
          <cell r="AG1347" t="str">
            <v>NÃO</v>
          </cell>
          <cell r="AI1347">
            <v>0</v>
          </cell>
        </row>
        <row r="1348">
          <cell r="B1348" t="str">
            <v>VICTOR HORACIO DE SOUZA COSTA JUNIOR</v>
          </cell>
          <cell r="K1348" t="str">
            <v>CAMPUS CURITIBA</v>
          </cell>
          <cell r="AG1348" t="str">
            <v>SIM</v>
          </cell>
          <cell r="AI1348">
            <v>34</v>
          </cell>
        </row>
        <row r="1349">
          <cell r="B1349" t="str">
            <v>VIDAL MARTINS</v>
          </cell>
          <cell r="K1349" t="str">
            <v>CAMPUS CURITIBA</v>
          </cell>
          <cell r="AG1349" t="str">
            <v>NÃO</v>
          </cell>
          <cell r="AI1349">
            <v>40</v>
          </cell>
        </row>
        <row r="1350">
          <cell r="B1350" t="str">
            <v>VILMAR ABREU JUNIOR</v>
          </cell>
          <cell r="K1350" t="str">
            <v>CAMPUS CURITIBA</v>
          </cell>
          <cell r="AG1350" t="str">
            <v>NÃO</v>
          </cell>
          <cell r="AI1350">
            <v>40</v>
          </cell>
        </row>
        <row r="1351">
          <cell r="B1351" t="str">
            <v>VILMAR RODRIGUES MOREIRA</v>
          </cell>
          <cell r="K1351" t="str">
            <v>CAMPUS CURITIBA</v>
          </cell>
          <cell r="AG1351" t="str">
            <v>NÃO</v>
          </cell>
          <cell r="AI1351">
            <v>32</v>
          </cell>
        </row>
        <row r="1352">
          <cell r="B1352" t="str">
            <v>VINICIUS ANTONIO HIROAKI SATO</v>
          </cell>
          <cell r="K1352" t="str">
            <v>CAMPUS LONDRINA</v>
          </cell>
          <cell r="AG1352" t="str">
            <v>SIM</v>
          </cell>
          <cell r="AI1352">
            <v>5</v>
          </cell>
        </row>
        <row r="1353">
          <cell r="B1353" t="str">
            <v>VINICIUS AUGUSTO TRAMONTINA</v>
          </cell>
          <cell r="K1353" t="str">
            <v>CAMPUS CURITIBA</v>
          </cell>
          <cell r="AG1353" t="str">
            <v>SIM</v>
          </cell>
          <cell r="AI1353">
            <v>6</v>
          </cell>
        </row>
        <row r="1354">
          <cell r="B1354" t="str">
            <v>VINICIUS BASSO PRETI</v>
          </cell>
          <cell r="K1354" t="str">
            <v>CAMPUS CURITIBA</v>
          </cell>
          <cell r="AG1354" t="str">
            <v>SIM</v>
          </cell>
          <cell r="AI1354">
            <v>5</v>
          </cell>
        </row>
        <row r="1355">
          <cell r="B1355" t="str">
            <v>VINICIUS EL GHOZ DE LARA</v>
          </cell>
          <cell r="K1355" t="str">
            <v>CAMPUS CURITIBA</v>
          </cell>
          <cell r="AG1355" t="str">
            <v>SIM</v>
          </cell>
          <cell r="AI1355">
            <v>4</v>
          </cell>
        </row>
        <row r="1356">
          <cell r="B1356" t="str">
            <v>VINICIUS GODOY DE MENDONCA</v>
          </cell>
          <cell r="K1356" t="str">
            <v>CAMPUS CURITIBA</v>
          </cell>
          <cell r="AG1356" t="str">
            <v>SIM</v>
          </cell>
          <cell r="AI1356">
            <v>4</v>
          </cell>
        </row>
        <row r="1357">
          <cell r="B1357" t="str">
            <v>VINICIUS MOURAO ALVES DE SOUZA</v>
          </cell>
          <cell r="K1357" t="str">
            <v>CAMPUS CURITIBA</v>
          </cell>
          <cell r="AG1357" t="str">
            <v>NÃO</v>
          </cell>
          <cell r="AI1357">
            <v>40</v>
          </cell>
        </row>
        <row r="1358">
          <cell r="B1358" t="str">
            <v>VINICIUS ORO POPP</v>
          </cell>
          <cell r="K1358" t="str">
            <v>CAMPUS CURITIBA</v>
          </cell>
          <cell r="AG1358" t="str">
            <v>SIM</v>
          </cell>
          <cell r="AI1358">
            <v>15</v>
          </cell>
        </row>
        <row r="1359">
          <cell r="B1359" t="str">
            <v>VITOR BERTOLI NASCIMENTO</v>
          </cell>
          <cell r="K1359" t="str">
            <v>CAMPUS CURITIBA</v>
          </cell>
          <cell r="AG1359" t="str">
            <v>SIM</v>
          </cell>
          <cell r="AI1359">
            <v>4</v>
          </cell>
        </row>
        <row r="1360">
          <cell r="B1360" t="str">
            <v>VITOR LOUREIRO DIAS</v>
          </cell>
          <cell r="K1360" t="str">
            <v>CAMPUS CURITIBA</v>
          </cell>
          <cell r="AG1360" t="str">
            <v>SIM</v>
          </cell>
          <cell r="AI1360">
            <v>9</v>
          </cell>
        </row>
        <row r="1361">
          <cell r="B1361" t="str">
            <v>VIVIAN CRISTINA LIMA LOPEZ VALLE</v>
          </cell>
          <cell r="K1361" t="str">
            <v>CAMPUS CURITIBA</v>
          </cell>
          <cell r="AG1361" t="str">
            <v>NÃO</v>
          </cell>
          <cell r="AI1361">
            <v>32</v>
          </cell>
        </row>
        <row r="1362">
          <cell r="B1362" t="str">
            <v>VIVIANA RAQUEL ZURRO</v>
          </cell>
          <cell r="K1362" t="str">
            <v>CAMPUS CURITIBA</v>
          </cell>
          <cell r="AG1362" t="str">
            <v>SIM</v>
          </cell>
          <cell r="AI1362">
            <v>10</v>
          </cell>
        </row>
        <row r="1363">
          <cell r="B1363" t="str">
            <v>VIVIANE BERNARDES DE OLIVEIRA CHAIBEN</v>
          </cell>
          <cell r="K1363" t="str">
            <v>CAMPUS CURITIBA</v>
          </cell>
          <cell r="AG1363" t="str">
            <v>NÃO</v>
          </cell>
          <cell r="AI1363">
            <v>30</v>
          </cell>
        </row>
        <row r="1364">
          <cell r="B1364" t="str">
            <v>VIVIANE DA SILVA LOPES HAMBRUSCH</v>
          </cell>
          <cell r="K1364" t="str">
            <v>CAMPUS CURITIBA</v>
          </cell>
          <cell r="AG1364" t="str">
            <v>NÃO</v>
          </cell>
          <cell r="AI1364">
            <v>0</v>
          </cell>
        </row>
        <row r="1365">
          <cell r="B1365" t="str">
            <v>VIVIANE DE SOUZA PINHO COSTA</v>
          </cell>
          <cell r="K1365" t="str">
            <v>CAMPUS LONDRINA</v>
          </cell>
          <cell r="AG1365" t="str">
            <v>SIM</v>
          </cell>
          <cell r="AI1365">
            <v>11</v>
          </cell>
        </row>
        <row r="1366">
          <cell r="B1366" t="str">
            <v>VOLDI COSTA ZAMBENEDETTI</v>
          </cell>
          <cell r="K1366" t="str">
            <v>CAMPUS CURITIBA</v>
          </cell>
          <cell r="AG1366" t="str">
            <v>SIM</v>
          </cell>
          <cell r="AI1366">
            <v>12</v>
          </cell>
        </row>
        <row r="1367">
          <cell r="B1367" t="str">
            <v>WALDIR SOUZA</v>
          </cell>
          <cell r="K1367" t="str">
            <v>CAMPUS CURITIBA</v>
          </cell>
          <cell r="AG1367" t="str">
            <v>NÃO</v>
          </cell>
          <cell r="AI1367">
            <v>36</v>
          </cell>
        </row>
        <row r="1368">
          <cell r="B1368" t="str">
            <v>WALLISTEN PASSOS GARCIA</v>
          </cell>
          <cell r="K1368" t="str">
            <v>CAMPUS CURITIBA</v>
          </cell>
          <cell r="AG1368" t="str">
            <v>SIM</v>
          </cell>
          <cell r="AI1368">
            <v>12</v>
          </cell>
        </row>
        <row r="1369">
          <cell r="B1369" t="str">
            <v>WALTER BARBOSA BITTAR</v>
          </cell>
          <cell r="K1369" t="str">
            <v>CAMPUS LONDRINA</v>
          </cell>
          <cell r="AG1369" t="str">
            <v>SIM</v>
          </cell>
          <cell r="AI1369">
            <v>4</v>
          </cell>
        </row>
        <row r="1370">
          <cell r="B1370" t="str">
            <v>WALTER MAZUROSKI</v>
          </cell>
          <cell r="K1370" t="str">
            <v>CAMPUS CURITIBA</v>
          </cell>
          <cell r="AG1370" t="str">
            <v>NÃO</v>
          </cell>
          <cell r="AI1370">
            <v>20</v>
          </cell>
        </row>
        <row r="1371">
          <cell r="B1371" t="str">
            <v>WELLINGTON OLIVEIRA DO AMOR DIVINO</v>
          </cell>
          <cell r="K1371" t="str">
            <v>CAMPUS LONDRINA</v>
          </cell>
          <cell r="AG1371" t="str">
            <v>NÃO</v>
          </cell>
          <cell r="AI1371">
            <v>0</v>
          </cell>
        </row>
        <row r="1372">
          <cell r="B1372" t="str">
            <v>WESLEY MARCOS DE ALMEIDA</v>
          </cell>
          <cell r="K1372" t="str">
            <v>CAMPUS CURITIBA</v>
          </cell>
          <cell r="AG1372" t="str">
            <v>SIM</v>
          </cell>
          <cell r="AI1372">
            <v>24</v>
          </cell>
        </row>
        <row r="1373">
          <cell r="B1373" t="str">
            <v>WILLIAM CESAR BISPO BARRETO</v>
          </cell>
          <cell r="K1373" t="str">
            <v>Campus Toledo</v>
          </cell>
          <cell r="AG1373" t="str">
            <v>SIM</v>
          </cell>
          <cell r="AI1373">
            <v>4</v>
          </cell>
        </row>
        <row r="1374">
          <cell r="B1374" t="str">
            <v>WILLIAM FRANCO DA SILVA</v>
          </cell>
          <cell r="K1374" t="str">
            <v>CAMPUS CURITIBA</v>
          </cell>
          <cell r="AG1374" t="str">
            <v>NÃO</v>
          </cell>
          <cell r="AI1374">
            <v>34</v>
          </cell>
        </row>
        <row r="1375">
          <cell r="B1375" t="str">
            <v>WILLIAM SADE JUNIOR</v>
          </cell>
          <cell r="K1375" t="str">
            <v>CAMPUS CURITIBA</v>
          </cell>
          <cell r="AG1375" t="str">
            <v>SIM</v>
          </cell>
          <cell r="AI1375">
            <v>2</v>
          </cell>
        </row>
        <row r="1376">
          <cell r="B1376" t="str">
            <v>WILLIAN BOSQUETTE ROSA</v>
          </cell>
          <cell r="K1376" t="str">
            <v>CAMPUS TOLEDO</v>
          </cell>
          <cell r="AG1376" t="str">
            <v>NÃO</v>
          </cell>
          <cell r="AI1376">
            <v>25</v>
          </cell>
        </row>
        <row r="1377">
          <cell r="B1377" t="str">
            <v>WILLIAN MAC CORMICK MARON</v>
          </cell>
          <cell r="K1377" t="str">
            <v>CAMPUS CURITIBA</v>
          </cell>
          <cell r="AG1377" t="str">
            <v>SIM</v>
          </cell>
          <cell r="AI1377">
            <v>7</v>
          </cell>
        </row>
        <row r="1378">
          <cell r="B1378" t="str">
            <v>WILSON GORGES</v>
          </cell>
          <cell r="K1378" t="str">
            <v>CAMPUS CURITIBA</v>
          </cell>
          <cell r="AG1378" t="str">
            <v>SIM</v>
          </cell>
          <cell r="AI1378">
            <v>12</v>
          </cell>
        </row>
        <row r="1379">
          <cell r="B1379" t="str">
            <v>WILSON LIUTI COSTA JUNIOR</v>
          </cell>
          <cell r="K1379" t="str">
            <v>CAMPUS LONDRINA</v>
          </cell>
          <cell r="AG1379" t="str">
            <v>SIM</v>
          </cell>
          <cell r="AI1379">
            <v>22</v>
          </cell>
        </row>
        <row r="1380">
          <cell r="B1380" t="str">
            <v>WILSON MASKE</v>
          </cell>
          <cell r="K1380" t="str">
            <v>CAMPUS CURITIBA</v>
          </cell>
          <cell r="AG1380" t="str">
            <v>SIM</v>
          </cell>
          <cell r="AI1380">
            <v>10</v>
          </cell>
        </row>
        <row r="1381">
          <cell r="B1381" t="str">
            <v>WILTON BORGES DOS SANTOS</v>
          </cell>
          <cell r="K1381" t="str">
            <v>CAMPUS CURITIBA</v>
          </cell>
          <cell r="AG1381" t="str">
            <v>SIM</v>
          </cell>
          <cell r="AI1381">
            <v>12</v>
          </cell>
        </row>
        <row r="1382">
          <cell r="B1382" t="str">
            <v>WYLKYS WEINHARDT GONCALVES</v>
          </cell>
          <cell r="K1382" t="str">
            <v>CAMPUS CURITIBA</v>
          </cell>
          <cell r="AG1382" t="str">
            <v>SIM</v>
          </cell>
          <cell r="AI1382">
            <v>0</v>
          </cell>
        </row>
        <row r="1383">
          <cell r="B1383" t="str">
            <v>YAN PEDRO LAZAROTTO GONCALVES</v>
          </cell>
          <cell r="K1383" t="str">
            <v>Campus Toledo</v>
          </cell>
          <cell r="AG1383" t="str">
            <v>SIM</v>
          </cell>
          <cell r="AI1383">
            <v>8</v>
          </cell>
        </row>
        <row r="1384">
          <cell r="B1384" t="str">
            <v>YOHANNA VIEIRA JUK</v>
          </cell>
          <cell r="K1384" t="str">
            <v>Campus Curitiba</v>
          </cell>
          <cell r="AG1384" t="str">
            <v>SIM</v>
          </cell>
          <cell r="AI1384">
            <v>4</v>
          </cell>
        </row>
        <row r="1385">
          <cell r="B1385" t="str">
            <v>YURI ALEXANDRE FERRETE</v>
          </cell>
          <cell r="K1385" t="str">
            <v>CAMPUS CURITIBA</v>
          </cell>
          <cell r="AG1385" t="str">
            <v>SIM</v>
          </cell>
          <cell r="AI1385">
            <v>6</v>
          </cell>
        </row>
        <row r="1386">
          <cell r="B1386" t="str">
            <v>ZARA HUSSEIN</v>
          </cell>
          <cell r="K1386" t="str">
            <v>CAMPUS CURITIBA</v>
          </cell>
          <cell r="AG1386" t="str">
            <v>SIM</v>
          </cell>
          <cell r="AI1386">
            <v>8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STAO_CONTRATO"/>
      <sheetName val="DICIONÁRIO DE DADOS"/>
    </sheetNames>
    <sheetDataSet>
      <sheetData sheetId="0">
        <row r="1">
          <cell r="B1" t="str">
            <v>NOME</v>
          </cell>
          <cell r="AI1" t="str">
            <v>Coluna1</v>
          </cell>
        </row>
        <row r="2">
          <cell r="B2" t="str">
            <v>ALBONI MARISA DUDEQUE PIANOVSKI VIEIRA</v>
          </cell>
          <cell r="AI2">
            <v>32</v>
          </cell>
        </row>
        <row r="3">
          <cell r="B3" t="str">
            <v>LEONARDO TOSSIAKI OBA</v>
          </cell>
          <cell r="AI3">
            <v>8</v>
          </cell>
        </row>
        <row r="4">
          <cell r="B4" t="str">
            <v>ELOETE CAMILLI OLIVEIRA</v>
          </cell>
          <cell r="AI4">
            <v>4</v>
          </cell>
        </row>
        <row r="5">
          <cell r="B5" t="str">
            <v>LETICIA PERET ANTUNES HARDT</v>
          </cell>
          <cell r="AI5">
            <v>40</v>
          </cell>
        </row>
        <row r="6">
          <cell r="B6" t="str">
            <v>ROBERTO BORGES FRANCA</v>
          </cell>
          <cell r="AI6">
            <v>20</v>
          </cell>
        </row>
        <row r="7">
          <cell r="B7" t="str">
            <v>CLOVIS DOS SANTOS ANDRADE</v>
          </cell>
          <cell r="AI7">
            <v>31</v>
          </cell>
        </row>
        <row r="8">
          <cell r="B8" t="str">
            <v>AURISTELA DUARTE DE LIMA MOSER</v>
          </cell>
          <cell r="AI8">
            <v>32</v>
          </cell>
        </row>
        <row r="9">
          <cell r="B9" t="str">
            <v>PATRICIA LUPION TORRES</v>
          </cell>
          <cell r="AI9">
            <v>40</v>
          </cell>
        </row>
        <row r="10">
          <cell r="B10" t="str">
            <v>DIVINO FRANCA</v>
          </cell>
          <cell r="AI10">
            <v>12</v>
          </cell>
        </row>
        <row r="11">
          <cell r="B11" t="str">
            <v>LUIZ FERNANDO PEREIRA</v>
          </cell>
          <cell r="AI11">
            <v>2</v>
          </cell>
        </row>
        <row r="12">
          <cell r="B12" t="str">
            <v>OLIMPIO DE PAULA XAVIER FILHO</v>
          </cell>
          <cell r="AI12">
            <v>8</v>
          </cell>
        </row>
        <row r="13">
          <cell r="B13" t="str">
            <v>PERCY NOHAMA</v>
          </cell>
          <cell r="AI13">
            <v>40</v>
          </cell>
        </row>
        <row r="14">
          <cell r="B14" t="str">
            <v>LUIS ALEXANDRE CARTA WINTER</v>
          </cell>
          <cell r="AI14">
            <v>32</v>
          </cell>
        </row>
        <row r="15">
          <cell r="B15" t="str">
            <v>CINTHIA OBLADEN DE ALMENDRA FREITAS</v>
          </cell>
          <cell r="AI15">
            <v>30</v>
          </cell>
        </row>
        <row r="16">
          <cell r="B16" t="str">
            <v>LILIANE MARIA BUSATO BATISTA</v>
          </cell>
          <cell r="AI16">
            <v>14</v>
          </cell>
        </row>
        <row r="17">
          <cell r="B17" t="str">
            <v>THOMAZ JEFFERSON DE LEMOS PESSOA</v>
          </cell>
          <cell r="AI17">
            <v>5</v>
          </cell>
        </row>
        <row r="18">
          <cell r="B18" t="str">
            <v>CARLOS JOSE GOMES</v>
          </cell>
          <cell r="AI18">
            <v>15</v>
          </cell>
        </row>
        <row r="19">
          <cell r="B19" t="str">
            <v>HARRY ALBERTO BOLLMANN</v>
          </cell>
          <cell r="AI19">
            <v>36</v>
          </cell>
        </row>
        <row r="20">
          <cell r="B20" t="str">
            <v>ANA CRISTINA SEIXAS GRECA</v>
          </cell>
          <cell r="AI20">
            <v>40</v>
          </cell>
        </row>
        <row r="21">
          <cell r="B21" t="str">
            <v>EDUARDO KARAM SALTORI</v>
          </cell>
          <cell r="AI21">
            <v>11</v>
          </cell>
        </row>
        <row r="22">
          <cell r="B22" t="str">
            <v>LUIS SALVADOR PETRUCCI GNOATO</v>
          </cell>
          <cell r="AI22">
            <v>5</v>
          </cell>
        </row>
        <row r="23">
          <cell r="B23" t="str">
            <v>MARCELO TAVORA MIRA</v>
          </cell>
          <cell r="AI23">
            <v>40</v>
          </cell>
        </row>
        <row r="24">
          <cell r="B24" t="str">
            <v>ANA MARIA EYNG</v>
          </cell>
          <cell r="AI24">
            <v>32</v>
          </cell>
        </row>
        <row r="25">
          <cell r="B25" t="str">
            <v>ORLANDO MOTOHIRO TANAKA</v>
          </cell>
          <cell r="AI25">
            <v>28</v>
          </cell>
        </row>
        <row r="26">
          <cell r="B26" t="str">
            <v>SIMONE MARIA MALUCELLI PINTO SCHELLENBERG</v>
          </cell>
          <cell r="AI26">
            <v>24</v>
          </cell>
        </row>
        <row r="27">
          <cell r="B27" t="str">
            <v>CARLOS HARDT</v>
          </cell>
          <cell r="AI27">
            <v>40</v>
          </cell>
        </row>
        <row r="28">
          <cell r="B28" t="str">
            <v>DILMEIRE SANT ANNA RAMOS VOSGERAU</v>
          </cell>
          <cell r="AI28">
            <v>40</v>
          </cell>
        </row>
        <row r="29">
          <cell r="B29" t="str">
            <v>BORTOLO VALLE</v>
          </cell>
          <cell r="AI29">
            <v>32</v>
          </cell>
        </row>
        <row r="30">
          <cell r="B30" t="str">
            <v>ALEX ANTONIO FERRARESI</v>
          </cell>
          <cell r="AI30">
            <v>40</v>
          </cell>
        </row>
        <row r="31">
          <cell r="B31" t="str">
            <v>SIRLEY TEREZINHA FILIPAK</v>
          </cell>
          <cell r="AI31">
            <v>30</v>
          </cell>
        </row>
        <row r="32">
          <cell r="B32" t="str">
            <v>ANA PAULA KUCZYNSKI PEDRO BOM</v>
          </cell>
          <cell r="AI32">
            <v>30</v>
          </cell>
        </row>
        <row r="33">
          <cell r="B33" t="str">
            <v>ANTONIO CARLOS PINTO JACHINOSKI</v>
          </cell>
          <cell r="AI33">
            <v>4</v>
          </cell>
        </row>
        <row r="34">
          <cell r="B34" t="str">
            <v>ELIANE AMARAL GHIRELLI</v>
          </cell>
          <cell r="AI34">
            <v>12</v>
          </cell>
        </row>
        <row r="35">
          <cell r="B35" t="str">
            <v>JEFERSON DEMETERCO</v>
          </cell>
          <cell r="AI35">
            <v>2</v>
          </cell>
        </row>
        <row r="36">
          <cell r="B36" t="str">
            <v>SHEILA DO ROCIO CERCAL SANTOS LEAL</v>
          </cell>
          <cell r="AI36">
            <v>8</v>
          </cell>
        </row>
        <row r="37">
          <cell r="B37" t="str">
            <v>RICARDO JOSE BERTIN</v>
          </cell>
          <cell r="AI37">
            <v>12</v>
          </cell>
        </row>
        <row r="38">
          <cell r="B38" t="str">
            <v>SANDRA MARIA MATTAR DIAZ</v>
          </cell>
          <cell r="AI38">
            <v>12</v>
          </cell>
        </row>
        <row r="39">
          <cell r="B39" t="str">
            <v>JOSE MARIO TUPINA MACHADO</v>
          </cell>
          <cell r="AI39">
            <v>32</v>
          </cell>
        </row>
        <row r="40">
          <cell r="B40" t="str">
            <v>CARLOS FREDERICO MARES DE SOUZA FILHO</v>
          </cell>
          <cell r="AI40">
            <v>30</v>
          </cell>
        </row>
        <row r="41">
          <cell r="B41" t="str">
            <v>SERGIO APARECIDO IGNACIO</v>
          </cell>
          <cell r="AI41">
            <v>30</v>
          </cell>
        </row>
        <row r="42">
          <cell r="B42" t="str">
            <v>CLOVES ANTONIO DE AMISSIS AMORIM</v>
          </cell>
          <cell r="AI42">
            <v>13</v>
          </cell>
        </row>
        <row r="43">
          <cell r="B43" t="str">
            <v>SILVIA SCHMIDLIN KEIL</v>
          </cell>
          <cell r="AI43">
            <v>14</v>
          </cell>
        </row>
        <row r="44">
          <cell r="B44" t="str">
            <v>DEWEY MORETO WOLLMANN</v>
          </cell>
          <cell r="AI44">
            <v>12</v>
          </cell>
        </row>
        <row r="45">
          <cell r="B45" t="str">
            <v>VALQUIRIA ELITA RENK</v>
          </cell>
          <cell r="AI45">
            <v>34</v>
          </cell>
        </row>
        <row r="46">
          <cell r="B46" t="str">
            <v>LUIZ ANTONIO PAVAO</v>
          </cell>
          <cell r="AI46">
            <v>20</v>
          </cell>
        </row>
        <row r="47">
          <cell r="B47" t="str">
            <v>GERALDO MIRANDA GRACA FILHO</v>
          </cell>
          <cell r="AI47">
            <v>20</v>
          </cell>
        </row>
        <row r="48">
          <cell r="B48" t="str">
            <v>ANA LUCIA TOLAZZI</v>
          </cell>
          <cell r="AI48">
            <v>3</v>
          </cell>
        </row>
        <row r="49">
          <cell r="B49" t="str">
            <v>ALVARO CESAR CAMARGO DO AMARANTE</v>
          </cell>
          <cell r="AI49">
            <v>31</v>
          </cell>
        </row>
        <row r="50">
          <cell r="B50" t="str">
            <v>MARIA INES PINTO BOGISCH</v>
          </cell>
          <cell r="AI50">
            <v>6</v>
          </cell>
        </row>
        <row r="51">
          <cell r="B51" t="str">
            <v>MARCIA RAPACCI</v>
          </cell>
          <cell r="AI51">
            <v>18</v>
          </cell>
        </row>
        <row r="52">
          <cell r="B52" t="str">
            <v>KATYA KOZICKI</v>
          </cell>
          <cell r="AI52">
            <v>30</v>
          </cell>
        </row>
        <row r="53">
          <cell r="B53" t="str">
            <v>ZARA HUSSEIN</v>
          </cell>
          <cell r="AI53">
            <v>8</v>
          </cell>
        </row>
        <row r="54">
          <cell r="B54" t="str">
            <v>EDSON JOSE RODRIGUES JUSTINO</v>
          </cell>
          <cell r="AI54">
            <v>40</v>
          </cell>
        </row>
        <row r="55">
          <cell r="B55" t="str">
            <v>CARLOS ALBERTO ENGELHORN</v>
          </cell>
          <cell r="AI55">
            <v>10</v>
          </cell>
        </row>
        <row r="56">
          <cell r="B56" t="str">
            <v>MARIO ANTONIO SANCHES</v>
          </cell>
          <cell r="AI56">
            <v>34</v>
          </cell>
        </row>
        <row r="57">
          <cell r="B57" t="str">
            <v>RODRIGO SANCHEZ RIOS</v>
          </cell>
          <cell r="AI57">
            <v>30</v>
          </cell>
        </row>
        <row r="58">
          <cell r="B58" t="str">
            <v>ELENI JULIATO PIOVESAN</v>
          </cell>
          <cell r="AI58">
            <v>16</v>
          </cell>
        </row>
        <row r="59">
          <cell r="B59" t="str">
            <v>JOSE ELOIR KRUPECHACKE</v>
          </cell>
          <cell r="AI59">
            <v>10</v>
          </cell>
        </row>
        <row r="60">
          <cell r="B60" t="str">
            <v>MARILENA INDIRA WINTER</v>
          </cell>
          <cell r="AI60">
            <v>4</v>
          </cell>
        </row>
        <row r="61">
          <cell r="B61" t="str">
            <v>CLAUDIA MARIA BARBOSA</v>
          </cell>
          <cell r="AI61">
            <v>30</v>
          </cell>
        </row>
        <row r="62">
          <cell r="B62" t="str">
            <v>UBALDINO DA ROSA FERREIRA FILHO</v>
          </cell>
          <cell r="AI62">
            <v>24</v>
          </cell>
        </row>
        <row r="63">
          <cell r="B63" t="str">
            <v>JULIO CESAR NIEVOLA</v>
          </cell>
          <cell r="AI63">
            <v>32</v>
          </cell>
        </row>
        <row r="64">
          <cell r="B64" t="str">
            <v>MANOEL CAMILLO DE OLIVEIRA PENNA NETO</v>
          </cell>
          <cell r="AI64">
            <v>0</v>
          </cell>
        </row>
        <row r="65">
          <cell r="B65" t="str">
            <v>SERGIO EDUARDO FONTOURA DA SILVA</v>
          </cell>
          <cell r="AI65">
            <v>14</v>
          </cell>
        </row>
        <row r="66">
          <cell r="B66" t="str">
            <v>AMELIA DO CARMO SAMPAIO ROSSI</v>
          </cell>
          <cell r="AI66">
            <v>32</v>
          </cell>
        </row>
        <row r="67">
          <cell r="B67" t="str">
            <v>CYNTHIA FRANCA WOLANSKI BORDIN</v>
          </cell>
          <cell r="AI67">
            <v>18</v>
          </cell>
        </row>
        <row r="68">
          <cell r="B68" t="str">
            <v>MARILIN HOHL</v>
          </cell>
          <cell r="AI68">
            <v>38</v>
          </cell>
        </row>
        <row r="69">
          <cell r="B69" t="str">
            <v>RITA DE CASSIA CORREA DE VASCONCELOS</v>
          </cell>
          <cell r="AI69">
            <v>4</v>
          </cell>
        </row>
        <row r="70">
          <cell r="B70" t="str">
            <v>ANA CARLA EFING</v>
          </cell>
          <cell r="AI70">
            <v>10</v>
          </cell>
        </row>
        <row r="71">
          <cell r="B71" t="str">
            <v>LUIZ CARLOS VON BAHTEN</v>
          </cell>
          <cell r="AI71">
            <v>16</v>
          </cell>
        </row>
        <row r="72">
          <cell r="B72" t="str">
            <v>EDUARDO QUADROS DA SILVA</v>
          </cell>
          <cell r="AI72">
            <v>16</v>
          </cell>
        </row>
        <row r="73">
          <cell r="B73" t="str">
            <v>FRANCISCO MAIA DA SILVA</v>
          </cell>
          <cell r="AI73">
            <v>9</v>
          </cell>
        </row>
        <row r="74">
          <cell r="B74" t="str">
            <v>PAULO ROBERTO SLUD BROFMAN</v>
          </cell>
          <cell r="AI74">
            <v>40</v>
          </cell>
        </row>
        <row r="75">
          <cell r="B75" t="str">
            <v>MARIA LAURA MEDEIROS ASSEF</v>
          </cell>
          <cell r="AI75">
            <v>9</v>
          </cell>
        </row>
        <row r="76">
          <cell r="B76" t="str">
            <v>EDSON MABONI</v>
          </cell>
          <cell r="AI76">
            <v>0</v>
          </cell>
        </row>
        <row r="77">
          <cell r="B77" t="str">
            <v>PAULO D ASSUMPCAO ZANIOL</v>
          </cell>
          <cell r="AI77">
            <v>10</v>
          </cell>
        </row>
        <row r="78">
          <cell r="B78" t="str">
            <v>LUCIO TRACZ</v>
          </cell>
          <cell r="AI78">
            <v>40</v>
          </cell>
        </row>
        <row r="79">
          <cell r="B79" t="str">
            <v>CLAUDIA MARIA CABRAL MORO BARRA</v>
          </cell>
          <cell r="AI79">
            <v>35</v>
          </cell>
        </row>
        <row r="80">
          <cell r="B80" t="str">
            <v>CLAUDIO MARCELO TKAC</v>
          </cell>
          <cell r="AI80">
            <v>13</v>
          </cell>
        </row>
        <row r="81">
          <cell r="B81" t="str">
            <v>ANTONIO CARLOS EFING</v>
          </cell>
          <cell r="AI81">
            <v>32</v>
          </cell>
        </row>
        <row r="82">
          <cell r="B82" t="str">
            <v>EMERSON CABRERA PARAISO</v>
          </cell>
          <cell r="AI82">
            <v>34</v>
          </cell>
        </row>
        <row r="83">
          <cell r="B83" t="str">
            <v>ALCEU DE SOUZA BRITTO JUNIOR</v>
          </cell>
          <cell r="AI83">
            <v>36</v>
          </cell>
        </row>
        <row r="84">
          <cell r="B84" t="str">
            <v>RODRIGO TAVORA MIRA</v>
          </cell>
          <cell r="AI84">
            <v>28</v>
          </cell>
        </row>
        <row r="85">
          <cell r="B85" t="str">
            <v>LUIZ ALBERTO BLANCHET</v>
          </cell>
          <cell r="AI85">
            <v>32</v>
          </cell>
        </row>
        <row r="86">
          <cell r="B86" t="str">
            <v>ARLEY DE ALMEIDA</v>
          </cell>
          <cell r="AI86">
            <v>1</v>
          </cell>
        </row>
        <row r="87">
          <cell r="B87" t="str">
            <v>JULIO CESAR BISINELLI</v>
          </cell>
          <cell r="AI87">
            <v>2</v>
          </cell>
        </row>
        <row r="88">
          <cell r="B88" t="str">
            <v>VANESSA SANTOS SOTOMAIOR</v>
          </cell>
          <cell r="AI88">
            <v>40</v>
          </cell>
        </row>
        <row r="89">
          <cell r="B89" t="str">
            <v>FABIANO INCERTI</v>
          </cell>
          <cell r="AI89">
            <v>40</v>
          </cell>
        </row>
        <row r="90">
          <cell r="B90" t="str">
            <v>THOMAZ MILTON NAVARRO VERASTEGUI</v>
          </cell>
          <cell r="AI90">
            <v>4</v>
          </cell>
        </row>
        <row r="91">
          <cell r="B91" t="str">
            <v>SUZANA VALASKI</v>
          </cell>
          <cell r="AI91">
            <v>10</v>
          </cell>
        </row>
        <row r="92">
          <cell r="B92" t="str">
            <v>EDUARDO DAMIAO DA SILVA</v>
          </cell>
          <cell r="AI92">
            <v>36</v>
          </cell>
        </row>
        <row r="93">
          <cell r="B93" t="str">
            <v>NILSON BARBIERI</v>
          </cell>
          <cell r="AI93">
            <v>32</v>
          </cell>
        </row>
        <row r="94">
          <cell r="B94" t="str">
            <v>ULISSES DOMINGOS NATAL</v>
          </cell>
          <cell r="AI94">
            <v>24</v>
          </cell>
        </row>
        <row r="95">
          <cell r="B95" t="str">
            <v>ALTAIR OLIVO SANTIN</v>
          </cell>
          <cell r="AI95">
            <v>28</v>
          </cell>
        </row>
        <row r="96">
          <cell r="B96" t="str">
            <v>FABIANE DE CASSIA SAVI TOMASIAK</v>
          </cell>
          <cell r="AI96">
            <v>16</v>
          </cell>
        </row>
        <row r="97">
          <cell r="B97" t="str">
            <v>PERI MESQUIDA</v>
          </cell>
          <cell r="AI97">
            <v>32</v>
          </cell>
        </row>
        <row r="98">
          <cell r="B98" t="str">
            <v>MARCOS ANTONIO DE ABREU</v>
          </cell>
          <cell r="AI98">
            <v>0</v>
          </cell>
        </row>
        <row r="99">
          <cell r="B99" t="str">
            <v>ANA PAULA CUNHA LOUREIRO</v>
          </cell>
          <cell r="AI99">
            <v>18</v>
          </cell>
        </row>
        <row r="100">
          <cell r="B100" t="str">
            <v>MARCELO PILLONETTO</v>
          </cell>
          <cell r="AI100">
            <v>14</v>
          </cell>
        </row>
        <row r="101">
          <cell r="B101" t="str">
            <v>DENISE ADAMCZYK KOZEMJAKIN</v>
          </cell>
          <cell r="AI101">
            <v>22</v>
          </cell>
        </row>
        <row r="102">
          <cell r="B102" t="str">
            <v>MARILENE DA COSTA SANTOS</v>
          </cell>
          <cell r="AI102">
            <v>13</v>
          </cell>
        </row>
        <row r="103">
          <cell r="B103" t="str">
            <v>DEAN FABIO BUENO DE ALMEIDA</v>
          </cell>
          <cell r="AI103">
            <v>10</v>
          </cell>
        </row>
        <row r="104">
          <cell r="B104" t="str">
            <v>WILSON GORGES</v>
          </cell>
          <cell r="AI104">
            <v>12</v>
          </cell>
        </row>
        <row r="105">
          <cell r="B105" t="str">
            <v>CLAUDIA TURRA PIMPAO</v>
          </cell>
          <cell r="AI105">
            <v>31</v>
          </cell>
        </row>
        <row r="106">
          <cell r="B106" t="str">
            <v>MARCIA TEREZINHA DE OLIVEIRA</v>
          </cell>
          <cell r="AI106">
            <v>2</v>
          </cell>
        </row>
        <row r="107">
          <cell r="B107" t="str">
            <v>WILSON MASKE</v>
          </cell>
          <cell r="AI107">
            <v>10</v>
          </cell>
        </row>
        <row r="108">
          <cell r="B108" t="str">
            <v>MARIA CELIA BARBOSA FABRICIO DE MELO</v>
          </cell>
          <cell r="AI108">
            <v>15</v>
          </cell>
        </row>
        <row r="109">
          <cell r="B109" t="str">
            <v>CARLA DE CASTRO FERREIRA</v>
          </cell>
          <cell r="AI109">
            <v>4</v>
          </cell>
        </row>
        <row r="110">
          <cell r="B110" t="str">
            <v>EDUARDO MONTEIRO MEDA</v>
          </cell>
          <cell r="AI110">
            <v>7</v>
          </cell>
        </row>
        <row r="111">
          <cell r="B111" t="str">
            <v>ETIANE CALOY BOVKALOVSKI</v>
          </cell>
          <cell r="AI111">
            <v>38</v>
          </cell>
        </row>
        <row r="112">
          <cell r="B112" t="str">
            <v>SERGIO OSSAMU IOSHII</v>
          </cell>
          <cell r="AI112">
            <v>36</v>
          </cell>
        </row>
        <row r="113">
          <cell r="B113" t="str">
            <v>PAULO CESAR DE BARROS</v>
          </cell>
          <cell r="AI113">
            <v>18</v>
          </cell>
        </row>
        <row r="114">
          <cell r="B114" t="str">
            <v>VALERIA APARECIDA PADOVANI DE SOUZA</v>
          </cell>
          <cell r="AI114">
            <v>6</v>
          </cell>
        </row>
        <row r="115">
          <cell r="B115" t="str">
            <v>LUIZ ANTONIO MARTINS BARBOSA JUNIOR</v>
          </cell>
          <cell r="AI115">
            <v>14</v>
          </cell>
        </row>
        <row r="116">
          <cell r="B116" t="str">
            <v>HENRI FREDERICO EBERSPACHER</v>
          </cell>
          <cell r="AI116">
            <v>32</v>
          </cell>
        </row>
        <row r="117">
          <cell r="B117" t="str">
            <v>ALCIDES CALSAVARA</v>
          </cell>
          <cell r="AI117">
            <v>18</v>
          </cell>
        </row>
        <row r="118">
          <cell r="B118" t="str">
            <v>EDGARD JAMHOUR</v>
          </cell>
          <cell r="AI118">
            <v>14</v>
          </cell>
        </row>
        <row r="119">
          <cell r="B119" t="str">
            <v>GRACINDA MARIA D ALMEIDA E OLIVEIRA</v>
          </cell>
          <cell r="AI119">
            <v>18</v>
          </cell>
        </row>
        <row r="120">
          <cell r="B120" t="str">
            <v>ERNESTO JOSUE SCHMITT</v>
          </cell>
          <cell r="AI120">
            <v>16</v>
          </cell>
        </row>
        <row r="121">
          <cell r="B121" t="str">
            <v>TREICE CRISTINA DA CRUZ</v>
          </cell>
          <cell r="AI121">
            <v>0</v>
          </cell>
        </row>
        <row r="122">
          <cell r="B122" t="str">
            <v>SUYANNE TOLENTINO DE SOUZA</v>
          </cell>
          <cell r="AI122">
            <v>34</v>
          </cell>
        </row>
        <row r="123">
          <cell r="B123" t="str">
            <v>MARISA INES CORRADI</v>
          </cell>
          <cell r="AI123">
            <v>16</v>
          </cell>
        </row>
        <row r="124">
          <cell r="B124" t="str">
            <v>EDSON EMILIO SCALABRIN</v>
          </cell>
          <cell r="AI124">
            <v>32</v>
          </cell>
        </row>
        <row r="125">
          <cell r="B125" t="str">
            <v>RUY INACIO NEIVA DE CARVALHO</v>
          </cell>
          <cell r="AI125">
            <v>31</v>
          </cell>
        </row>
        <row r="126">
          <cell r="B126" t="str">
            <v>PEDRO VICENTE MICHELOTTO JUNIOR</v>
          </cell>
          <cell r="AI126">
            <v>33</v>
          </cell>
        </row>
        <row r="127">
          <cell r="B127" t="str">
            <v>MARIA ANGELA MOSCALEWSKI ROVEREDO DOS SANTOS</v>
          </cell>
          <cell r="AI127">
            <v>10</v>
          </cell>
        </row>
        <row r="128">
          <cell r="B128" t="str">
            <v>ADRIANA CRISTINA CORSICO DITTMAR</v>
          </cell>
          <cell r="AI128">
            <v>16</v>
          </cell>
        </row>
        <row r="129">
          <cell r="B129" t="str">
            <v>SANDRA MARA FLUGEL ASSAD</v>
          </cell>
          <cell r="AI129">
            <v>2</v>
          </cell>
        </row>
        <row r="130">
          <cell r="B130" t="str">
            <v>AFONSO FERREIRA MIGUEL</v>
          </cell>
          <cell r="AI130">
            <v>20</v>
          </cell>
        </row>
        <row r="131">
          <cell r="B131" t="str">
            <v>FRED LACERDA AMORIM</v>
          </cell>
          <cell r="AI131">
            <v>40</v>
          </cell>
        </row>
        <row r="132">
          <cell r="B132" t="str">
            <v>ANDREIA MALUCELLI</v>
          </cell>
          <cell r="AI132">
            <v>40</v>
          </cell>
        </row>
        <row r="133">
          <cell r="B133" t="str">
            <v>EDUARDO DE FREITAS ROCHA LOURES</v>
          </cell>
          <cell r="AI133">
            <v>36</v>
          </cell>
        </row>
        <row r="134">
          <cell r="B134" t="str">
            <v>NATHAN MENDES</v>
          </cell>
          <cell r="AI134">
            <v>40</v>
          </cell>
        </row>
        <row r="135">
          <cell r="B135" t="str">
            <v>SYLVIA RAMOS LEITAO</v>
          </cell>
          <cell r="AI135">
            <v>14</v>
          </cell>
        </row>
        <row r="136">
          <cell r="B136" t="str">
            <v>KUNG DARH CHI</v>
          </cell>
          <cell r="AI136">
            <v>24</v>
          </cell>
        </row>
        <row r="137">
          <cell r="B137" t="str">
            <v>NANCY VALENTE</v>
          </cell>
          <cell r="AI137">
            <v>2</v>
          </cell>
        </row>
        <row r="138">
          <cell r="B138" t="str">
            <v>ENIO FRANCISCO MOURA</v>
          </cell>
          <cell r="AI138">
            <v>4</v>
          </cell>
        </row>
        <row r="139">
          <cell r="B139" t="str">
            <v>MARCIO SAPORSKI SEGUI</v>
          </cell>
          <cell r="AI139">
            <v>15</v>
          </cell>
        </row>
        <row r="140">
          <cell r="B140" t="str">
            <v>LUCIA DE NORONHA</v>
          </cell>
          <cell r="AI140">
            <v>35</v>
          </cell>
        </row>
        <row r="141">
          <cell r="B141" t="str">
            <v>CARLOS ROBERTO ROMANIELLO</v>
          </cell>
          <cell r="AI141">
            <v>14</v>
          </cell>
        </row>
        <row r="142">
          <cell r="B142" t="str">
            <v>PAULO OTAVIO MUSSI AUGUSTO</v>
          </cell>
          <cell r="AI142">
            <v>12</v>
          </cell>
        </row>
        <row r="143">
          <cell r="B143" t="str">
            <v>ANDREA PAULA FREGONEZE</v>
          </cell>
          <cell r="AI143">
            <v>4</v>
          </cell>
        </row>
        <row r="144">
          <cell r="B144" t="str">
            <v>CESAR CANDIOTTO</v>
          </cell>
          <cell r="AI144">
            <v>40</v>
          </cell>
        </row>
        <row r="145">
          <cell r="B145" t="str">
            <v>CRISTINA SANTOS SOTOMAIOR</v>
          </cell>
          <cell r="AI145">
            <v>40</v>
          </cell>
        </row>
        <row r="146">
          <cell r="B146" t="str">
            <v>CRISTIANE GONCALVES RIBAS</v>
          </cell>
          <cell r="AI146">
            <v>22</v>
          </cell>
        </row>
        <row r="147">
          <cell r="B147" t="str">
            <v>DANIELE LUCY LOPES DE SEHLI</v>
          </cell>
          <cell r="AI147">
            <v>32</v>
          </cell>
        </row>
        <row r="148">
          <cell r="B148" t="str">
            <v>RENATA ERNLUND FREITAS DE MACEDO</v>
          </cell>
          <cell r="AI148">
            <v>37</v>
          </cell>
        </row>
        <row r="149">
          <cell r="B149" t="str">
            <v>LUIS MAURO MOURA</v>
          </cell>
          <cell r="AI149">
            <v>34</v>
          </cell>
        </row>
        <row r="150">
          <cell r="B150" t="str">
            <v>CEZAR AUGUSTO DE OLIVEIRA FRANCO</v>
          </cell>
          <cell r="AI150">
            <v>32</v>
          </cell>
        </row>
        <row r="151">
          <cell r="B151" t="str">
            <v>VOLDI COSTA ZAMBENEDETTI</v>
          </cell>
          <cell r="AI151">
            <v>12</v>
          </cell>
        </row>
        <row r="152">
          <cell r="B152" t="str">
            <v>MARCO AURELIO GUIMARAES</v>
          </cell>
          <cell r="AI152">
            <v>4</v>
          </cell>
        </row>
        <row r="153">
          <cell r="B153" t="str">
            <v>IVAN JORGE CHUEIRI</v>
          </cell>
          <cell r="AI153">
            <v>16</v>
          </cell>
        </row>
        <row r="154">
          <cell r="B154" t="str">
            <v>JOSE GERALDO LOPES DE NORONHA FILHO</v>
          </cell>
          <cell r="AI154">
            <v>24</v>
          </cell>
        </row>
        <row r="155">
          <cell r="B155" t="str">
            <v>UBIRATA TORTATO</v>
          </cell>
          <cell r="AI155">
            <v>32</v>
          </cell>
        </row>
        <row r="156">
          <cell r="B156" t="str">
            <v>LUIZ ERNANDES KOZICKI</v>
          </cell>
          <cell r="AI156">
            <v>35</v>
          </cell>
        </row>
        <row r="157">
          <cell r="B157" t="str">
            <v>LUIZ AUGUSTO DE PAULA LIMA JUNIOR</v>
          </cell>
          <cell r="AI157">
            <v>8</v>
          </cell>
        </row>
        <row r="158">
          <cell r="B158" t="str">
            <v>MARI REGINA ANASTACIO</v>
          </cell>
          <cell r="AI158">
            <v>16</v>
          </cell>
        </row>
        <row r="159">
          <cell r="B159" t="str">
            <v>JACI DE FATIMA SOUZA CANDIOTTO</v>
          </cell>
          <cell r="AI159">
            <v>32</v>
          </cell>
        </row>
        <row r="160">
          <cell r="B160" t="str">
            <v>IVETE MOROSOV</v>
          </cell>
          <cell r="AI160">
            <v>6</v>
          </cell>
        </row>
        <row r="161">
          <cell r="B161" t="str">
            <v>EVELISE MACHADO DE SOUZA</v>
          </cell>
          <cell r="AI161">
            <v>31</v>
          </cell>
        </row>
        <row r="162">
          <cell r="B162" t="str">
            <v>RUDIGER DANIEL OLLHOFF</v>
          </cell>
          <cell r="AI162">
            <v>34</v>
          </cell>
        </row>
        <row r="163">
          <cell r="B163" t="str">
            <v>INEZ GAIAS</v>
          </cell>
          <cell r="AI163">
            <v>2</v>
          </cell>
        </row>
        <row r="164">
          <cell r="B164" t="str">
            <v>RICARDO DIEGO TORRES</v>
          </cell>
          <cell r="AI164">
            <v>32</v>
          </cell>
        </row>
        <row r="165">
          <cell r="B165" t="str">
            <v>VIDAL MARTINS</v>
          </cell>
          <cell r="AI165">
            <v>40</v>
          </cell>
        </row>
        <row r="166">
          <cell r="B166" t="str">
            <v>PATRICIA MARIA STUELP CAMPELO</v>
          </cell>
          <cell r="AI166">
            <v>12</v>
          </cell>
        </row>
        <row r="167">
          <cell r="B167" t="str">
            <v>MARCELO RUDEK</v>
          </cell>
          <cell r="AI167">
            <v>32</v>
          </cell>
        </row>
        <row r="168">
          <cell r="B168" t="str">
            <v>EDUARDO BIACCHI GOMES</v>
          </cell>
          <cell r="AI168">
            <v>8</v>
          </cell>
        </row>
        <row r="169">
          <cell r="B169" t="str">
            <v>VINICIUS AUGUSTO TRAMONTINA</v>
          </cell>
          <cell r="AI169">
            <v>6</v>
          </cell>
        </row>
        <row r="170">
          <cell r="B170" t="str">
            <v>ELISA SOUZA CAMARGO</v>
          </cell>
          <cell r="AI170">
            <v>34</v>
          </cell>
        </row>
        <row r="171">
          <cell r="B171" t="str">
            <v>JEFFERSON PEDRO CUNHA</v>
          </cell>
          <cell r="AI171">
            <v>12</v>
          </cell>
        </row>
        <row r="172">
          <cell r="B172" t="str">
            <v>HUMBERTO MACIEL FRANCA MADEIRA</v>
          </cell>
          <cell r="AI172">
            <v>22</v>
          </cell>
        </row>
        <row r="173">
          <cell r="B173" t="str">
            <v>OSIRIS CANCIGLIERI JUNIOR</v>
          </cell>
          <cell r="AI173">
            <v>40</v>
          </cell>
        </row>
        <row r="174">
          <cell r="B174" t="str">
            <v>FABRICIO ENEMBRECK</v>
          </cell>
          <cell r="AI174">
            <v>34</v>
          </cell>
        </row>
        <row r="175">
          <cell r="B175" t="str">
            <v>MARTA LUCIANE FISCHER</v>
          </cell>
          <cell r="AI175">
            <v>32</v>
          </cell>
        </row>
        <row r="176">
          <cell r="B176" t="str">
            <v>SELENE ELIFIO ESPOSITO</v>
          </cell>
          <cell r="AI176">
            <v>38</v>
          </cell>
        </row>
        <row r="177">
          <cell r="B177" t="str">
            <v>MARCELO EDUARDO PELLENZ</v>
          </cell>
          <cell r="AI177">
            <v>32</v>
          </cell>
        </row>
        <row r="178">
          <cell r="B178" t="str">
            <v>CLEUSA DE CASTRO</v>
          </cell>
          <cell r="AI178">
            <v>24</v>
          </cell>
        </row>
        <row r="179">
          <cell r="B179" t="str">
            <v>CARLOS AUGUSTO CANDEO FONTANINI</v>
          </cell>
          <cell r="AI179">
            <v>24</v>
          </cell>
        </row>
        <row r="180">
          <cell r="B180" t="str">
            <v>RICARDO KURESKI</v>
          </cell>
          <cell r="AI180">
            <v>4</v>
          </cell>
        </row>
        <row r="181">
          <cell r="B181" t="str">
            <v>HELIO GOMES COELHO JUNIOR</v>
          </cell>
          <cell r="AI181">
            <v>0</v>
          </cell>
        </row>
        <row r="182">
          <cell r="B182" t="str">
            <v>IVONE MAYUMI IKEDA MORIMOTO</v>
          </cell>
          <cell r="AI182">
            <v>24</v>
          </cell>
        </row>
        <row r="183">
          <cell r="B183" t="str">
            <v>PAULO SERGIO BATISTA DE PAULA</v>
          </cell>
          <cell r="AI183">
            <v>1</v>
          </cell>
        </row>
        <row r="184">
          <cell r="B184" t="str">
            <v>JOSE MARIA TIEPOLO</v>
          </cell>
          <cell r="AI184">
            <v>4</v>
          </cell>
        </row>
        <row r="185">
          <cell r="B185" t="str">
            <v>PAULA CRISTINA TREVILATTO</v>
          </cell>
          <cell r="AI185">
            <v>40</v>
          </cell>
        </row>
        <row r="186">
          <cell r="B186" t="str">
            <v>OKSANDRO OSDIVAL GONCALVES</v>
          </cell>
          <cell r="AI186">
            <v>30</v>
          </cell>
        </row>
        <row r="187">
          <cell r="B187" t="str">
            <v>EDILBERTO NUNES DE MOURA</v>
          </cell>
          <cell r="AI187">
            <v>37</v>
          </cell>
        </row>
        <row r="188">
          <cell r="B188" t="str">
            <v>EMERSON MARTIM</v>
          </cell>
          <cell r="AI188">
            <v>16</v>
          </cell>
        </row>
        <row r="189">
          <cell r="B189" t="str">
            <v>HELENA DE TOLEDO COELHO</v>
          </cell>
          <cell r="AI189">
            <v>8</v>
          </cell>
        </row>
        <row r="190">
          <cell r="B190" t="str">
            <v>PAULO SERGIO MACUCHEN NOGAS</v>
          </cell>
          <cell r="AI190">
            <v>40</v>
          </cell>
        </row>
        <row r="191">
          <cell r="B191" t="str">
            <v>SOLANGE FERNANDES</v>
          </cell>
          <cell r="AI191">
            <v>4</v>
          </cell>
        </row>
        <row r="192">
          <cell r="B192" t="str">
            <v>DANIELLE ANNE PAMPLONA</v>
          </cell>
          <cell r="AI192">
            <v>40</v>
          </cell>
        </row>
        <row r="193">
          <cell r="B193" t="str">
            <v>LUIS FERNANDO FONSECA KASPRZAK</v>
          </cell>
          <cell r="AI193">
            <v>38</v>
          </cell>
        </row>
        <row r="194">
          <cell r="B194" t="str">
            <v>JOAO ARMANDO BRANCHER</v>
          </cell>
          <cell r="AI194">
            <v>9</v>
          </cell>
        </row>
        <row r="195">
          <cell r="B195" t="str">
            <v>EDVALDO ANTONIO RIBEIRO ROSA</v>
          </cell>
          <cell r="AI195">
            <v>32</v>
          </cell>
        </row>
        <row r="196">
          <cell r="B196" t="str">
            <v>FERNANDO MEYER</v>
          </cell>
          <cell r="AI196">
            <v>8</v>
          </cell>
        </row>
        <row r="197">
          <cell r="B197" t="str">
            <v>ANOR SGANZERLA</v>
          </cell>
          <cell r="AI197">
            <v>30</v>
          </cell>
        </row>
        <row r="198">
          <cell r="B198" t="str">
            <v>RAQUEL PANKE BITTENCOURT</v>
          </cell>
          <cell r="AI198">
            <v>8</v>
          </cell>
        </row>
        <row r="199">
          <cell r="B199" t="str">
            <v>ANGELA LEITAO SALLEM</v>
          </cell>
          <cell r="AI199">
            <v>40</v>
          </cell>
        </row>
        <row r="200">
          <cell r="B200" t="str">
            <v>CLAUDIO RICARDO VIEIRA CARVILHE</v>
          </cell>
          <cell r="AI200">
            <v>14</v>
          </cell>
        </row>
        <row r="201">
          <cell r="B201" t="str">
            <v>LUCIANO CARDOSO</v>
          </cell>
          <cell r="AI201">
            <v>0</v>
          </cell>
        </row>
        <row r="202">
          <cell r="B202" t="str">
            <v>CRISTINA YUKIE MIYAKI</v>
          </cell>
          <cell r="AI202">
            <v>20</v>
          </cell>
        </row>
        <row r="203">
          <cell r="B203" t="str">
            <v>RODRIGO NUNES RACHED</v>
          </cell>
          <cell r="AI203">
            <v>31</v>
          </cell>
        </row>
        <row r="204">
          <cell r="B204" t="str">
            <v>SILVIO MIRO FRANCHI</v>
          </cell>
          <cell r="AI204">
            <v>8</v>
          </cell>
        </row>
        <row r="205">
          <cell r="B205" t="str">
            <v>EDUARDO OLIVEIRA AGUSTINHO</v>
          </cell>
          <cell r="AI205">
            <v>32</v>
          </cell>
        </row>
        <row r="206">
          <cell r="B206" t="str">
            <v>RITA MARIA VENANCIO MANGRICH ROCHA</v>
          </cell>
          <cell r="AI206">
            <v>24</v>
          </cell>
        </row>
        <row r="207">
          <cell r="B207" t="str">
            <v>JOSE GUSTAVO DE OLIVEIRA FRANCO</v>
          </cell>
          <cell r="AI207">
            <v>0</v>
          </cell>
        </row>
        <row r="208">
          <cell r="B208" t="str">
            <v>ANA BEATRIZ COSTA SILVA</v>
          </cell>
          <cell r="AI208">
            <v>17</v>
          </cell>
        </row>
        <row r="209">
          <cell r="B209" t="str">
            <v>AIRTON RODRIGUES PINTO JUNIOR</v>
          </cell>
          <cell r="AI209">
            <v>8</v>
          </cell>
        </row>
        <row r="210">
          <cell r="B210" t="str">
            <v>CARLA CORRADI PERINI</v>
          </cell>
          <cell r="AI210">
            <v>36</v>
          </cell>
        </row>
        <row r="211">
          <cell r="B211" t="str">
            <v>CILENE DA SILVA GOMES RIBEIRO</v>
          </cell>
          <cell r="AI211">
            <v>31</v>
          </cell>
        </row>
        <row r="212">
          <cell r="B212" t="str">
            <v>JULIO CESAR DE MOURA LEITE</v>
          </cell>
          <cell r="AI212">
            <v>9</v>
          </cell>
        </row>
        <row r="213">
          <cell r="B213" t="str">
            <v>CINTHIA BITTENCOURT SPRICIGO</v>
          </cell>
          <cell r="AI213">
            <v>24</v>
          </cell>
        </row>
        <row r="214">
          <cell r="B214" t="str">
            <v>PAULA CHRISTINA PIRES MULLER MAINGUE</v>
          </cell>
          <cell r="AI214">
            <v>24</v>
          </cell>
        </row>
        <row r="215">
          <cell r="B215" t="str">
            <v>CLAUDIO JOSE BELTRAO</v>
          </cell>
          <cell r="AI215">
            <v>12</v>
          </cell>
        </row>
        <row r="216">
          <cell r="B216" t="str">
            <v>FERNANDA BIAZETTO VILAR FABRICIO</v>
          </cell>
          <cell r="AI216">
            <v>6</v>
          </cell>
        </row>
        <row r="217">
          <cell r="B217" t="str">
            <v>ERICSON SAVIO FALABRETTI</v>
          </cell>
          <cell r="AI217">
            <v>40</v>
          </cell>
        </row>
        <row r="218">
          <cell r="B218" t="str">
            <v>LUCAS BACH ADADA</v>
          </cell>
          <cell r="AI218">
            <v>2</v>
          </cell>
        </row>
        <row r="219">
          <cell r="B219" t="str">
            <v>JULIO CEZAR MERLIN</v>
          </cell>
          <cell r="AI219">
            <v>16</v>
          </cell>
        </row>
        <row r="220">
          <cell r="B220" t="str">
            <v>MIRIAN CELIA CASTELLAIN GUEBERT</v>
          </cell>
          <cell r="AI220">
            <v>36</v>
          </cell>
        </row>
        <row r="221">
          <cell r="B221" t="str">
            <v>KEY FONSECA DE LIMA</v>
          </cell>
          <cell r="AI221">
            <v>32</v>
          </cell>
        </row>
        <row r="222">
          <cell r="B222" t="str">
            <v>VIVIAN CRISTINA LIMA LOPEZ VALLE</v>
          </cell>
          <cell r="AI222">
            <v>32</v>
          </cell>
        </row>
        <row r="223">
          <cell r="B223" t="str">
            <v>MARCONI RODRIGUES DE FARIAS</v>
          </cell>
          <cell r="AI223">
            <v>38</v>
          </cell>
        </row>
        <row r="224">
          <cell r="B224" t="str">
            <v>RICARDO CASSIANO NABHEN</v>
          </cell>
          <cell r="AI224">
            <v>28</v>
          </cell>
        </row>
        <row r="225">
          <cell r="B225" t="str">
            <v>ADALBERTO CARAMORI PETRY</v>
          </cell>
          <cell r="AI225">
            <v>2</v>
          </cell>
        </row>
        <row r="226">
          <cell r="B226" t="str">
            <v>HAROLDO OSMAR DE PAULA JUNIOR</v>
          </cell>
          <cell r="AI226">
            <v>10</v>
          </cell>
        </row>
        <row r="227">
          <cell r="B227" t="str">
            <v>ROSANE DE MELLO SANTO NICOLA</v>
          </cell>
          <cell r="AI227">
            <v>23</v>
          </cell>
        </row>
        <row r="228">
          <cell r="B228" t="str">
            <v>PATRICIA APARECIDA PIASSETTA</v>
          </cell>
          <cell r="AI228">
            <v>0</v>
          </cell>
        </row>
        <row r="229">
          <cell r="B229" t="str">
            <v>RENATO MACHNIEVSCZ</v>
          </cell>
          <cell r="AI229">
            <v>18</v>
          </cell>
        </row>
        <row r="230">
          <cell r="B230" t="str">
            <v>GISELE RICHTER MINHOTO</v>
          </cell>
          <cell r="AI230">
            <v>15</v>
          </cell>
        </row>
        <row r="231">
          <cell r="B231" t="str">
            <v>RENATA CESCHIN MELFI DE MACEDO</v>
          </cell>
          <cell r="AI231">
            <v>40</v>
          </cell>
        </row>
        <row r="232">
          <cell r="B232" t="str">
            <v>PAULO HENRIQUE COUTO SOUZA</v>
          </cell>
          <cell r="AI232">
            <v>29</v>
          </cell>
        </row>
        <row r="233">
          <cell r="B233" t="str">
            <v>SOLANGE DE LIMA BARBOSA</v>
          </cell>
          <cell r="AI233">
            <v>24</v>
          </cell>
        </row>
        <row r="234">
          <cell r="B234" t="str">
            <v>WALDIR SOUZA</v>
          </cell>
          <cell r="AI234">
            <v>36</v>
          </cell>
        </row>
        <row r="235">
          <cell r="B235" t="str">
            <v>ARNALDO CARLOS MULLER JUNIOR</v>
          </cell>
          <cell r="AI235">
            <v>10</v>
          </cell>
        </row>
        <row r="236">
          <cell r="B236" t="str">
            <v>MARCOS JOSE ZABLONSKY</v>
          </cell>
          <cell r="AI236">
            <v>17</v>
          </cell>
        </row>
        <row r="237">
          <cell r="B237" t="str">
            <v>MARCELO CICHACZ</v>
          </cell>
          <cell r="AI237">
            <v>6</v>
          </cell>
        </row>
        <row r="238">
          <cell r="B238" t="str">
            <v>MARIA CECILIA BARRETO AMORIM PILLA</v>
          </cell>
          <cell r="AI238">
            <v>40</v>
          </cell>
        </row>
        <row r="239">
          <cell r="B239" t="str">
            <v>RICARDO HENRIQUE DIAS</v>
          </cell>
          <cell r="AI239">
            <v>10</v>
          </cell>
        </row>
        <row r="240">
          <cell r="B240" t="str">
            <v>CRISTINA VERCOSA PEREZ BARRIOS DE SOUZA</v>
          </cell>
          <cell r="AI240">
            <v>12</v>
          </cell>
        </row>
        <row r="241">
          <cell r="B241" t="str">
            <v>JUCIMERI ISOLDA SILVEIRA</v>
          </cell>
          <cell r="AI241">
            <v>36</v>
          </cell>
        </row>
        <row r="242">
          <cell r="B242" t="str">
            <v>MARCIA REGINA CUBAS</v>
          </cell>
          <cell r="AI242">
            <v>34</v>
          </cell>
        </row>
        <row r="243">
          <cell r="B243" t="str">
            <v>MAURICIO DE CARVALHO</v>
          </cell>
          <cell r="AI243">
            <v>8</v>
          </cell>
        </row>
        <row r="244">
          <cell r="B244" t="str">
            <v>SHEILA DOS SANTOS REINEHR</v>
          </cell>
          <cell r="AI244">
            <v>34</v>
          </cell>
        </row>
        <row r="245">
          <cell r="B245" t="str">
            <v>CYNTIA ERTHAL LEINIG</v>
          </cell>
          <cell r="AI245">
            <v>23</v>
          </cell>
        </row>
        <row r="246">
          <cell r="B246" t="str">
            <v>ANGELA BONJORNO ARANTES</v>
          </cell>
          <cell r="AI246">
            <v>10</v>
          </cell>
        </row>
        <row r="247">
          <cell r="B247" t="str">
            <v>ROSANI KUCARZ DA CUNHA</v>
          </cell>
          <cell r="AI247">
            <v>0</v>
          </cell>
        </row>
        <row r="248">
          <cell r="B248" t="str">
            <v>ANDRE OSTRENSKY</v>
          </cell>
          <cell r="AI248">
            <v>10</v>
          </cell>
        </row>
        <row r="249">
          <cell r="B249" t="str">
            <v>JOSE ADEMAR VILLANOVA JUNIOR</v>
          </cell>
          <cell r="AI249">
            <v>28</v>
          </cell>
        </row>
        <row r="250">
          <cell r="B250" t="str">
            <v>LUCIANA CAETANO DA SILVA</v>
          </cell>
          <cell r="AI250">
            <v>36</v>
          </cell>
        </row>
        <row r="251">
          <cell r="B251" t="str">
            <v>MARICE TAQUES PEREIRA</v>
          </cell>
          <cell r="AI251">
            <v>4</v>
          </cell>
        </row>
        <row r="252">
          <cell r="B252" t="str">
            <v>MARIO SERGIO LEPRE</v>
          </cell>
          <cell r="AI252">
            <v>6</v>
          </cell>
        </row>
        <row r="253">
          <cell r="B253" t="str">
            <v>PAULO SERGIO MIGUEL</v>
          </cell>
          <cell r="AI253">
            <v>16</v>
          </cell>
        </row>
        <row r="254">
          <cell r="B254" t="str">
            <v>KLEBER BEZ BIROLO CANDIOTTO</v>
          </cell>
          <cell r="AI254">
            <v>32</v>
          </cell>
        </row>
        <row r="255">
          <cell r="B255" t="str">
            <v>ANDREA NOVAIS MORENO AMARAL</v>
          </cell>
          <cell r="AI255">
            <v>36</v>
          </cell>
        </row>
        <row r="256">
          <cell r="B256" t="str">
            <v>CLOVIS ULTRAMARI</v>
          </cell>
          <cell r="AI256">
            <v>40</v>
          </cell>
        </row>
        <row r="257">
          <cell r="B257" t="str">
            <v>REGINALDO RODRIGUES DA COSTA</v>
          </cell>
          <cell r="AI257">
            <v>14</v>
          </cell>
        </row>
        <row r="258">
          <cell r="B258" t="str">
            <v>ERICA REGINA TAKANO NATTI</v>
          </cell>
          <cell r="AI258">
            <v>30</v>
          </cell>
        </row>
        <row r="259">
          <cell r="B259" t="str">
            <v>CEZAR BUENO DE LIMA</v>
          </cell>
          <cell r="AI259">
            <v>32</v>
          </cell>
        </row>
        <row r="260">
          <cell r="B260" t="str">
            <v>GLAUCIA LUNKMOSS</v>
          </cell>
          <cell r="AI260">
            <v>2</v>
          </cell>
        </row>
        <row r="261">
          <cell r="B261" t="str">
            <v>VIVIANE DA SILVA LOPES HAMBRUSCH</v>
          </cell>
          <cell r="AI261">
            <v>0</v>
          </cell>
        </row>
        <row r="262">
          <cell r="B262" t="str">
            <v>SALMA ALI EL CHAB PAROLIN</v>
          </cell>
          <cell r="AI262">
            <v>22</v>
          </cell>
        </row>
        <row r="263">
          <cell r="B263" t="str">
            <v>ANA CRISTINA RAVAZZANI DE ALMEIDA FARIA</v>
          </cell>
          <cell r="AI263">
            <v>25</v>
          </cell>
        </row>
        <row r="264">
          <cell r="B264" t="str">
            <v>FRANCISCO VERARDI BOCCA</v>
          </cell>
          <cell r="AI264">
            <v>30</v>
          </cell>
        </row>
        <row r="265">
          <cell r="B265" t="str">
            <v>EDUARDO BASTOS DE BARROS</v>
          </cell>
          <cell r="AI265">
            <v>1</v>
          </cell>
        </row>
        <row r="266">
          <cell r="B266" t="str">
            <v>MAGDA ROSA RAMOS DA CRUZ</v>
          </cell>
          <cell r="AI266">
            <v>19</v>
          </cell>
        </row>
        <row r="267">
          <cell r="B267" t="str">
            <v>SONIA MARA LUCZYSZYN</v>
          </cell>
          <cell r="AI267">
            <v>18</v>
          </cell>
        </row>
        <row r="268">
          <cell r="B268" t="str">
            <v>ULISSES XAVIER DA SILVA NETO</v>
          </cell>
          <cell r="AI268">
            <v>27</v>
          </cell>
        </row>
        <row r="269">
          <cell r="B269" t="str">
            <v>VILMAR RODRIGUES MOREIRA</v>
          </cell>
          <cell r="AI269">
            <v>32</v>
          </cell>
        </row>
        <row r="270">
          <cell r="B270" t="str">
            <v>MARCIA OLANDOSKI</v>
          </cell>
          <cell r="AI270">
            <v>40</v>
          </cell>
        </row>
        <row r="271">
          <cell r="B271" t="str">
            <v>MOZART GONCALVES</v>
          </cell>
          <cell r="AI271">
            <v>17</v>
          </cell>
        </row>
        <row r="272">
          <cell r="B272" t="str">
            <v>WALTER BARBOSA BITTAR</v>
          </cell>
          <cell r="AI272">
            <v>4</v>
          </cell>
        </row>
        <row r="273">
          <cell r="B273" t="str">
            <v>SERGIO BARBOSA RODRIGUES</v>
          </cell>
          <cell r="AI273">
            <v>4</v>
          </cell>
        </row>
        <row r="274">
          <cell r="B274" t="str">
            <v>CLAUDIA BELLANDA PEGINI</v>
          </cell>
          <cell r="AI274">
            <v>23</v>
          </cell>
        </row>
        <row r="275">
          <cell r="B275" t="str">
            <v>HELIO JOSE BAMBERG</v>
          </cell>
          <cell r="AI275">
            <v>12</v>
          </cell>
        </row>
        <row r="276">
          <cell r="B276" t="str">
            <v>AGUILAR SELHORST JUNIOR</v>
          </cell>
          <cell r="AI276">
            <v>40</v>
          </cell>
        </row>
        <row r="277">
          <cell r="B277" t="str">
            <v>ALCEU SOUZA</v>
          </cell>
          <cell r="AI277">
            <v>32</v>
          </cell>
        </row>
        <row r="278">
          <cell r="B278" t="str">
            <v>FERNANDA LETICIA SOARES PINHEIRO</v>
          </cell>
          <cell r="AI278">
            <v>20</v>
          </cell>
        </row>
        <row r="279">
          <cell r="B279" t="str">
            <v>DENIS ALCIDES REZENDE</v>
          </cell>
          <cell r="AI279">
            <v>36</v>
          </cell>
        </row>
        <row r="280">
          <cell r="B280" t="str">
            <v>VICTOR HORACIO DE SOUZA COSTA JUNIOR</v>
          </cell>
          <cell r="AI280">
            <v>34</v>
          </cell>
        </row>
        <row r="281">
          <cell r="B281" t="str">
            <v>ERICSON LUIZ STRAUB</v>
          </cell>
          <cell r="AI281">
            <v>0</v>
          </cell>
        </row>
        <row r="282">
          <cell r="B282" t="str">
            <v>LORENA BORTOLINI NAVARRO</v>
          </cell>
          <cell r="AI282">
            <v>4</v>
          </cell>
        </row>
        <row r="283">
          <cell r="B283" t="str">
            <v>LUCIANA REIS AZEVEDO ALANIS</v>
          </cell>
          <cell r="AI283">
            <v>28</v>
          </cell>
        </row>
        <row r="284">
          <cell r="B284" t="str">
            <v>MARIA HELOISA MADRUGA CHAVES</v>
          </cell>
          <cell r="AI284">
            <v>4</v>
          </cell>
        </row>
        <row r="285">
          <cell r="B285" t="str">
            <v>MARTA MARIA BERTAN SELLA GABARDO</v>
          </cell>
          <cell r="AI285">
            <v>2</v>
          </cell>
        </row>
        <row r="286">
          <cell r="B286" t="str">
            <v>MICHELLE SANTOS VIANNA</v>
          </cell>
          <cell r="AI286">
            <v>27</v>
          </cell>
        </row>
        <row r="287">
          <cell r="B287" t="str">
            <v>PURA LUCIA OLIVER MARTINS</v>
          </cell>
          <cell r="AI287">
            <v>30</v>
          </cell>
        </row>
        <row r="288">
          <cell r="B288" t="str">
            <v>ROBERTO FLAVIO SILVA PECOITS FILHO</v>
          </cell>
          <cell r="AI288">
            <v>20</v>
          </cell>
        </row>
        <row r="289">
          <cell r="B289" t="str">
            <v>EVERALDO ANTONIO RUTANA PEREIRA</v>
          </cell>
          <cell r="AI289">
            <v>4</v>
          </cell>
        </row>
        <row r="290">
          <cell r="B290" t="str">
            <v>SANDRA BATISTA DA COSTA</v>
          </cell>
          <cell r="AI290">
            <v>5</v>
          </cell>
        </row>
        <row r="291">
          <cell r="B291" t="str">
            <v>ADRIANA APARECIDA DAMBROS DA SILVA</v>
          </cell>
          <cell r="AI291">
            <v>38</v>
          </cell>
        </row>
        <row r="292">
          <cell r="B292" t="str">
            <v>CAROLINE FILLA ROSANELI</v>
          </cell>
          <cell r="AI292">
            <v>40</v>
          </cell>
        </row>
        <row r="293">
          <cell r="B293" t="str">
            <v>BRUNO CAMPAGNOLO DE PAULA</v>
          </cell>
          <cell r="AI293">
            <v>36</v>
          </cell>
        </row>
        <row r="294">
          <cell r="B294" t="str">
            <v>MARCELO PONESTKI OLIVEIRA</v>
          </cell>
          <cell r="AI294">
            <v>14</v>
          </cell>
        </row>
        <row r="295">
          <cell r="B295" t="str">
            <v>LINDOMAR WESSLER BONETI</v>
          </cell>
          <cell r="AI295">
            <v>30</v>
          </cell>
        </row>
        <row r="296">
          <cell r="B296" t="str">
            <v>JHONATAN GEREMIAS</v>
          </cell>
          <cell r="AI296">
            <v>12</v>
          </cell>
        </row>
        <row r="297">
          <cell r="B297" t="str">
            <v>ROSA LYDIA TEIXEIRA CORREA</v>
          </cell>
          <cell r="AI297">
            <v>32</v>
          </cell>
        </row>
        <row r="298">
          <cell r="B298" t="str">
            <v>MARISTELA DENISE MARQUES DE SOUZA</v>
          </cell>
          <cell r="AI298">
            <v>12</v>
          </cell>
        </row>
        <row r="299">
          <cell r="B299" t="str">
            <v>UBIRAJARA IOBE TASQUETI</v>
          </cell>
          <cell r="AI299">
            <v>24</v>
          </cell>
        </row>
        <row r="300">
          <cell r="B300" t="str">
            <v>FERNANDO LOVEL BERGAMASCO</v>
          </cell>
          <cell r="AI300">
            <v>4</v>
          </cell>
        </row>
        <row r="301">
          <cell r="B301" t="str">
            <v>GIANA SILVEIRA GIOSTRI</v>
          </cell>
          <cell r="AI301">
            <v>30</v>
          </cell>
        </row>
        <row r="302">
          <cell r="B302" t="str">
            <v>JAMIL FAISSAL SONI</v>
          </cell>
          <cell r="AI302">
            <v>32</v>
          </cell>
        </row>
        <row r="303">
          <cell r="B303" t="str">
            <v>JOAO EDUARDO LEAL NICOLUZZI</v>
          </cell>
          <cell r="AI303">
            <v>4</v>
          </cell>
        </row>
        <row r="304">
          <cell r="B304" t="str">
            <v>ANA PAULA GULARTE LIBERATO</v>
          </cell>
          <cell r="AI304">
            <v>28</v>
          </cell>
        </row>
        <row r="305">
          <cell r="B305" t="str">
            <v>JAIME JOSE RAUBER</v>
          </cell>
          <cell r="AI305">
            <v>20</v>
          </cell>
        </row>
        <row r="306">
          <cell r="B306" t="str">
            <v>MARIA CECILIA DE LIMA RORIG</v>
          </cell>
          <cell r="AI306">
            <v>20</v>
          </cell>
        </row>
        <row r="307">
          <cell r="B307" t="str">
            <v>LUIZ ALBERTO PEREIRA RIBEIRO</v>
          </cell>
          <cell r="AI307">
            <v>8</v>
          </cell>
        </row>
        <row r="308">
          <cell r="B308" t="str">
            <v>GERALDO ALBERTO SEBBEN</v>
          </cell>
          <cell r="AI308">
            <v>16</v>
          </cell>
        </row>
        <row r="309">
          <cell r="B309" t="str">
            <v>CLAUDINE APARECIDO TERRA</v>
          </cell>
          <cell r="AI309">
            <v>10</v>
          </cell>
        </row>
        <row r="310">
          <cell r="B310" t="str">
            <v>JELSON ROBERTO DE OLIVEIRA</v>
          </cell>
          <cell r="AI310">
            <v>36</v>
          </cell>
        </row>
        <row r="311">
          <cell r="B311" t="str">
            <v>JOSE ROCHA FARIA NETO</v>
          </cell>
          <cell r="AI311">
            <v>36</v>
          </cell>
        </row>
        <row r="312">
          <cell r="B312" t="str">
            <v>ELISANGELA FERRETTI MANFFRA</v>
          </cell>
          <cell r="AI312">
            <v>32</v>
          </cell>
        </row>
        <row r="313">
          <cell r="B313" t="str">
            <v>EDELMI MARCELO KRUGER</v>
          </cell>
          <cell r="AI313">
            <v>0</v>
          </cell>
        </row>
        <row r="314">
          <cell r="B314" t="str">
            <v>LUCI MICHELON LOHMANN</v>
          </cell>
          <cell r="AI314">
            <v>20</v>
          </cell>
        </row>
        <row r="315">
          <cell r="B315" t="str">
            <v>RENE BERGEL</v>
          </cell>
          <cell r="AI315">
            <v>26</v>
          </cell>
        </row>
        <row r="316">
          <cell r="B316" t="str">
            <v>LUIZ CESAR GUARITA SOUZA</v>
          </cell>
          <cell r="AI316">
            <v>40</v>
          </cell>
        </row>
        <row r="317">
          <cell r="B317" t="str">
            <v>FLAVIO PANSIERI</v>
          </cell>
          <cell r="AI317">
            <v>36</v>
          </cell>
        </row>
        <row r="318">
          <cell r="B318" t="str">
            <v>CHRISTIANO FRANCISCO DOS SANTOS</v>
          </cell>
          <cell r="AI318">
            <v>22</v>
          </cell>
        </row>
        <row r="319">
          <cell r="B319" t="str">
            <v>DEMETRIUS COELHO SOUZA</v>
          </cell>
          <cell r="AI319">
            <v>8</v>
          </cell>
        </row>
        <row r="320">
          <cell r="B320" t="str">
            <v>JOSE RAFAEL SOLANO DURAN</v>
          </cell>
          <cell r="AI320">
            <v>28</v>
          </cell>
        </row>
        <row r="321">
          <cell r="B321" t="str">
            <v>VALDECI ELEUTERIO</v>
          </cell>
          <cell r="AI321">
            <v>12</v>
          </cell>
        </row>
        <row r="322">
          <cell r="B322" t="str">
            <v>MARISSE COSTA DE QUEIROZ</v>
          </cell>
          <cell r="AI322">
            <v>8</v>
          </cell>
        </row>
        <row r="323">
          <cell r="B323" t="str">
            <v>FLAVIA AULER</v>
          </cell>
          <cell r="AI323">
            <v>33</v>
          </cell>
        </row>
        <row r="324">
          <cell r="B324" t="str">
            <v>ANDRE PARMO FOLLONI</v>
          </cell>
          <cell r="AI324">
            <v>36</v>
          </cell>
        </row>
        <row r="325">
          <cell r="B325" t="str">
            <v>JOCELINE FRANCO DALL AGNOL</v>
          </cell>
          <cell r="AI325">
            <v>20</v>
          </cell>
        </row>
        <row r="326">
          <cell r="B326" t="str">
            <v>ALEX SANDRO QUADROS WEYMER</v>
          </cell>
          <cell r="AI326">
            <v>32</v>
          </cell>
        </row>
        <row r="327">
          <cell r="B327" t="str">
            <v>RODRIGO DE ANDRADE KERSTEN</v>
          </cell>
          <cell r="AI327">
            <v>24</v>
          </cell>
        </row>
        <row r="328">
          <cell r="B328" t="str">
            <v>LIDIA ANA ZYTYNSKI MOURA</v>
          </cell>
          <cell r="AI328">
            <v>36</v>
          </cell>
        </row>
        <row r="329">
          <cell r="B329" t="str">
            <v>JOSE KNOPFHOLZ</v>
          </cell>
          <cell r="AI329">
            <v>38</v>
          </cell>
        </row>
        <row r="330">
          <cell r="B330" t="str">
            <v>VANESSA YUMIE SALOMAO WATANABE LIBERALESSO</v>
          </cell>
          <cell r="AI330">
            <v>32</v>
          </cell>
        </row>
        <row r="331">
          <cell r="B331" t="str">
            <v>ANA LUIZA DIAS VALIENTE ENGELHORN</v>
          </cell>
          <cell r="AI331">
            <v>14</v>
          </cell>
        </row>
        <row r="332">
          <cell r="B332" t="str">
            <v>EVERDAN CARNEIRO</v>
          </cell>
          <cell r="AI332">
            <v>30</v>
          </cell>
        </row>
        <row r="333">
          <cell r="B333" t="str">
            <v>ALMIR PETERSEN BARRETO</v>
          </cell>
          <cell r="AI333">
            <v>29</v>
          </cell>
        </row>
        <row r="334">
          <cell r="B334" t="str">
            <v>CAROLINA KOSMA KRIEGER</v>
          </cell>
          <cell r="AI334">
            <v>2</v>
          </cell>
        </row>
        <row r="335">
          <cell r="B335" t="str">
            <v>FABIO INACIO PEREIRA</v>
          </cell>
          <cell r="AI335">
            <v>30</v>
          </cell>
        </row>
        <row r="336">
          <cell r="B336" t="str">
            <v>BRUNO SPADONI</v>
          </cell>
          <cell r="AI336">
            <v>8</v>
          </cell>
        </row>
        <row r="337">
          <cell r="B337" t="str">
            <v>PATRICIA GUILLON RIBEIRO</v>
          </cell>
          <cell r="AI337">
            <v>8</v>
          </cell>
        </row>
        <row r="338">
          <cell r="B338" t="str">
            <v>PAULO CESAR ZIMMERMANN FELCHNER</v>
          </cell>
          <cell r="AI338">
            <v>32</v>
          </cell>
        </row>
        <row r="339">
          <cell r="B339" t="str">
            <v>JOAO EDSON KAEFER</v>
          </cell>
          <cell r="AI339">
            <v>16</v>
          </cell>
        </row>
        <row r="340">
          <cell r="B340" t="str">
            <v>ROGERIO TONIOLO</v>
          </cell>
          <cell r="AI340">
            <v>10</v>
          </cell>
        </row>
        <row r="341">
          <cell r="B341" t="str">
            <v>ELADIO CONSTANTINO PABLO CRAIA</v>
          </cell>
          <cell r="AI341">
            <v>30</v>
          </cell>
        </row>
        <row r="342">
          <cell r="B342" t="str">
            <v>MICHAELLA CARLA LAURINDO</v>
          </cell>
          <cell r="AI342">
            <v>30</v>
          </cell>
        </row>
        <row r="343">
          <cell r="B343" t="str">
            <v>VICENTE ARTUSO</v>
          </cell>
          <cell r="AI343">
            <v>30</v>
          </cell>
        </row>
        <row r="344">
          <cell r="B344" t="str">
            <v>EVANDRO JACKSON REDIVO NAVA</v>
          </cell>
          <cell r="AI344">
            <v>30</v>
          </cell>
        </row>
        <row r="345">
          <cell r="B345" t="str">
            <v>MARINA LUISE VIOLA DE AZEVEDO</v>
          </cell>
          <cell r="AI345">
            <v>22</v>
          </cell>
        </row>
        <row r="346">
          <cell r="B346" t="str">
            <v>LEDA RAMOS MAY</v>
          </cell>
          <cell r="AI346">
            <v>4</v>
          </cell>
        </row>
        <row r="347">
          <cell r="B347" t="str">
            <v>GABRIELA RUBIN TOAZZA</v>
          </cell>
          <cell r="AI347">
            <v>30</v>
          </cell>
        </row>
        <row r="348">
          <cell r="B348" t="str">
            <v>CESAR LEANDRO RIBEIRO</v>
          </cell>
          <cell r="AI348">
            <v>40</v>
          </cell>
        </row>
        <row r="349">
          <cell r="B349" t="str">
            <v>PATRICIA CARLA GANDIN PEREIRA</v>
          </cell>
          <cell r="AI349">
            <v>26</v>
          </cell>
        </row>
        <row r="350">
          <cell r="B350" t="str">
            <v>PAULO CESAR SOARES JUNIOR</v>
          </cell>
          <cell r="AI350">
            <v>32</v>
          </cell>
        </row>
        <row r="351">
          <cell r="B351" t="str">
            <v>RODRIGO JOSE FIRMINO</v>
          </cell>
          <cell r="AI351">
            <v>40</v>
          </cell>
        </row>
        <row r="352">
          <cell r="B352" t="str">
            <v>CAROLINA ZAGHI CAVALCANTE HENDGES</v>
          </cell>
          <cell r="AI352">
            <v>27</v>
          </cell>
        </row>
        <row r="353">
          <cell r="B353" t="str">
            <v>ALEXEI VOLACO</v>
          </cell>
          <cell r="AI353">
            <v>24</v>
          </cell>
        </row>
        <row r="354">
          <cell r="B354" t="str">
            <v>GIOVANNE HENRIQUE BRESSAN SCHIAVON</v>
          </cell>
          <cell r="AI354">
            <v>14</v>
          </cell>
        </row>
        <row r="355">
          <cell r="B355" t="str">
            <v>JOAO GUSTAVO DA SILVA FREIRE RITTER</v>
          </cell>
          <cell r="AI355">
            <v>8</v>
          </cell>
        </row>
        <row r="356">
          <cell r="B356" t="str">
            <v>CARLA MACHI PUCCI</v>
          </cell>
          <cell r="AI356">
            <v>24</v>
          </cell>
        </row>
        <row r="357">
          <cell r="B357" t="str">
            <v>FERNANDA CORREA PAVESI LARA</v>
          </cell>
          <cell r="AI357">
            <v>28</v>
          </cell>
        </row>
        <row r="358">
          <cell r="B358" t="str">
            <v>NOURMIRIO BITTENCOURT TESSEROLI FILHO</v>
          </cell>
          <cell r="AI358">
            <v>4</v>
          </cell>
        </row>
        <row r="359">
          <cell r="B359" t="str">
            <v>JULIANA ALVES SANTOS</v>
          </cell>
          <cell r="AI359">
            <v>0</v>
          </cell>
        </row>
        <row r="360">
          <cell r="B360" t="str">
            <v>MAUREN ISFER ANGHEBEM</v>
          </cell>
          <cell r="AI360">
            <v>0</v>
          </cell>
        </row>
        <row r="361">
          <cell r="B361" t="str">
            <v>ANDREIA CUNHA</v>
          </cell>
          <cell r="AI361">
            <v>4</v>
          </cell>
        </row>
        <row r="362">
          <cell r="B362" t="str">
            <v>CESAR AUGUSTO NEITZKE</v>
          </cell>
          <cell r="AI362">
            <v>19</v>
          </cell>
        </row>
        <row r="363">
          <cell r="B363" t="str">
            <v>JACIR DAGA</v>
          </cell>
          <cell r="AI363">
            <v>16</v>
          </cell>
        </row>
        <row r="364">
          <cell r="B364" t="str">
            <v>RODRIGO CAMPAGNOLO</v>
          </cell>
          <cell r="AI364">
            <v>20</v>
          </cell>
        </row>
        <row r="365">
          <cell r="B365" t="str">
            <v>SILVANA TASCHEK HASTREITER</v>
          </cell>
          <cell r="AI365">
            <v>32</v>
          </cell>
        </row>
        <row r="366">
          <cell r="B366" t="str">
            <v>FRANCIELI MOGNON</v>
          </cell>
          <cell r="AI366">
            <v>40</v>
          </cell>
        </row>
        <row r="367">
          <cell r="B367" t="str">
            <v>MAURICIO CESAR IUNG</v>
          </cell>
          <cell r="AI367">
            <v>4</v>
          </cell>
        </row>
        <row r="368">
          <cell r="B368" t="str">
            <v>MARY RUTE GOMES ESPERANDIO</v>
          </cell>
          <cell r="AI368">
            <v>30</v>
          </cell>
        </row>
        <row r="369">
          <cell r="B369" t="str">
            <v>JULIANA FERREIRA MONTENEGRO</v>
          </cell>
          <cell r="AI369">
            <v>2</v>
          </cell>
        </row>
        <row r="370">
          <cell r="B370" t="str">
            <v>NELSON MASSARU FUKUMOTO</v>
          </cell>
          <cell r="AI370">
            <v>18</v>
          </cell>
        </row>
        <row r="371">
          <cell r="B371" t="str">
            <v>GISELE PONTAROLI RAYMUNDO</v>
          </cell>
          <cell r="AI371">
            <v>22</v>
          </cell>
        </row>
        <row r="372">
          <cell r="B372" t="str">
            <v>LUIZ ALEXANDRE SOLANO ROSSI</v>
          </cell>
          <cell r="AI372">
            <v>30</v>
          </cell>
        </row>
        <row r="373">
          <cell r="B373" t="str">
            <v>RICARDO ALEXANDRE DIOGO</v>
          </cell>
          <cell r="AI373">
            <v>18</v>
          </cell>
        </row>
        <row r="374">
          <cell r="B374" t="str">
            <v>MARCIA DE HOLANDA NOZAKI</v>
          </cell>
          <cell r="AI374">
            <v>12</v>
          </cell>
        </row>
        <row r="375">
          <cell r="B375" t="str">
            <v>NEIDAMAR PEDRINI ARIAS FUGACA</v>
          </cell>
          <cell r="AI375">
            <v>12</v>
          </cell>
        </row>
        <row r="376">
          <cell r="B376" t="str">
            <v>ANDRESSA BEHER LORANDI</v>
          </cell>
          <cell r="AI376">
            <v>0</v>
          </cell>
        </row>
        <row r="377">
          <cell r="B377" t="str">
            <v>ANA PAULA MODESTO</v>
          </cell>
          <cell r="AI377">
            <v>6</v>
          </cell>
        </row>
        <row r="378">
          <cell r="B378" t="str">
            <v>MARIANA BRANDL FREZATTO</v>
          </cell>
          <cell r="AI378">
            <v>0</v>
          </cell>
        </row>
        <row r="379">
          <cell r="B379" t="str">
            <v>RAQUEL MERCEDES MOTTA XAVIER</v>
          </cell>
          <cell r="AI379">
            <v>4</v>
          </cell>
        </row>
        <row r="380">
          <cell r="B380" t="str">
            <v>ADRIANA DIAS BASSETO</v>
          </cell>
          <cell r="AI380">
            <v>18</v>
          </cell>
        </row>
        <row r="381">
          <cell r="B381" t="str">
            <v>SARA REGINA HOKAI</v>
          </cell>
          <cell r="AI381">
            <v>32</v>
          </cell>
        </row>
        <row r="382">
          <cell r="B382" t="str">
            <v>PASQUALINO LAMORTE</v>
          </cell>
          <cell r="AI382">
            <v>4</v>
          </cell>
        </row>
        <row r="383">
          <cell r="B383" t="str">
            <v>LUCIANA ANDREIA LASARO MANGIERI</v>
          </cell>
          <cell r="AI383">
            <v>3</v>
          </cell>
        </row>
        <row r="384">
          <cell r="B384" t="str">
            <v>THIAGO THOMAZ KASPCHAK</v>
          </cell>
          <cell r="AI384">
            <v>40</v>
          </cell>
        </row>
        <row r="385">
          <cell r="B385" t="str">
            <v>LUIZ CARLOS PY FLORES</v>
          </cell>
          <cell r="AI385">
            <v>8</v>
          </cell>
        </row>
        <row r="386">
          <cell r="B386" t="str">
            <v>ANDRE GOBETTE SANTANA</v>
          </cell>
          <cell r="AI386">
            <v>0</v>
          </cell>
        </row>
        <row r="387">
          <cell r="B387" t="str">
            <v>MIRIAM STOLSES MAZO</v>
          </cell>
          <cell r="AI387">
            <v>40</v>
          </cell>
        </row>
        <row r="388">
          <cell r="B388" t="str">
            <v>DANIELE ROCHA SAUCEDO</v>
          </cell>
          <cell r="AI388">
            <v>12</v>
          </cell>
        </row>
        <row r="389">
          <cell r="B389" t="str">
            <v>ANTONIO CLAUDIO KOZIKOSKI JUNIOR</v>
          </cell>
          <cell r="AI389">
            <v>36</v>
          </cell>
        </row>
        <row r="390">
          <cell r="B390" t="str">
            <v>DIANA CHAO DECOCK</v>
          </cell>
          <cell r="AI390">
            <v>10</v>
          </cell>
        </row>
        <row r="391">
          <cell r="B391" t="str">
            <v>CARMEN LUCIANE SANSON ABOURIHAN</v>
          </cell>
          <cell r="AI391">
            <v>24</v>
          </cell>
        </row>
        <row r="392">
          <cell r="B392" t="str">
            <v>WILTON BORGES DOS SANTOS</v>
          </cell>
          <cell r="AI392">
            <v>12</v>
          </cell>
        </row>
        <row r="393">
          <cell r="B393" t="str">
            <v>VANESSA TEREZINHA ALES</v>
          </cell>
          <cell r="AI393">
            <v>10</v>
          </cell>
        </row>
        <row r="394">
          <cell r="B394" t="str">
            <v>LEILA ANDRESSA DISSENHA</v>
          </cell>
          <cell r="AI394">
            <v>38</v>
          </cell>
        </row>
        <row r="395">
          <cell r="B395" t="str">
            <v>PRISCILA SILVA ROCHA</v>
          </cell>
          <cell r="AI395">
            <v>18</v>
          </cell>
        </row>
        <row r="396">
          <cell r="B396" t="str">
            <v>RICARDO PADILHA VIANNA FILHO</v>
          </cell>
          <cell r="AI396">
            <v>14</v>
          </cell>
        </row>
        <row r="397">
          <cell r="B397" t="str">
            <v>CLAUDIA MARIA BORGES COSTA PINTO</v>
          </cell>
          <cell r="AI397">
            <v>2</v>
          </cell>
        </row>
        <row r="398">
          <cell r="B398" t="str">
            <v>EMERSON DONAISKY</v>
          </cell>
          <cell r="AI398">
            <v>32</v>
          </cell>
        </row>
        <row r="399">
          <cell r="B399" t="str">
            <v>NELISA SITA PIRES PICOLOTTO MARTIM</v>
          </cell>
          <cell r="AI399">
            <v>14</v>
          </cell>
        </row>
        <row r="400">
          <cell r="B400" t="str">
            <v>MOARA ZUCCHERELLI</v>
          </cell>
          <cell r="AI400">
            <v>4</v>
          </cell>
        </row>
        <row r="401">
          <cell r="B401" t="str">
            <v>ERICSON PEREIRA</v>
          </cell>
          <cell r="AI401">
            <v>32</v>
          </cell>
        </row>
        <row r="402">
          <cell r="B402" t="str">
            <v>CAMILA AMENT GIULIANI DOS SANTOS FRANCO</v>
          </cell>
          <cell r="AI402">
            <v>36</v>
          </cell>
        </row>
        <row r="403">
          <cell r="B403" t="str">
            <v>RENATO SOLEIMAN FRANCO</v>
          </cell>
          <cell r="AI403">
            <v>36</v>
          </cell>
        </row>
        <row r="404">
          <cell r="B404" t="str">
            <v>ROBERTO SAMPAIO</v>
          </cell>
          <cell r="AI404">
            <v>4</v>
          </cell>
        </row>
        <row r="405">
          <cell r="B405" t="str">
            <v>FABIO VINICIUS BINDER</v>
          </cell>
          <cell r="AI405">
            <v>40</v>
          </cell>
        </row>
        <row r="406">
          <cell r="B406" t="str">
            <v>LUCIANA ALVES FOGACA</v>
          </cell>
          <cell r="AI406">
            <v>1</v>
          </cell>
        </row>
        <row r="407">
          <cell r="B407" t="str">
            <v>LUCIANE HILU</v>
          </cell>
          <cell r="AI407">
            <v>12</v>
          </cell>
        </row>
        <row r="408">
          <cell r="B408" t="str">
            <v>JULIANA DEL SECCHI</v>
          </cell>
          <cell r="AI408">
            <v>14</v>
          </cell>
        </row>
        <row r="409">
          <cell r="B409" t="str">
            <v>JUNIO CESAR MANGONARO</v>
          </cell>
          <cell r="AI409">
            <v>20</v>
          </cell>
        </row>
        <row r="410">
          <cell r="B410" t="str">
            <v>ALCINDO PISSAIA JUNIOR</v>
          </cell>
          <cell r="AI410">
            <v>5</v>
          </cell>
        </row>
        <row r="411">
          <cell r="B411" t="str">
            <v>MARCO ANTONIO PEDRONI</v>
          </cell>
          <cell r="AI411">
            <v>12</v>
          </cell>
        </row>
        <row r="412">
          <cell r="B412" t="str">
            <v>RODRIGO ALVARENGA</v>
          </cell>
          <cell r="AI412">
            <v>32</v>
          </cell>
        </row>
        <row r="413">
          <cell r="B413" t="str">
            <v>VALERIA NATASCHA TEIXEIRA</v>
          </cell>
          <cell r="AI413">
            <v>30</v>
          </cell>
        </row>
        <row r="414">
          <cell r="B414" t="str">
            <v>FERNANDA CRISTINA OSTROVSKI SALES</v>
          </cell>
          <cell r="AI414">
            <v>34</v>
          </cell>
        </row>
        <row r="415">
          <cell r="B415" t="str">
            <v>CARLO RENATO BORGES</v>
          </cell>
          <cell r="AI415">
            <v>8</v>
          </cell>
        </row>
        <row r="416">
          <cell r="B416" t="str">
            <v>CARLOS EDUARDO CAMARGO</v>
          </cell>
          <cell r="AI416">
            <v>23</v>
          </cell>
        </row>
        <row r="417">
          <cell r="B417" t="str">
            <v>DAIANE CRISTINA PAZIN</v>
          </cell>
          <cell r="AI417">
            <v>38</v>
          </cell>
        </row>
        <row r="418">
          <cell r="B418" t="str">
            <v>ANDREIA CRISTINA SERRATO</v>
          </cell>
          <cell r="AI418">
            <v>30</v>
          </cell>
        </row>
        <row r="419">
          <cell r="B419" t="str">
            <v>REGINALDO ALICANDRO BORDIN</v>
          </cell>
          <cell r="AI419">
            <v>2</v>
          </cell>
        </row>
        <row r="420">
          <cell r="B420" t="str">
            <v>RAFAEL MENDONCA REY DOS SANTOS</v>
          </cell>
          <cell r="AI420">
            <v>18</v>
          </cell>
        </row>
        <row r="421">
          <cell r="B421" t="str">
            <v>LUCIENE MARTINS MOREIRA</v>
          </cell>
          <cell r="AI421">
            <v>25</v>
          </cell>
        </row>
        <row r="422">
          <cell r="B422" t="str">
            <v>JULIO CESAR DE SOUZA MOTA</v>
          </cell>
          <cell r="AI422">
            <v>2</v>
          </cell>
        </row>
        <row r="423">
          <cell r="B423" t="str">
            <v>ADRIANA MOCELIM</v>
          </cell>
          <cell r="AI423">
            <v>10</v>
          </cell>
        </row>
        <row r="424">
          <cell r="B424" t="str">
            <v>CAUE KRUGER</v>
          </cell>
          <cell r="AI424">
            <v>10</v>
          </cell>
        </row>
        <row r="425">
          <cell r="B425" t="str">
            <v>HENRIQUE RAVANHOL FRIGERI</v>
          </cell>
          <cell r="AI425">
            <v>14</v>
          </cell>
        </row>
        <row r="426">
          <cell r="B426" t="str">
            <v>TIAGO FRANCESCONI</v>
          </cell>
          <cell r="AI426">
            <v>36</v>
          </cell>
        </row>
        <row r="427">
          <cell r="B427" t="str">
            <v>SILVIA MARIA DE MORAES MONTEIRO PAZELLO</v>
          </cell>
          <cell r="AI427">
            <v>14</v>
          </cell>
        </row>
        <row r="428">
          <cell r="B428" t="str">
            <v>VINICIUS GODOY DE MENDONCA</v>
          </cell>
          <cell r="AI428">
            <v>4</v>
          </cell>
        </row>
        <row r="429">
          <cell r="B429" t="str">
            <v>FABIO HENRIQUE FELTRIN</v>
          </cell>
          <cell r="AI429">
            <v>36</v>
          </cell>
        </row>
        <row r="430">
          <cell r="B430" t="str">
            <v>LEO PERUZZO JUNIOR</v>
          </cell>
          <cell r="AI430">
            <v>34</v>
          </cell>
        </row>
        <row r="431">
          <cell r="B431" t="str">
            <v>MARCIO LUIZ FERNANDES</v>
          </cell>
          <cell r="AI431">
            <v>32</v>
          </cell>
        </row>
        <row r="432">
          <cell r="B432" t="str">
            <v>DANIELE SAHEB PEDROSO</v>
          </cell>
          <cell r="AI432">
            <v>40</v>
          </cell>
        </row>
        <row r="433">
          <cell r="B433" t="str">
            <v>GABRIELA GARCEZ DUARTE</v>
          </cell>
          <cell r="AI433">
            <v>0</v>
          </cell>
        </row>
        <row r="434">
          <cell r="B434" t="str">
            <v>SELMA WOYCIKIEWIZC</v>
          </cell>
          <cell r="AI434">
            <v>4</v>
          </cell>
        </row>
        <row r="435">
          <cell r="B435" t="str">
            <v>CASSIA MESSIAS PONS AYRES</v>
          </cell>
          <cell r="AI435">
            <v>4</v>
          </cell>
        </row>
        <row r="436">
          <cell r="B436" t="str">
            <v>ALTAIR ROSA</v>
          </cell>
          <cell r="AI436">
            <v>34</v>
          </cell>
        </row>
        <row r="437">
          <cell r="B437" t="str">
            <v>EMERSON GABARDO</v>
          </cell>
          <cell r="AI437">
            <v>32</v>
          </cell>
        </row>
        <row r="438">
          <cell r="B438" t="str">
            <v>MAICRIS FERNANDES</v>
          </cell>
          <cell r="AI438">
            <v>12</v>
          </cell>
        </row>
        <row r="439">
          <cell r="B439" t="str">
            <v>RAFAELA DA SILVA LIMONS DA CUNHA</v>
          </cell>
          <cell r="AI439">
            <v>18</v>
          </cell>
        </row>
        <row r="440">
          <cell r="B440" t="str">
            <v>KARINA DA SILVA MAGATAO</v>
          </cell>
          <cell r="AI440">
            <v>30</v>
          </cell>
        </row>
        <row r="441">
          <cell r="B441" t="str">
            <v>ANGELA CRISTINA CARARO</v>
          </cell>
          <cell r="AI441">
            <v>6</v>
          </cell>
        </row>
        <row r="442">
          <cell r="B442" t="str">
            <v>GEZELDA CHRISTIANE MORAES</v>
          </cell>
          <cell r="AI442">
            <v>8</v>
          </cell>
        </row>
        <row r="443">
          <cell r="B443" t="str">
            <v>ERNESTO LAZARO SIENNA</v>
          </cell>
          <cell r="AI443">
            <v>34</v>
          </cell>
        </row>
        <row r="444">
          <cell r="B444" t="str">
            <v>ADALGISA APARECIDA DE OLIVEIRA GONCALVES</v>
          </cell>
          <cell r="AI444">
            <v>10</v>
          </cell>
        </row>
        <row r="445">
          <cell r="B445" t="str">
            <v>MICHELLE SOSTAG MERUVIA</v>
          </cell>
          <cell r="AI445">
            <v>30</v>
          </cell>
        </row>
        <row r="446">
          <cell r="B446" t="str">
            <v>MICHELLE FERNANDA SUSIN</v>
          </cell>
          <cell r="AI446">
            <v>30</v>
          </cell>
        </row>
        <row r="447">
          <cell r="B447" t="str">
            <v>SAULO HENRIQUE WEBER</v>
          </cell>
          <cell r="AI447">
            <v>30</v>
          </cell>
        </row>
        <row r="448">
          <cell r="B448" t="str">
            <v>HSU YANG SHANG</v>
          </cell>
          <cell r="AI448">
            <v>30</v>
          </cell>
        </row>
        <row r="449">
          <cell r="B449" t="str">
            <v>RAQUEL PASTERNAK GLITZ KOWALSKI</v>
          </cell>
          <cell r="AI449">
            <v>32</v>
          </cell>
        </row>
        <row r="450">
          <cell r="B450" t="str">
            <v>TATIANA LORENA DA LUZ KAESTNER</v>
          </cell>
          <cell r="AI450">
            <v>29</v>
          </cell>
        </row>
        <row r="451">
          <cell r="B451" t="str">
            <v>MARIA ESTER CONTIN DE OLIVEIRA KLOSS</v>
          </cell>
          <cell r="AI451">
            <v>6</v>
          </cell>
        </row>
        <row r="452">
          <cell r="B452" t="str">
            <v>CASSIO PREIS</v>
          </cell>
          <cell r="AI452">
            <v>24</v>
          </cell>
        </row>
        <row r="453">
          <cell r="B453" t="str">
            <v>PAULO DE PAULA BAPTISTA</v>
          </cell>
          <cell r="AI453">
            <v>40</v>
          </cell>
        </row>
        <row r="454">
          <cell r="B454" t="str">
            <v>PABLO GEORGIO DE SOUZA</v>
          </cell>
          <cell r="AI454">
            <v>6</v>
          </cell>
        </row>
        <row r="455">
          <cell r="B455" t="str">
            <v>KELLY CHRISTINE LANDOLFI BETTIO</v>
          </cell>
          <cell r="AI455">
            <v>16</v>
          </cell>
        </row>
        <row r="456">
          <cell r="B456" t="str">
            <v>GLAUCO VINICIUS DE FRANCA FURSTENBERGER</v>
          </cell>
          <cell r="AI456">
            <v>19</v>
          </cell>
        </row>
        <row r="457">
          <cell r="B457" t="str">
            <v>CLEBER MACHADO DE SOUZA</v>
          </cell>
          <cell r="AI457">
            <v>13</v>
          </cell>
        </row>
        <row r="458">
          <cell r="B458" t="str">
            <v>KAROLINE MOREIRA BASTOS DE SOUZA</v>
          </cell>
          <cell r="AI458">
            <v>0</v>
          </cell>
        </row>
        <row r="459">
          <cell r="B459" t="str">
            <v>GUILHERME NUNES NOGUEIRA NETO</v>
          </cell>
          <cell r="AI459">
            <v>32</v>
          </cell>
        </row>
        <row r="460">
          <cell r="B460" t="str">
            <v>RODRIGO OTAVIO SCHNEIDER RIBEIRO</v>
          </cell>
          <cell r="AI460">
            <v>10</v>
          </cell>
        </row>
        <row r="461">
          <cell r="B461" t="str">
            <v>HELINE SIVINI FERREIRA</v>
          </cell>
          <cell r="AI461">
            <v>30</v>
          </cell>
        </row>
        <row r="462">
          <cell r="B462" t="str">
            <v>RODRIGO MORAES DA SILVEIRA</v>
          </cell>
          <cell r="AI462">
            <v>30</v>
          </cell>
        </row>
        <row r="463">
          <cell r="B463" t="str">
            <v>NICE MIKA SAKAMOTO KAMINARI</v>
          </cell>
          <cell r="AI463">
            <v>18</v>
          </cell>
        </row>
        <row r="464">
          <cell r="B464" t="str">
            <v>ARTUR DE FRANCA MITTELBACH</v>
          </cell>
          <cell r="AI464">
            <v>10</v>
          </cell>
        </row>
        <row r="465">
          <cell r="B465" t="str">
            <v>KELLY MAZUTTI MONTEIRO</v>
          </cell>
          <cell r="AI465">
            <v>19</v>
          </cell>
        </row>
        <row r="466">
          <cell r="B466" t="str">
            <v>KEITH MARY DE SOUZA SATO URBINATI</v>
          </cell>
          <cell r="AI466">
            <v>13</v>
          </cell>
        </row>
        <row r="467">
          <cell r="B467" t="str">
            <v>ELIANE CRISTINE FRANCISCO MAFFEZZOLLI</v>
          </cell>
          <cell r="AI467">
            <v>36</v>
          </cell>
        </row>
        <row r="468">
          <cell r="B468" t="str">
            <v>FABIO TEODORO DE SOUZA</v>
          </cell>
          <cell r="AI468">
            <v>38</v>
          </cell>
        </row>
        <row r="469">
          <cell r="B469" t="str">
            <v>MIRIAM IZOLINA PADOIN DALLA ROSA</v>
          </cell>
          <cell r="AI469">
            <v>8</v>
          </cell>
        </row>
        <row r="470">
          <cell r="B470" t="str">
            <v>RODRIGO FREESE GONZATTO</v>
          </cell>
          <cell r="AI470">
            <v>24</v>
          </cell>
        </row>
        <row r="471">
          <cell r="B471" t="str">
            <v>TALITA CRISTINA FIDELIS PEREIRA BIAGI</v>
          </cell>
          <cell r="AI471">
            <v>18</v>
          </cell>
        </row>
        <row r="472">
          <cell r="B472" t="str">
            <v>MARCO ANTONIO GONZALEZ MORAES</v>
          </cell>
          <cell r="AI472">
            <v>12</v>
          </cell>
        </row>
        <row r="473">
          <cell r="B473" t="str">
            <v>HENRIQUE CECILIATO DE CARVALHO</v>
          </cell>
          <cell r="AI473">
            <v>28</v>
          </cell>
        </row>
        <row r="474">
          <cell r="B474" t="str">
            <v>CARLOS AUGUSTO HENNING LAURINDO</v>
          </cell>
          <cell r="AI474">
            <v>17</v>
          </cell>
        </row>
        <row r="475">
          <cell r="B475" t="str">
            <v>OSNY DE BARROS JUNIOR</v>
          </cell>
          <cell r="AI475">
            <v>19</v>
          </cell>
        </row>
        <row r="476">
          <cell r="B476" t="str">
            <v>FABIO ROCHA FARIAS</v>
          </cell>
          <cell r="AI476">
            <v>7</v>
          </cell>
        </row>
        <row r="477">
          <cell r="B477" t="str">
            <v>LUCIMARY DE CASTRO SYLVESTRE</v>
          </cell>
          <cell r="AI477">
            <v>25</v>
          </cell>
        </row>
        <row r="478">
          <cell r="B478" t="str">
            <v>IDIANA MARINA DALASTRA</v>
          </cell>
          <cell r="AI478">
            <v>11</v>
          </cell>
        </row>
        <row r="479">
          <cell r="B479" t="str">
            <v>GEOVANI VIOLA MORETTO</v>
          </cell>
          <cell r="AI479">
            <v>40</v>
          </cell>
        </row>
        <row r="480">
          <cell r="B480" t="str">
            <v>ALEXANDRE LUIS MULLER</v>
          </cell>
          <cell r="AI480">
            <v>10</v>
          </cell>
        </row>
        <row r="481">
          <cell r="B481" t="str">
            <v>THYAGO PROENCA DE MORAES</v>
          </cell>
          <cell r="AI481">
            <v>36</v>
          </cell>
        </row>
        <row r="482">
          <cell r="B482" t="str">
            <v>PATRICIA LONGHI BUSO</v>
          </cell>
          <cell r="AI482">
            <v>40</v>
          </cell>
        </row>
        <row r="483">
          <cell r="B483" t="str">
            <v>FLUVIO CARDINELLE OLIVEIRA GARCIA</v>
          </cell>
          <cell r="AI483">
            <v>9</v>
          </cell>
        </row>
        <row r="484">
          <cell r="B484" t="str">
            <v>PAULO GUSTAVO KOTZE</v>
          </cell>
          <cell r="AI484">
            <v>40</v>
          </cell>
        </row>
        <row r="485">
          <cell r="B485" t="str">
            <v>JOAO JULIANI</v>
          </cell>
          <cell r="AI485">
            <v>27</v>
          </cell>
        </row>
        <row r="486">
          <cell r="B486" t="str">
            <v>DARLI DE FATIMA SAMPAIO</v>
          </cell>
          <cell r="AI486">
            <v>0</v>
          </cell>
        </row>
        <row r="487">
          <cell r="B487" t="str">
            <v>LUIS DARIO SEPULVEDA</v>
          </cell>
          <cell r="AI487">
            <v>6</v>
          </cell>
        </row>
        <row r="488">
          <cell r="B488" t="str">
            <v>FLAVIA MARIA DE PAULA SOARES</v>
          </cell>
          <cell r="AI488">
            <v>8</v>
          </cell>
        </row>
        <row r="489">
          <cell r="B489" t="str">
            <v>CARLOS ALBERTO FERNANDES BALTAR</v>
          </cell>
          <cell r="AI489">
            <v>20</v>
          </cell>
        </row>
        <row r="490">
          <cell r="B490" t="str">
            <v>MAUREN ABREU DE SOUZA</v>
          </cell>
          <cell r="AI490">
            <v>28</v>
          </cell>
        </row>
        <row r="491">
          <cell r="B491" t="str">
            <v>NEOLI LUCYSZYN SUCKOW</v>
          </cell>
          <cell r="AI491">
            <v>22</v>
          </cell>
        </row>
        <row r="492">
          <cell r="B492" t="str">
            <v>SHELDON RODRIGO BOTOGOSKI</v>
          </cell>
          <cell r="AI492">
            <v>29</v>
          </cell>
        </row>
        <row r="493">
          <cell r="B493" t="str">
            <v>RENATA IANI WERNECK</v>
          </cell>
          <cell r="AI493">
            <v>33</v>
          </cell>
        </row>
        <row r="494">
          <cell r="B494" t="str">
            <v>JEAN RODRIGO TAFAREL</v>
          </cell>
          <cell r="AI494">
            <v>31</v>
          </cell>
        </row>
        <row r="495">
          <cell r="B495" t="str">
            <v>GIBRAN AVELINO FRANDOLOSO</v>
          </cell>
          <cell r="AI495">
            <v>28</v>
          </cell>
        </row>
        <row r="496">
          <cell r="B496" t="str">
            <v>LIZ RIBEIRO WALLIM</v>
          </cell>
          <cell r="AI496">
            <v>12</v>
          </cell>
        </row>
        <row r="497">
          <cell r="B497" t="str">
            <v>JOSE AUGUSTO RIBAS FORTES</v>
          </cell>
          <cell r="AI497">
            <v>11</v>
          </cell>
        </row>
        <row r="498">
          <cell r="B498" t="str">
            <v>BRUNO MENESES LORENZETTO</v>
          </cell>
          <cell r="AI498">
            <v>4</v>
          </cell>
        </row>
        <row r="499">
          <cell r="B499" t="str">
            <v>LUIZ GUSTAVO PUJOL</v>
          </cell>
          <cell r="AI499">
            <v>4</v>
          </cell>
        </row>
        <row r="500">
          <cell r="B500" t="str">
            <v>PATRICIA REGINA PIASECKI CUSTODIO</v>
          </cell>
          <cell r="AI500">
            <v>12</v>
          </cell>
        </row>
        <row r="501">
          <cell r="B501" t="str">
            <v>RENNE LEONARDO SANT ANA GOMIERO</v>
          </cell>
          <cell r="AI501">
            <v>25</v>
          </cell>
        </row>
        <row r="502">
          <cell r="B502" t="str">
            <v>MARGARETE WINKLER MARQUES MACHADO</v>
          </cell>
          <cell r="AI502">
            <v>6</v>
          </cell>
        </row>
        <row r="503">
          <cell r="B503" t="str">
            <v>MARCELO DAUDT VON DER HEYDE</v>
          </cell>
          <cell r="AI503">
            <v>11</v>
          </cell>
        </row>
        <row r="504">
          <cell r="B504" t="str">
            <v>CARLOS ALEXANDRE TWARDOWSCHY</v>
          </cell>
          <cell r="AI504">
            <v>7</v>
          </cell>
        </row>
        <row r="505">
          <cell r="B505" t="str">
            <v>FLAVIO HEUTA IVANO</v>
          </cell>
          <cell r="AI505">
            <v>12</v>
          </cell>
        </row>
        <row r="506">
          <cell r="B506" t="str">
            <v>MARCOS ROBERTO GARCIA</v>
          </cell>
          <cell r="AI506">
            <v>38</v>
          </cell>
        </row>
        <row r="507">
          <cell r="B507" t="str">
            <v>FERNANDO BITTENCOURT LUCIANO</v>
          </cell>
          <cell r="AI507">
            <v>20</v>
          </cell>
        </row>
        <row r="508">
          <cell r="B508" t="str">
            <v>HUGO DIAS AMARO</v>
          </cell>
          <cell r="AI508">
            <v>24</v>
          </cell>
        </row>
        <row r="509">
          <cell r="B509" t="str">
            <v>EDUARDO MENDONCA SCHEEREN</v>
          </cell>
          <cell r="AI509">
            <v>33</v>
          </cell>
        </row>
        <row r="510">
          <cell r="B510" t="str">
            <v>FRANCISCO BARTOSIEVICZ NETTO</v>
          </cell>
          <cell r="AI510">
            <v>12</v>
          </cell>
        </row>
        <row r="511">
          <cell r="B511" t="str">
            <v>MAURO PELLISSARI</v>
          </cell>
          <cell r="AI511">
            <v>32</v>
          </cell>
        </row>
        <row r="512">
          <cell r="B512" t="str">
            <v>CLAUDETE MARIA ZACLIKEVIC</v>
          </cell>
          <cell r="AI512">
            <v>10</v>
          </cell>
        </row>
        <row r="513">
          <cell r="B513" t="str">
            <v>JULIANO MUNIK BORA</v>
          </cell>
          <cell r="AI513">
            <v>15</v>
          </cell>
        </row>
        <row r="514">
          <cell r="B514" t="str">
            <v>ADRIANA MARTELLO VALERO</v>
          </cell>
          <cell r="AI514">
            <v>40</v>
          </cell>
        </row>
        <row r="515">
          <cell r="B515" t="str">
            <v>MAISA KELLY NODARI</v>
          </cell>
          <cell r="AI515">
            <v>14</v>
          </cell>
        </row>
        <row r="516">
          <cell r="B516" t="str">
            <v>VALTER FREITAS</v>
          </cell>
          <cell r="AI516">
            <v>26</v>
          </cell>
        </row>
        <row r="517">
          <cell r="B517" t="str">
            <v>RAQUEL CAVALCANTE CABRAL</v>
          </cell>
          <cell r="AI517">
            <v>6</v>
          </cell>
        </row>
        <row r="518">
          <cell r="B518" t="str">
            <v>LINIZAI LERIKA SANTOS</v>
          </cell>
          <cell r="AI518">
            <v>0</v>
          </cell>
        </row>
        <row r="519">
          <cell r="B519" t="str">
            <v>VALDIR BORGES</v>
          </cell>
          <cell r="AI519">
            <v>0</v>
          </cell>
        </row>
        <row r="520">
          <cell r="B520" t="str">
            <v>MARCO ANTONIO PALUDO</v>
          </cell>
          <cell r="AI520">
            <v>40</v>
          </cell>
        </row>
        <row r="521">
          <cell r="B521" t="str">
            <v>FRED CARLOS TREVISAN</v>
          </cell>
          <cell r="AI521">
            <v>4</v>
          </cell>
        </row>
        <row r="522">
          <cell r="B522" t="str">
            <v>SORAYA DE AZAMBUJA BERTI COUTO</v>
          </cell>
          <cell r="AI522">
            <v>3</v>
          </cell>
        </row>
        <row r="523">
          <cell r="B523" t="str">
            <v>ANDERSON LUIS SZEJKA</v>
          </cell>
          <cell r="AI523">
            <v>40</v>
          </cell>
        </row>
        <row r="524">
          <cell r="B524" t="str">
            <v>JOAO CARLOS MINOZZO</v>
          </cell>
          <cell r="AI524">
            <v>14</v>
          </cell>
        </row>
        <row r="525">
          <cell r="B525" t="str">
            <v>GRAZIELA SAPIENZA</v>
          </cell>
          <cell r="AI525">
            <v>7</v>
          </cell>
        </row>
        <row r="526">
          <cell r="B526" t="str">
            <v>LEONARDO GONCALVES RODRIGUES DA SILVA</v>
          </cell>
          <cell r="AI526">
            <v>40</v>
          </cell>
        </row>
        <row r="527">
          <cell r="B527" t="str">
            <v>FERNANDA PAMPUCH DE FARIA</v>
          </cell>
          <cell r="AI527">
            <v>0</v>
          </cell>
        </row>
        <row r="528">
          <cell r="B528" t="str">
            <v>JOSELAINE VALASKI</v>
          </cell>
          <cell r="AI528">
            <v>30</v>
          </cell>
        </row>
        <row r="529">
          <cell r="B529" t="str">
            <v>BRUNO AUGUSTO HASENAUER ZAITTER</v>
          </cell>
          <cell r="AI529">
            <v>4</v>
          </cell>
        </row>
        <row r="530">
          <cell r="B530" t="str">
            <v>EDUARDO MURILO NOVAK</v>
          </cell>
          <cell r="AI530">
            <v>21</v>
          </cell>
        </row>
        <row r="531">
          <cell r="B531" t="str">
            <v>JULIANO GASPARETTO</v>
          </cell>
          <cell r="AI531">
            <v>38</v>
          </cell>
        </row>
        <row r="532">
          <cell r="B532" t="str">
            <v>CARLOS ALBERTO MATTOZO</v>
          </cell>
          <cell r="AI532">
            <v>7</v>
          </cell>
        </row>
        <row r="533">
          <cell r="B533" t="str">
            <v>GUSTAVO GAVAZZONI BLUME</v>
          </cell>
          <cell r="AI533">
            <v>4</v>
          </cell>
        </row>
        <row r="534">
          <cell r="B534" t="str">
            <v>PATRICIA MARTIN</v>
          </cell>
          <cell r="AI534">
            <v>8</v>
          </cell>
        </row>
        <row r="535">
          <cell r="B535" t="str">
            <v>MARINA RUTZ MULLER ZIPPERER</v>
          </cell>
          <cell r="AI535">
            <v>0</v>
          </cell>
        </row>
        <row r="536">
          <cell r="B536" t="str">
            <v>FRANCINE VALENGA</v>
          </cell>
          <cell r="AI536">
            <v>34</v>
          </cell>
        </row>
        <row r="537">
          <cell r="B537" t="str">
            <v>ANGELA CRISTINA RAIMONDI</v>
          </cell>
          <cell r="AI537">
            <v>14</v>
          </cell>
        </row>
        <row r="538">
          <cell r="B538" t="str">
            <v>RAFAEL WEISSHEIMER</v>
          </cell>
          <cell r="AI538">
            <v>24</v>
          </cell>
        </row>
        <row r="539">
          <cell r="B539" t="str">
            <v>PAULO RICARDO FRANCIOZI GOIS</v>
          </cell>
          <cell r="AI539">
            <v>7</v>
          </cell>
        </row>
        <row r="540">
          <cell r="B540" t="str">
            <v>SUSANNE CRISTINE PERTSCHI BORGES</v>
          </cell>
          <cell r="AI540">
            <v>40</v>
          </cell>
        </row>
        <row r="541">
          <cell r="B541" t="str">
            <v>KHALIL GIBRAN MARTINS ZERAIK ABDALLA</v>
          </cell>
          <cell r="AI541">
            <v>8</v>
          </cell>
        </row>
        <row r="542">
          <cell r="B542" t="str">
            <v>DANI JULIANO CZELUSNIAK</v>
          </cell>
          <cell r="AI542">
            <v>14</v>
          </cell>
        </row>
        <row r="543">
          <cell r="B543" t="str">
            <v>ROSIMEIRE SEDREZ BITENCOURT</v>
          </cell>
          <cell r="AI543">
            <v>9</v>
          </cell>
        </row>
        <row r="544">
          <cell r="B544" t="str">
            <v>FULVY ANTONELLA VENTURI PEREIRA</v>
          </cell>
          <cell r="AI544">
            <v>22</v>
          </cell>
        </row>
        <row r="545">
          <cell r="B545" t="str">
            <v>LEANA CAROLINA FERREIRA</v>
          </cell>
          <cell r="AI545">
            <v>14</v>
          </cell>
        </row>
        <row r="546">
          <cell r="B546" t="str">
            <v>JORDAO VIOLIN</v>
          </cell>
          <cell r="AI546">
            <v>18</v>
          </cell>
        </row>
        <row r="547">
          <cell r="B547" t="str">
            <v>PAULO ROBERTO BIGNARDI</v>
          </cell>
          <cell r="AI547">
            <v>38</v>
          </cell>
        </row>
        <row r="548">
          <cell r="B548" t="str">
            <v>ELEONORA ELISIA ABRA BLANCO</v>
          </cell>
          <cell r="AI548">
            <v>7</v>
          </cell>
        </row>
        <row r="549">
          <cell r="B549" t="str">
            <v>ANDRE LUIZ BRAGA TURBAY</v>
          </cell>
          <cell r="AI549">
            <v>12</v>
          </cell>
        </row>
        <row r="550">
          <cell r="B550" t="str">
            <v>SANDRA JOIA MIZRAHI JAKOBSON</v>
          </cell>
          <cell r="AI550">
            <v>3</v>
          </cell>
        </row>
        <row r="551">
          <cell r="B551" t="str">
            <v>CAROLINE EHLKE GONZAGA</v>
          </cell>
          <cell r="AI551">
            <v>21</v>
          </cell>
        </row>
        <row r="552">
          <cell r="B552" t="str">
            <v>BERNARDO STROBEL GUIMARAES</v>
          </cell>
          <cell r="AI552">
            <v>4</v>
          </cell>
        </row>
        <row r="553">
          <cell r="B553" t="str">
            <v>MARIO PROKOPIUK</v>
          </cell>
          <cell r="AI553">
            <v>40</v>
          </cell>
        </row>
        <row r="554">
          <cell r="B554" t="str">
            <v>FRANCISCO EDUARDO CORAL</v>
          </cell>
          <cell r="AI554">
            <v>11</v>
          </cell>
        </row>
        <row r="555">
          <cell r="B555" t="str">
            <v>CASSIO SLOMPO RAMOS</v>
          </cell>
          <cell r="AI555">
            <v>10</v>
          </cell>
        </row>
        <row r="556">
          <cell r="B556" t="str">
            <v>SERGIO ALEXANDRE LIBLIK</v>
          </cell>
          <cell r="AI556">
            <v>21</v>
          </cell>
        </row>
        <row r="557">
          <cell r="B557" t="str">
            <v>ANA PAULA BIAOBOK</v>
          </cell>
          <cell r="AI557">
            <v>0</v>
          </cell>
        </row>
        <row r="558">
          <cell r="B558" t="str">
            <v>MARCELO JOSE MARCOLLA</v>
          </cell>
          <cell r="AI558">
            <v>18</v>
          </cell>
        </row>
        <row r="559">
          <cell r="B559" t="str">
            <v>ROBSON IVAN STIVAL</v>
          </cell>
          <cell r="AI559">
            <v>2</v>
          </cell>
        </row>
        <row r="560">
          <cell r="B560" t="str">
            <v>WESLEY MARCOS DE ALMEIDA</v>
          </cell>
          <cell r="AI560">
            <v>24</v>
          </cell>
        </row>
        <row r="561">
          <cell r="B561" t="str">
            <v>LUIS CESAR DE CARLI TURCO</v>
          </cell>
          <cell r="AI561">
            <v>21</v>
          </cell>
        </row>
        <row r="562">
          <cell r="B562" t="str">
            <v>JORGE LUIZ COSTA CASTRO</v>
          </cell>
          <cell r="AI562">
            <v>9</v>
          </cell>
        </row>
        <row r="563">
          <cell r="B563" t="str">
            <v>OTTO HENRIQUE MARTINS DA SILVA</v>
          </cell>
          <cell r="AI563">
            <v>4</v>
          </cell>
        </row>
        <row r="564">
          <cell r="B564" t="str">
            <v>JACKSON TEIXEIRA BITTENCOURT</v>
          </cell>
          <cell r="AI564">
            <v>32</v>
          </cell>
        </row>
        <row r="565">
          <cell r="B565" t="str">
            <v>JOSELIA RIBEIRO</v>
          </cell>
          <cell r="AI565">
            <v>40</v>
          </cell>
        </row>
        <row r="566">
          <cell r="B566" t="str">
            <v>VALTER KLEIN JUNIOR</v>
          </cell>
          <cell r="AI566">
            <v>27</v>
          </cell>
        </row>
        <row r="567">
          <cell r="B567" t="str">
            <v>TAISA VIEIRA SENA</v>
          </cell>
          <cell r="AI567">
            <v>14</v>
          </cell>
        </row>
        <row r="568">
          <cell r="B568" t="str">
            <v>LAERCIO UEMURA</v>
          </cell>
          <cell r="AI568">
            <v>10</v>
          </cell>
        </row>
        <row r="569">
          <cell r="B569" t="str">
            <v>LUCI KEIKO KUROMOTO DE CASTRO</v>
          </cell>
          <cell r="AI569">
            <v>25</v>
          </cell>
        </row>
        <row r="570">
          <cell r="B570" t="str">
            <v>PRISCILLA PEREZ RUSSO</v>
          </cell>
          <cell r="AI570">
            <v>17</v>
          </cell>
        </row>
        <row r="571">
          <cell r="B571" t="str">
            <v>PAULO ROBERTO FERREIRA DE CAMARGO</v>
          </cell>
          <cell r="AI571">
            <v>30</v>
          </cell>
        </row>
        <row r="572">
          <cell r="B572" t="str">
            <v>PAULO CESAR PORTO MARTINS</v>
          </cell>
          <cell r="AI572">
            <v>26</v>
          </cell>
        </row>
        <row r="573">
          <cell r="B573" t="str">
            <v>RAFAEL TORRES BRUM</v>
          </cell>
          <cell r="AI573">
            <v>9</v>
          </cell>
        </row>
        <row r="574">
          <cell r="B574" t="str">
            <v>LEANDRO TADEU CATAPAM</v>
          </cell>
          <cell r="AI574">
            <v>0</v>
          </cell>
        </row>
        <row r="575">
          <cell r="B575" t="str">
            <v>IZABELA PATRICIO BASTOS</v>
          </cell>
          <cell r="AI575">
            <v>12</v>
          </cell>
        </row>
        <row r="576">
          <cell r="B576" t="str">
            <v>LEANDRO ZEN KARAM</v>
          </cell>
          <cell r="AI576">
            <v>32</v>
          </cell>
        </row>
        <row r="577">
          <cell r="B577" t="str">
            <v>LILIANE DO ROCIO MARCONCIN</v>
          </cell>
          <cell r="AI577">
            <v>20</v>
          </cell>
        </row>
        <row r="578">
          <cell r="B578" t="str">
            <v>KARLA CRISTIANE ARSIE</v>
          </cell>
          <cell r="AI578">
            <v>40</v>
          </cell>
        </row>
        <row r="579">
          <cell r="B579" t="str">
            <v>ELIAS WOLFF</v>
          </cell>
          <cell r="AI579">
            <v>34</v>
          </cell>
        </row>
        <row r="580">
          <cell r="B580" t="str">
            <v>KARLAN MULLER MUNIZ</v>
          </cell>
          <cell r="AI580">
            <v>18</v>
          </cell>
        </row>
        <row r="581">
          <cell r="B581" t="str">
            <v>MARLOS HARDT</v>
          </cell>
          <cell r="AI581">
            <v>20</v>
          </cell>
        </row>
        <row r="582">
          <cell r="B582" t="str">
            <v>WILLIAM SADE JUNIOR</v>
          </cell>
          <cell r="AI582">
            <v>2</v>
          </cell>
        </row>
        <row r="583">
          <cell r="B583" t="str">
            <v>HUMBERTO LUIZ FOGACA DE MEDEIROS</v>
          </cell>
          <cell r="AI583">
            <v>40</v>
          </cell>
        </row>
        <row r="584">
          <cell r="B584" t="str">
            <v>CAMILA FUKUDA GOMES SANTOS</v>
          </cell>
          <cell r="AI584">
            <v>14</v>
          </cell>
        </row>
        <row r="585">
          <cell r="B585" t="str">
            <v>ALESSANDRO BERTOLINO</v>
          </cell>
          <cell r="AI585">
            <v>5</v>
          </cell>
        </row>
        <row r="586">
          <cell r="B586" t="str">
            <v>FABIANA BARTALINI VON DER OSTEN</v>
          </cell>
          <cell r="AI586">
            <v>30</v>
          </cell>
        </row>
        <row r="587">
          <cell r="B587" t="str">
            <v>JULIANA FERNANDES JUNGES CARARO</v>
          </cell>
          <cell r="AI587">
            <v>24</v>
          </cell>
        </row>
        <row r="588">
          <cell r="B588" t="str">
            <v>SANDRA CRISTINA BOUFLEUR</v>
          </cell>
          <cell r="AI588">
            <v>4</v>
          </cell>
        </row>
        <row r="589">
          <cell r="B589" t="str">
            <v>MARCELO DO CARMO CAMARGO GAIOTTO</v>
          </cell>
          <cell r="AI589">
            <v>6</v>
          </cell>
        </row>
        <row r="590">
          <cell r="B590" t="str">
            <v>ANA PRISCILLA CHRISTIANO</v>
          </cell>
          <cell r="AI590">
            <v>9</v>
          </cell>
        </row>
        <row r="591">
          <cell r="B591" t="str">
            <v>CAROLINA CAIRES MOTTA</v>
          </cell>
          <cell r="AI591">
            <v>16</v>
          </cell>
        </row>
        <row r="592">
          <cell r="B592" t="str">
            <v>MARIA HELENA CAMARGO PERALTA DEL VALLE</v>
          </cell>
          <cell r="AI592">
            <v>8</v>
          </cell>
        </row>
        <row r="593">
          <cell r="B593" t="str">
            <v>CLAYTON FERNANDES DE SOUZA</v>
          </cell>
          <cell r="AI593">
            <v>14</v>
          </cell>
        </row>
        <row r="594">
          <cell r="B594" t="str">
            <v>CAIO CESAR SILVA DE CASTRO</v>
          </cell>
          <cell r="AI594">
            <v>19</v>
          </cell>
        </row>
        <row r="595">
          <cell r="B595" t="str">
            <v>JULIANA RADAELLI</v>
          </cell>
          <cell r="AI595">
            <v>4</v>
          </cell>
        </row>
        <row r="596">
          <cell r="B596" t="str">
            <v>CRISTINA PELLEGRINO BAENA</v>
          </cell>
          <cell r="AI596">
            <v>39</v>
          </cell>
        </row>
        <row r="597">
          <cell r="B597" t="str">
            <v>ANA CRISTINA DA SILVA DE LACERDA</v>
          </cell>
          <cell r="AI597">
            <v>14</v>
          </cell>
        </row>
        <row r="598">
          <cell r="B598" t="str">
            <v>MARA FRANCIELI MOTIN</v>
          </cell>
          <cell r="AI598">
            <v>10</v>
          </cell>
        </row>
        <row r="599">
          <cell r="B599" t="str">
            <v>EDUARDO RIBEIRO DA FONSECA</v>
          </cell>
          <cell r="AI599">
            <v>32</v>
          </cell>
        </row>
        <row r="600">
          <cell r="B600" t="str">
            <v>LEANDRO BATISTA COSTA</v>
          </cell>
          <cell r="AI600">
            <v>33</v>
          </cell>
        </row>
        <row r="601">
          <cell r="B601" t="str">
            <v>MARK EIRIK SCORTEGAGNA JOSELLI</v>
          </cell>
          <cell r="AI601">
            <v>28</v>
          </cell>
        </row>
        <row r="602">
          <cell r="B602" t="str">
            <v>VALCIR MORAES</v>
          </cell>
          <cell r="AI602">
            <v>26</v>
          </cell>
        </row>
        <row r="603">
          <cell r="B603" t="str">
            <v>MARCUS VINICIUS BRUDZINSKI</v>
          </cell>
          <cell r="AI603">
            <v>0</v>
          </cell>
        </row>
        <row r="604">
          <cell r="B604" t="str">
            <v>RAFAEL AUGUSTO CAMARGO</v>
          </cell>
          <cell r="AI604">
            <v>2</v>
          </cell>
        </row>
        <row r="605">
          <cell r="B605" t="str">
            <v>ABEL RIBEIRO DOS SANTOS</v>
          </cell>
          <cell r="AI605">
            <v>0</v>
          </cell>
        </row>
        <row r="606">
          <cell r="B606" t="str">
            <v>PATRICIA ELIANE DA ROSA SARDETO</v>
          </cell>
          <cell r="AI606">
            <v>30</v>
          </cell>
        </row>
        <row r="607">
          <cell r="B607" t="str">
            <v>RAFAEL JUNIOR SOARES</v>
          </cell>
          <cell r="AI607">
            <v>8</v>
          </cell>
        </row>
        <row r="608">
          <cell r="B608" t="str">
            <v>VANIA APARECIDA TERRA</v>
          </cell>
          <cell r="AI608">
            <v>19</v>
          </cell>
        </row>
        <row r="609">
          <cell r="B609" t="str">
            <v>ALINE TANCLER STIPP</v>
          </cell>
          <cell r="AI609">
            <v>29</v>
          </cell>
        </row>
        <row r="610">
          <cell r="B610" t="str">
            <v>CRISTIANO TEODORO RUSSO</v>
          </cell>
          <cell r="AI610">
            <v>16</v>
          </cell>
        </row>
        <row r="611">
          <cell r="B611" t="str">
            <v>RAQUEL CRISTINA SILVA DAS NEVES</v>
          </cell>
          <cell r="AI611">
            <v>8</v>
          </cell>
        </row>
        <row r="612">
          <cell r="B612" t="str">
            <v>ANDRE BITTENCOURT LORUSSO</v>
          </cell>
          <cell r="AI612">
            <v>28</v>
          </cell>
        </row>
        <row r="613">
          <cell r="B613" t="str">
            <v>PRISCILA BRENTAN PRAXEDES PEREIRA</v>
          </cell>
          <cell r="AI613">
            <v>25</v>
          </cell>
        </row>
        <row r="614">
          <cell r="B614" t="str">
            <v>CARLOS EDUARDO LUNELLI</v>
          </cell>
          <cell r="AI614">
            <v>15</v>
          </cell>
        </row>
        <row r="615">
          <cell r="B615" t="str">
            <v>MICHELLA YAMAMURA BARDELLI DA SILVA</v>
          </cell>
          <cell r="AI615">
            <v>4</v>
          </cell>
        </row>
        <row r="616">
          <cell r="B616" t="str">
            <v>LARA GUERIOS</v>
          </cell>
          <cell r="AI616">
            <v>8</v>
          </cell>
        </row>
        <row r="617">
          <cell r="B617" t="str">
            <v>PATRICIA ANDREIA DOMBROWSKI</v>
          </cell>
          <cell r="AI617">
            <v>0</v>
          </cell>
        </row>
        <row r="618">
          <cell r="B618" t="str">
            <v>EDILE MARIA FRACARO RODRIGUES</v>
          </cell>
          <cell r="AI618">
            <v>0</v>
          </cell>
        </row>
        <row r="619">
          <cell r="B619" t="str">
            <v>DANIEL IDEL BONGANHI FEFERMAN</v>
          </cell>
          <cell r="AI619">
            <v>10</v>
          </cell>
        </row>
        <row r="620">
          <cell r="B620" t="str">
            <v>CARLOS ALBERTO DEBIASI</v>
          </cell>
          <cell r="AI620">
            <v>20</v>
          </cell>
        </row>
        <row r="621">
          <cell r="B621" t="str">
            <v>LUIZ GUSTAVO THADEO BRAGA</v>
          </cell>
          <cell r="AI621">
            <v>22</v>
          </cell>
        </row>
        <row r="622">
          <cell r="B622" t="str">
            <v>WYLKYS WEINHARDT GONCALVES</v>
          </cell>
          <cell r="AI622">
            <v>0</v>
          </cell>
        </row>
        <row r="623">
          <cell r="B623" t="str">
            <v>SILVIA HELENA DOS SANTOS GAJARDONI FARGES</v>
          </cell>
          <cell r="AI623">
            <v>27</v>
          </cell>
        </row>
        <row r="624">
          <cell r="B624" t="str">
            <v>EDUARDO RODRIGUES GARCIA</v>
          </cell>
          <cell r="AI624">
            <v>0</v>
          </cell>
        </row>
        <row r="625">
          <cell r="B625" t="str">
            <v>RICARDO LEMES DA ROSA</v>
          </cell>
          <cell r="AI625">
            <v>30</v>
          </cell>
        </row>
        <row r="626">
          <cell r="B626" t="str">
            <v>THAIS PACIEVITCH</v>
          </cell>
          <cell r="AI626">
            <v>0</v>
          </cell>
        </row>
        <row r="627">
          <cell r="B627" t="str">
            <v>FERNANDA BRANDALISE BOGONI</v>
          </cell>
          <cell r="AI627">
            <v>0</v>
          </cell>
        </row>
        <row r="628">
          <cell r="B628" t="str">
            <v>JAIR RODINI ENGRACIA FILHO</v>
          </cell>
          <cell r="AI628">
            <v>21</v>
          </cell>
        </row>
        <row r="629">
          <cell r="B629" t="str">
            <v>CAMILA MAIA DE OLIVEIRA BORGES PARANA</v>
          </cell>
          <cell r="AI629">
            <v>38</v>
          </cell>
        </row>
        <row r="630">
          <cell r="B630" t="str">
            <v>CAROLINE KRETZMANN</v>
          </cell>
          <cell r="AI630">
            <v>10</v>
          </cell>
        </row>
        <row r="631">
          <cell r="B631" t="str">
            <v>KELLY RAFAELA OTEMAIER</v>
          </cell>
          <cell r="AI631">
            <v>32</v>
          </cell>
        </row>
        <row r="632">
          <cell r="B632" t="str">
            <v>RAFAEL DE OLIVEIRA ANDRADE</v>
          </cell>
          <cell r="AI632">
            <v>14</v>
          </cell>
        </row>
        <row r="633">
          <cell r="B633" t="str">
            <v>JUAN JOSE CAMOU VIACAVA</v>
          </cell>
          <cell r="AI633">
            <v>32</v>
          </cell>
        </row>
        <row r="634">
          <cell r="B634" t="str">
            <v>ADRIANE REICHERT FARIA</v>
          </cell>
          <cell r="AI634">
            <v>25</v>
          </cell>
        </row>
        <row r="635">
          <cell r="B635" t="str">
            <v>VIVIANE BERNARDES DE OLIVEIRA CHAIBEN</v>
          </cell>
          <cell r="AI635">
            <v>30</v>
          </cell>
        </row>
        <row r="636">
          <cell r="B636" t="str">
            <v>ADRIANO AKIRA FERREIRA HINO</v>
          </cell>
          <cell r="AI636">
            <v>34</v>
          </cell>
        </row>
        <row r="637">
          <cell r="B637" t="str">
            <v>ALBERTO PAULO NETO</v>
          </cell>
          <cell r="AI637">
            <v>30</v>
          </cell>
        </row>
        <row r="638">
          <cell r="B638" t="str">
            <v>EMANUEL GOIS JUNIOR</v>
          </cell>
          <cell r="AI638">
            <v>16</v>
          </cell>
        </row>
        <row r="639">
          <cell r="B639" t="str">
            <v>RICARDO BERNARDO DA SILVA</v>
          </cell>
          <cell r="AI639">
            <v>28</v>
          </cell>
        </row>
        <row r="640">
          <cell r="B640" t="str">
            <v>ANA CRISTINA DA SILVA DO AMARAL HERRERA</v>
          </cell>
          <cell r="AI640">
            <v>14</v>
          </cell>
        </row>
        <row r="641">
          <cell r="B641" t="str">
            <v>EMERSON PEREIRA GREGORIO</v>
          </cell>
          <cell r="AI641">
            <v>20</v>
          </cell>
        </row>
        <row r="642">
          <cell r="B642" t="str">
            <v>LUIZ GUILHERME ACHCAR CAPRIGLIONE</v>
          </cell>
          <cell r="AI642">
            <v>20</v>
          </cell>
        </row>
        <row r="643">
          <cell r="B643" t="str">
            <v>ANGELA CRISTIANE SANTOS POVOA</v>
          </cell>
          <cell r="AI643">
            <v>40</v>
          </cell>
        </row>
        <row r="644">
          <cell r="B644" t="str">
            <v>MARTIOS ECCO</v>
          </cell>
          <cell r="AI644">
            <v>16</v>
          </cell>
        </row>
        <row r="645">
          <cell r="B645" t="str">
            <v>RAFAEL MATTA CARNASCIALI</v>
          </cell>
          <cell r="AI645">
            <v>2</v>
          </cell>
        </row>
        <row r="646">
          <cell r="B646" t="str">
            <v>RODRIGO GOMES DE OLIVEIRA</v>
          </cell>
          <cell r="AI646">
            <v>10</v>
          </cell>
        </row>
        <row r="647">
          <cell r="B647" t="str">
            <v>LAYS CHEROBIM PAROLIN</v>
          </cell>
          <cell r="AI647">
            <v>34</v>
          </cell>
        </row>
        <row r="648">
          <cell r="B648" t="str">
            <v>HENRIQUE JOSE POLATO GOMES</v>
          </cell>
          <cell r="AI648">
            <v>17</v>
          </cell>
        </row>
        <row r="649">
          <cell r="B649" t="str">
            <v>HOMERO LUIS DE AQUINO PALMA</v>
          </cell>
          <cell r="AI649">
            <v>14</v>
          </cell>
        </row>
        <row r="650">
          <cell r="B650" t="str">
            <v>FELIPE FRANCISCO BONDAN TUON</v>
          </cell>
          <cell r="AI650">
            <v>40</v>
          </cell>
        </row>
        <row r="651">
          <cell r="B651" t="str">
            <v>JULIANO GERALDI</v>
          </cell>
          <cell r="AI651">
            <v>6</v>
          </cell>
        </row>
        <row r="652">
          <cell r="B652" t="str">
            <v>CELINA TIE NISHIMORI DUQUE</v>
          </cell>
          <cell r="AI652">
            <v>32</v>
          </cell>
        </row>
        <row r="653">
          <cell r="B653" t="str">
            <v>DANIEL WUNDER HACHEM</v>
          </cell>
          <cell r="AI653">
            <v>40</v>
          </cell>
        </row>
        <row r="654">
          <cell r="B654" t="str">
            <v>JAIME LUIS LOPES ROCHA</v>
          </cell>
          <cell r="AI654">
            <v>8</v>
          </cell>
        </row>
        <row r="655">
          <cell r="B655" t="str">
            <v>KARINA PACHECO DOS SANTOS VANDER BROOCK</v>
          </cell>
          <cell r="AI655">
            <v>14</v>
          </cell>
        </row>
        <row r="656">
          <cell r="B656" t="str">
            <v>WILLIAM FRANCO DA SILVA</v>
          </cell>
          <cell r="AI656">
            <v>34</v>
          </cell>
        </row>
        <row r="657">
          <cell r="B657" t="str">
            <v>BEATRIZ LUCI FERNANDES</v>
          </cell>
          <cell r="AI657">
            <v>32</v>
          </cell>
        </row>
        <row r="658">
          <cell r="B658" t="str">
            <v>DOUGLAS BORGES CANDIDO</v>
          </cell>
          <cell r="AI658">
            <v>36</v>
          </cell>
        </row>
        <row r="659">
          <cell r="B659" t="str">
            <v>DALTON ALEXANDRE KAI</v>
          </cell>
          <cell r="AI659">
            <v>12</v>
          </cell>
        </row>
        <row r="660">
          <cell r="B660" t="str">
            <v>JANIO DENIS GABRIEL</v>
          </cell>
          <cell r="AI660">
            <v>2</v>
          </cell>
        </row>
        <row r="661">
          <cell r="B661" t="str">
            <v>REGINA FABIA LOPES DE ALBUQUERQUE</v>
          </cell>
          <cell r="AI661">
            <v>34</v>
          </cell>
        </row>
        <row r="662">
          <cell r="B662" t="str">
            <v>RENAN COLOMBO</v>
          </cell>
          <cell r="AI662">
            <v>32</v>
          </cell>
        </row>
        <row r="663">
          <cell r="B663" t="str">
            <v>THAISE LOHR TACLA</v>
          </cell>
          <cell r="AI663">
            <v>10</v>
          </cell>
        </row>
        <row r="664">
          <cell r="B664" t="str">
            <v>FEDERICO FERRAGUTO</v>
          </cell>
          <cell r="AI664">
            <v>40</v>
          </cell>
        </row>
        <row r="665">
          <cell r="B665" t="str">
            <v>TATIANY HONORIO PORTO AOKI</v>
          </cell>
          <cell r="AI665">
            <v>8</v>
          </cell>
        </row>
        <row r="666">
          <cell r="B666" t="str">
            <v>MARCELO PUPPI MUNHOZ</v>
          </cell>
          <cell r="AI666">
            <v>8</v>
          </cell>
        </row>
        <row r="667">
          <cell r="B667" t="str">
            <v>OTTO LEOPOLDO WINCK</v>
          </cell>
          <cell r="AI667">
            <v>6</v>
          </cell>
        </row>
        <row r="668">
          <cell r="B668" t="str">
            <v>SANDRA REGINA CABEL</v>
          </cell>
          <cell r="AI668">
            <v>18</v>
          </cell>
        </row>
        <row r="669">
          <cell r="B669" t="str">
            <v>CLOVIS MASSATO KUWAHARA</v>
          </cell>
          <cell r="AI669">
            <v>16</v>
          </cell>
        </row>
        <row r="670">
          <cell r="B670" t="str">
            <v>ABEL ESTEVES SOARES</v>
          </cell>
          <cell r="AI670">
            <v>10</v>
          </cell>
        </row>
        <row r="671">
          <cell r="B671" t="str">
            <v>CLAUDIA NASCIMENTO MONTEMOR</v>
          </cell>
          <cell r="AI671">
            <v>24</v>
          </cell>
        </row>
        <row r="672">
          <cell r="B672" t="str">
            <v>LUIZ FERNANDO KUNII</v>
          </cell>
          <cell r="AI672">
            <v>31</v>
          </cell>
        </row>
        <row r="673">
          <cell r="B673" t="str">
            <v>KAREN SUMIRE KUBO</v>
          </cell>
          <cell r="AI673">
            <v>34</v>
          </cell>
        </row>
        <row r="674">
          <cell r="B674" t="str">
            <v>HENRY BELCHIOR DA CUNHA</v>
          </cell>
          <cell r="AI674">
            <v>10</v>
          </cell>
        </row>
        <row r="675">
          <cell r="B675" t="str">
            <v>REGINA MARIA MARTINS DE ARAUJO KLEIN</v>
          </cell>
          <cell r="AI675">
            <v>40</v>
          </cell>
        </row>
        <row r="676">
          <cell r="B676" t="str">
            <v>RONALDO ADRIANO ALVES DOS SANTOS</v>
          </cell>
          <cell r="AI676">
            <v>34</v>
          </cell>
        </row>
        <row r="677">
          <cell r="B677" t="str">
            <v>MONICA JANKE DE CASTRO PROSDOCIMO</v>
          </cell>
          <cell r="AI677">
            <v>10</v>
          </cell>
        </row>
        <row r="678">
          <cell r="B678" t="str">
            <v>RENATA DINARDI BORGES LIBONI</v>
          </cell>
          <cell r="AI678">
            <v>17</v>
          </cell>
        </row>
        <row r="679">
          <cell r="B679" t="str">
            <v>SILVIA TURRA GRECHINSKI</v>
          </cell>
          <cell r="AI679">
            <v>4</v>
          </cell>
        </row>
        <row r="680">
          <cell r="B680" t="str">
            <v>DAVID QUEIROZ DE SANT ANA</v>
          </cell>
          <cell r="AI680">
            <v>4</v>
          </cell>
        </row>
        <row r="681">
          <cell r="B681" t="str">
            <v>ROBERTO MASAHIKO AOKI</v>
          </cell>
          <cell r="AI681">
            <v>4</v>
          </cell>
        </row>
        <row r="682">
          <cell r="B682" t="str">
            <v>PRISCILA XIMENES SOUZA DO NASCIMENTO</v>
          </cell>
          <cell r="AI682">
            <v>10</v>
          </cell>
        </row>
        <row r="683">
          <cell r="B683" t="str">
            <v>JOAO ANILSON CARVALHO DE LARA FILHO</v>
          </cell>
          <cell r="AI683">
            <v>0</v>
          </cell>
        </row>
        <row r="684">
          <cell r="B684" t="str">
            <v>MARCELO ORTEGA MASSAMBANI</v>
          </cell>
          <cell r="AI684">
            <v>8</v>
          </cell>
        </row>
        <row r="685">
          <cell r="B685" t="str">
            <v>ROBERTO HIROCHI HERAI</v>
          </cell>
          <cell r="AI685">
            <v>38</v>
          </cell>
        </row>
        <row r="686">
          <cell r="B686" t="str">
            <v>ELOIZE AUGUSTA DA CRUZ</v>
          </cell>
          <cell r="AI686">
            <v>28</v>
          </cell>
        </row>
        <row r="687">
          <cell r="B687" t="str">
            <v>KARINA AIRES REINLEIN FERNANDES COUTO DE MORAES</v>
          </cell>
          <cell r="AI687">
            <v>15</v>
          </cell>
        </row>
        <row r="688">
          <cell r="B688" t="str">
            <v>IZIQUEL ANTONIO RADVANSKEI</v>
          </cell>
          <cell r="AI688">
            <v>10</v>
          </cell>
        </row>
        <row r="689">
          <cell r="B689" t="str">
            <v>SERGIO LUIS DO NASCIMENTO</v>
          </cell>
          <cell r="AI689">
            <v>32</v>
          </cell>
        </row>
        <row r="690">
          <cell r="B690" t="str">
            <v>GABRIELA LOBO VEIGA</v>
          </cell>
          <cell r="AI690">
            <v>27</v>
          </cell>
        </row>
        <row r="691">
          <cell r="B691" t="str">
            <v>LUCIANO ALVES LEANDRO</v>
          </cell>
          <cell r="AI691">
            <v>16</v>
          </cell>
        </row>
        <row r="692">
          <cell r="B692" t="str">
            <v>THIAGO ROCHA DA CUNHA</v>
          </cell>
          <cell r="AI692">
            <v>36</v>
          </cell>
        </row>
        <row r="693">
          <cell r="B693" t="str">
            <v>ADRIANO MORITA FERNANDES DA SILVA</v>
          </cell>
          <cell r="AI693">
            <v>29</v>
          </cell>
        </row>
        <row r="694">
          <cell r="B694" t="str">
            <v>TATIANA MAYUMI VEIGA IRIYODA</v>
          </cell>
          <cell r="AI694">
            <v>19</v>
          </cell>
        </row>
        <row r="695">
          <cell r="B695" t="str">
            <v>PAULO HENRIQUE MARAVIESKI BRAMBILLA</v>
          </cell>
          <cell r="AI695">
            <v>26</v>
          </cell>
        </row>
        <row r="696">
          <cell r="B696" t="str">
            <v>CINTIA MIYUKI ODA</v>
          </cell>
          <cell r="AI696">
            <v>20</v>
          </cell>
        </row>
        <row r="697">
          <cell r="B697" t="str">
            <v>GUILHERME BITTENCOURT TEIXEIRA</v>
          </cell>
          <cell r="AI697">
            <v>8</v>
          </cell>
        </row>
        <row r="698">
          <cell r="B698" t="str">
            <v>ANDERSON VERMONDE HAMILKO</v>
          </cell>
          <cell r="AI698">
            <v>22</v>
          </cell>
        </row>
        <row r="699">
          <cell r="B699" t="str">
            <v>SIMONE DO AMARAL CASSILHA</v>
          </cell>
          <cell r="AI699">
            <v>0</v>
          </cell>
        </row>
        <row r="700">
          <cell r="B700" t="str">
            <v>FABIANA THIELE ESCUDERO</v>
          </cell>
          <cell r="AI700">
            <v>38</v>
          </cell>
        </row>
        <row r="701">
          <cell r="B701" t="str">
            <v>DORIS BERALDO</v>
          </cell>
          <cell r="AI701">
            <v>8</v>
          </cell>
        </row>
        <row r="702">
          <cell r="B702" t="str">
            <v>JEFERSON JOSE THAUNY</v>
          </cell>
          <cell r="AI702">
            <v>30</v>
          </cell>
        </row>
        <row r="703">
          <cell r="B703" t="str">
            <v>LAURA CINQUINI FRANCO</v>
          </cell>
          <cell r="AI703">
            <v>13</v>
          </cell>
        </row>
        <row r="704">
          <cell r="B704" t="str">
            <v>JANAINA BRAGA NORTE</v>
          </cell>
          <cell r="AI704">
            <v>12</v>
          </cell>
        </row>
        <row r="705">
          <cell r="B705" t="str">
            <v>GUSTAVO RAVAGLIO</v>
          </cell>
          <cell r="AI705">
            <v>12</v>
          </cell>
        </row>
        <row r="706">
          <cell r="B706" t="str">
            <v>GABRIELA UNGER UNRUH</v>
          </cell>
          <cell r="AI706">
            <v>8</v>
          </cell>
        </row>
        <row r="707">
          <cell r="B707" t="str">
            <v>MARIANA CORCAO</v>
          </cell>
          <cell r="AI707">
            <v>2</v>
          </cell>
        </row>
        <row r="708">
          <cell r="B708" t="str">
            <v>BEATRIZ POLIDORI ZECHLINSKI</v>
          </cell>
          <cell r="AI708">
            <v>12</v>
          </cell>
        </row>
        <row r="709">
          <cell r="B709" t="str">
            <v>VINICIUS EL GHOZ DE LARA</v>
          </cell>
          <cell r="AI709">
            <v>4</v>
          </cell>
        </row>
        <row r="710">
          <cell r="B710" t="str">
            <v>MARCIAL MACANEIRO</v>
          </cell>
          <cell r="AI710">
            <v>30</v>
          </cell>
        </row>
        <row r="711">
          <cell r="B711" t="str">
            <v>ANDERSON LUIZ CHAGAS</v>
          </cell>
          <cell r="AI711">
            <v>14</v>
          </cell>
        </row>
        <row r="712">
          <cell r="B712" t="str">
            <v>PAULO NASCIMENTO NETO</v>
          </cell>
          <cell r="AI712">
            <v>40</v>
          </cell>
        </row>
        <row r="713">
          <cell r="B713" t="str">
            <v>ALEXANDRE KOWALCZUCK</v>
          </cell>
          <cell r="AI713">
            <v>4</v>
          </cell>
        </row>
        <row r="714">
          <cell r="B714" t="str">
            <v>DEBORA CRISTINA RIBEIRO MIGUEL</v>
          </cell>
          <cell r="AI714">
            <v>0</v>
          </cell>
        </row>
        <row r="715">
          <cell r="B715" t="str">
            <v>ANDREA TROVO LOPES</v>
          </cell>
          <cell r="AI715">
            <v>0</v>
          </cell>
        </row>
        <row r="716">
          <cell r="B716" t="str">
            <v>DENISE RATMANN ARRUDA COLIN</v>
          </cell>
          <cell r="AI716">
            <v>2</v>
          </cell>
        </row>
        <row r="717">
          <cell r="B717" t="str">
            <v>ELISANGELA BESKO LUIZ</v>
          </cell>
          <cell r="AI717">
            <v>0</v>
          </cell>
        </row>
        <row r="718">
          <cell r="B718" t="str">
            <v>PAUL JURGEN KELTER</v>
          </cell>
          <cell r="AI718">
            <v>8</v>
          </cell>
        </row>
        <row r="719">
          <cell r="B719" t="str">
            <v>RUI BARROSO SCHIMITI</v>
          </cell>
          <cell r="AI719">
            <v>9</v>
          </cell>
        </row>
        <row r="720">
          <cell r="B720" t="str">
            <v>FERNANDA LIBONI CAVICCHIOLI</v>
          </cell>
          <cell r="AI720">
            <v>13</v>
          </cell>
        </row>
        <row r="721">
          <cell r="B721" t="str">
            <v>MARCO AURELIO FORNAZIERI</v>
          </cell>
          <cell r="AI721">
            <v>29</v>
          </cell>
        </row>
        <row r="722">
          <cell r="B722" t="str">
            <v>GUSTAVO LENCI MARQUES</v>
          </cell>
          <cell r="AI722">
            <v>33</v>
          </cell>
        </row>
        <row r="723">
          <cell r="B723" t="str">
            <v>GISLAINE APARECIDA SUZUKI</v>
          </cell>
          <cell r="AI723">
            <v>4</v>
          </cell>
        </row>
        <row r="724">
          <cell r="B724" t="str">
            <v>SAULO PFEFFER GEBER</v>
          </cell>
          <cell r="AI724">
            <v>40</v>
          </cell>
        </row>
        <row r="725">
          <cell r="B725" t="str">
            <v>ANDRESSA MARIANNE SALLES ENGELMANN</v>
          </cell>
          <cell r="AI725">
            <v>20</v>
          </cell>
        </row>
        <row r="726">
          <cell r="B726" t="str">
            <v>MARIA ALICE WITT</v>
          </cell>
          <cell r="AI726">
            <v>28</v>
          </cell>
        </row>
        <row r="727">
          <cell r="B727" t="str">
            <v>KAMILA COLOMBO</v>
          </cell>
          <cell r="AI727">
            <v>25</v>
          </cell>
        </row>
        <row r="728">
          <cell r="B728" t="str">
            <v>TANIA CRISTINA SILVA BARBIERI</v>
          </cell>
          <cell r="AI728">
            <v>10</v>
          </cell>
        </row>
        <row r="729">
          <cell r="B729" t="str">
            <v>DANIEL PALA ABECHE</v>
          </cell>
          <cell r="AI729">
            <v>12</v>
          </cell>
        </row>
        <row r="730">
          <cell r="B730" t="str">
            <v>PAULO HENRIQUE GUILMAN TANIZAWA</v>
          </cell>
          <cell r="AI730">
            <v>36</v>
          </cell>
        </row>
        <row r="731">
          <cell r="B731" t="str">
            <v>ERIKA HOYAMA</v>
          </cell>
          <cell r="AI731">
            <v>5</v>
          </cell>
        </row>
        <row r="732">
          <cell r="B732" t="str">
            <v>GLAUCIO HENRIQUE MATSUSHITA MORO</v>
          </cell>
          <cell r="AI732">
            <v>12</v>
          </cell>
        </row>
        <row r="733">
          <cell r="B733" t="str">
            <v>JOICE DE OLIVEIRA PETRECCA TOMASCHITZ</v>
          </cell>
          <cell r="AI733">
            <v>22</v>
          </cell>
        </row>
        <row r="734">
          <cell r="B734" t="str">
            <v>LINDSEY MITIE NAKAKOGUE</v>
          </cell>
          <cell r="AI734">
            <v>20</v>
          </cell>
        </row>
        <row r="735">
          <cell r="B735" t="str">
            <v>DEBORAH IURI TAZIMA</v>
          </cell>
          <cell r="AI735">
            <v>10</v>
          </cell>
        </row>
        <row r="736">
          <cell r="B736" t="str">
            <v>RONALDO SILVEIRA DE PAIVA</v>
          </cell>
          <cell r="AI736">
            <v>12</v>
          </cell>
        </row>
        <row r="737">
          <cell r="B737" t="str">
            <v>FRANCINE DUTRA MATTEI</v>
          </cell>
          <cell r="AI737">
            <v>30</v>
          </cell>
        </row>
        <row r="738">
          <cell r="B738" t="str">
            <v>CARMEN LUCIA KUNIYOSHI REBELATTO</v>
          </cell>
          <cell r="AI738">
            <v>38</v>
          </cell>
        </row>
        <row r="739">
          <cell r="B739" t="str">
            <v>LILIAN PAULA FURLAN</v>
          </cell>
          <cell r="AI739">
            <v>0</v>
          </cell>
        </row>
        <row r="740">
          <cell r="B740" t="str">
            <v>NADINA APARECIDA MORENO</v>
          </cell>
          <cell r="AI740">
            <v>40</v>
          </cell>
        </row>
        <row r="741">
          <cell r="B741" t="str">
            <v>ALISSON ROCHA MACHADO</v>
          </cell>
          <cell r="AI741">
            <v>35</v>
          </cell>
        </row>
        <row r="742">
          <cell r="B742" t="str">
            <v>JOSE ANTONIO MIGUEL</v>
          </cell>
          <cell r="AI742">
            <v>6</v>
          </cell>
        </row>
        <row r="743">
          <cell r="B743" t="str">
            <v>CELSO APPARECIDO ATHAYDE NETO</v>
          </cell>
          <cell r="AI743">
            <v>8</v>
          </cell>
        </row>
        <row r="744">
          <cell r="B744" t="str">
            <v>GISLAYNE CARVALHO FRAGOSO</v>
          </cell>
          <cell r="AI744">
            <v>8</v>
          </cell>
        </row>
        <row r="745">
          <cell r="B745" t="str">
            <v>CAMILA ARFELLI CABRERA</v>
          </cell>
          <cell r="AI745">
            <v>8</v>
          </cell>
        </row>
        <row r="746">
          <cell r="B746" t="str">
            <v>DOUGLAS MEGURU HIRAGA</v>
          </cell>
          <cell r="AI746">
            <v>16</v>
          </cell>
        </row>
        <row r="747">
          <cell r="B747" t="str">
            <v>REGINA CELIA POLI FREDERICO</v>
          </cell>
          <cell r="AI747">
            <v>24</v>
          </cell>
        </row>
        <row r="748">
          <cell r="B748" t="str">
            <v>CLAYTON SANTOS DO COUTO</v>
          </cell>
          <cell r="AI748">
            <v>28</v>
          </cell>
        </row>
        <row r="749">
          <cell r="B749" t="str">
            <v>LUIZ CARLOS CANTANHEDE FERNANDES JUNIOR</v>
          </cell>
          <cell r="AI749">
            <v>20</v>
          </cell>
        </row>
        <row r="750">
          <cell r="B750" t="str">
            <v>HUDSON PRESTES DOS SANTOS</v>
          </cell>
          <cell r="AI750">
            <v>28</v>
          </cell>
        </row>
        <row r="751">
          <cell r="B751" t="str">
            <v>MICHAEL HIROMI ZAMPRONIO MIYAZAKI</v>
          </cell>
          <cell r="AI751">
            <v>4</v>
          </cell>
        </row>
        <row r="752">
          <cell r="B752" t="str">
            <v>EWERTON DE SA KAVISKI</v>
          </cell>
          <cell r="AI752">
            <v>6</v>
          </cell>
        </row>
        <row r="753">
          <cell r="B753" t="str">
            <v>EVARY ELYS ANGHINONI</v>
          </cell>
          <cell r="AI753">
            <v>16</v>
          </cell>
        </row>
        <row r="754">
          <cell r="B754" t="str">
            <v>CRISTINA MARIA DE AGUIAR PASTORE</v>
          </cell>
          <cell r="AI754">
            <v>40</v>
          </cell>
        </row>
        <row r="755">
          <cell r="B755" t="str">
            <v>LUIZ ALBERTO VIVAN</v>
          </cell>
          <cell r="AI755">
            <v>0</v>
          </cell>
        </row>
        <row r="756">
          <cell r="B756" t="str">
            <v>ADRIANO KULPA</v>
          </cell>
          <cell r="AI756">
            <v>8</v>
          </cell>
        </row>
        <row r="757">
          <cell r="B757" t="str">
            <v>CAMILA MONTEIRO MAZZARIN BORGES</v>
          </cell>
          <cell r="AI757">
            <v>28</v>
          </cell>
        </row>
        <row r="758">
          <cell r="B758" t="str">
            <v>IVANA SHIZUE IMAYUKI DUARTE MECHAILECH</v>
          </cell>
          <cell r="AI758">
            <v>2</v>
          </cell>
        </row>
        <row r="759">
          <cell r="B759" t="str">
            <v>LEANDRO FEIJO SONNBERGER</v>
          </cell>
          <cell r="AI759">
            <v>14</v>
          </cell>
        </row>
        <row r="760">
          <cell r="B760" t="str">
            <v>FRANCINE MILENKOVICH BELINETTI</v>
          </cell>
          <cell r="AI760">
            <v>6</v>
          </cell>
        </row>
        <row r="761">
          <cell r="B761" t="str">
            <v>MARIA CRISTINA FIGUEROA MAGALHAES</v>
          </cell>
          <cell r="AI761">
            <v>8</v>
          </cell>
        </row>
        <row r="762">
          <cell r="B762" t="str">
            <v>PEDRO GUILHERME RIBEIRO PICCOLI</v>
          </cell>
          <cell r="AI762">
            <v>32</v>
          </cell>
        </row>
        <row r="763">
          <cell r="B763" t="str">
            <v>JOAO VICTOR PEREIRA DA SILVA</v>
          </cell>
          <cell r="AI763">
            <v>0</v>
          </cell>
        </row>
        <row r="764">
          <cell r="B764" t="str">
            <v>JHENIFFER LOPES PEREIRA</v>
          </cell>
          <cell r="AI764">
            <v>0</v>
          </cell>
        </row>
        <row r="765">
          <cell r="B765" t="str">
            <v>RAPHAEL DONADIO PITTA</v>
          </cell>
          <cell r="AI765">
            <v>12</v>
          </cell>
        </row>
        <row r="766">
          <cell r="B766" t="str">
            <v>SUELI ALMEIDA DE OLIVEIRA</v>
          </cell>
          <cell r="AI766">
            <v>2</v>
          </cell>
        </row>
        <row r="767">
          <cell r="B767" t="str">
            <v>GISELE RIETOW BERTOTTI</v>
          </cell>
          <cell r="AI767">
            <v>3</v>
          </cell>
        </row>
        <row r="768">
          <cell r="B768" t="str">
            <v>VILMAR ABREU JUNIOR</v>
          </cell>
          <cell r="AI768">
            <v>40</v>
          </cell>
        </row>
        <row r="769">
          <cell r="B769" t="str">
            <v>JULIANA SCHAIA ROCHA ORSI</v>
          </cell>
          <cell r="AI769">
            <v>40</v>
          </cell>
        </row>
        <row r="770">
          <cell r="B770" t="str">
            <v>RAPHAEL CHRYSTOPHER BORGUEZAN</v>
          </cell>
          <cell r="AI770">
            <v>12</v>
          </cell>
        </row>
        <row r="771">
          <cell r="B771" t="str">
            <v>ANDREA LUIZA CURRALINHO BRAGA</v>
          </cell>
          <cell r="AI771">
            <v>26</v>
          </cell>
        </row>
        <row r="772">
          <cell r="B772" t="str">
            <v>LUIZ FERNANDO BIANCHINI</v>
          </cell>
          <cell r="AI772">
            <v>20</v>
          </cell>
        </row>
        <row r="773">
          <cell r="B773" t="str">
            <v>CASSIA REGINA NOGUEIRA GUIMARAES</v>
          </cell>
          <cell r="AI773">
            <v>34</v>
          </cell>
        </row>
        <row r="774">
          <cell r="B774" t="str">
            <v>ROBERTO GOMES TARLE</v>
          </cell>
          <cell r="AI774">
            <v>6</v>
          </cell>
        </row>
        <row r="775">
          <cell r="B775" t="str">
            <v>CARLOS EDUARDO CORAL DE OLIVEIRA</v>
          </cell>
          <cell r="AI775">
            <v>20</v>
          </cell>
        </row>
        <row r="776">
          <cell r="B776" t="str">
            <v>EMERSON RIBEIRO PALMA</v>
          </cell>
          <cell r="AI776">
            <v>0</v>
          </cell>
        </row>
        <row r="777">
          <cell r="B777" t="str">
            <v>BARBARA RAQUEL DO PRADO GIMENEZ CORREA</v>
          </cell>
          <cell r="AI777">
            <v>10</v>
          </cell>
        </row>
        <row r="778">
          <cell r="B778" t="str">
            <v>EROS LUIZ DE SOUSA</v>
          </cell>
          <cell r="AI778">
            <v>4</v>
          </cell>
        </row>
        <row r="779">
          <cell r="B779" t="str">
            <v>EMANUEL DA SILVEIRA FALEIROS</v>
          </cell>
          <cell r="AI779">
            <v>26</v>
          </cell>
        </row>
        <row r="780">
          <cell r="B780" t="str">
            <v>PAULO CESAR PHILIPPI</v>
          </cell>
          <cell r="AI780">
            <v>30</v>
          </cell>
        </row>
        <row r="781">
          <cell r="B781" t="str">
            <v>BEATRIZ DAOU VERENHITACH</v>
          </cell>
          <cell r="AI781">
            <v>12</v>
          </cell>
        </row>
        <row r="782">
          <cell r="B782" t="str">
            <v>ERIKA OKUNO</v>
          </cell>
          <cell r="AI782">
            <v>7</v>
          </cell>
        </row>
        <row r="783">
          <cell r="B783" t="str">
            <v>MARIANA GRASSI NOYA</v>
          </cell>
          <cell r="AI783">
            <v>8</v>
          </cell>
        </row>
        <row r="784">
          <cell r="B784" t="str">
            <v>EDINEIA LOPES DA CRUZ SOUZA</v>
          </cell>
          <cell r="AI784">
            <v>2</v>
          </cell>
        </row>
        <row r="785">
          <cell r="B785" t="str">
            <v>BARBARA PICK ORNAGHI</v>
          </cell>
          <cell r="AI785">
            <v>28</v>
          </cell>
        </row>
        <row r="786">
          <cell r="B786" t="str">
            <v>MADALENA DE FARIA SAMPAIO</v>
          </cell>
          <cell r="AI786">
            <v>11</v>
          </cell>
        </row>
        <row r="787">
          <cell r="B787" t="str">
            <v>KATIA ALESSANDRA PASTORI TERRIN</v>
          </cell>
          <cell r="AI787">
            <v>10</v>
          </cell>
        </row>
        <row r="788">
          <cell r="B788" t="str">
            <v>JOSE EDUARDO NUNES LINO</v>
          </cell>
          <cell r="AI788">
            <v>36</v>
          </cell>
        </row>
        <row r="789">
          <cell r="B789" t="str">
            <v>MARIA CELIA NOGUEIRA PINTO E BORGO BZUNECK</v>
          </cell>
          <cell r="AI789">
            <v>8</v>
          </cell>
        </row>
        <row r="790">
          <cell r="B790" t="str">
            <v>FATIMA MITSIE CHIBANA SOARES</v>
          </cell>
          <cell r="AI790">
            <v>12</v>
          </cell>
        </row>
        <row r="791">
          <cell r="B791" t="str">
            <v>LEONARDO VALENTE DE CAMARGO</v>
          </cell>
          <cell r="AI791">
            <v>4</v>
          </cell>
        </row>
        <row r="792">
          <cell r="B792" t="str">
            <v>SILVIA CARREIRA RIBEIRO</v>
          </cell>
          <cell r="AI792">
            <v>10</v>
          </cell>
        </row>
        <row r="793">
          <cell r="B793" t="str">
            <v>ANA MAGDA MAGNANI</v>
          </cell>
          <cell r="AI793">
            <v>24</v>
          </cell>
        </row>
        <row r="794">
          <cell r="B794" t="str">
            <v>CAROLINA DE MIRANDA PINELI ALVES</v>
          </cell>
          <cell r="AI794">
            <v>5</v>
          </cell>
        </row>
        <row r="795">
          <cell r="B795" t="str">
            <v>LUIZ CARLOS RIBEIRO NEDUZIAK</v>
          </cell>
          <cell r="AI795">
            <v>20</v>
          </cell>
        </row>
        <row r="796">
          <cell r="B796" t="str">
            <v>KELIANI BORDIN</v>
          </cell>
          <cell r="AI796">
            <v>17</v>
          </cell>
        </row>
        <row r="797">
          <cell r="B797" t="str">
            <v>JOACHIM ANDRADE</v>
          </cell>
          <cell r="AI797">
            <v>2</v>
          </cell>
        </row>
        <row r="798">
          <cell r="B798" t="str">
            <v>SHEYLA CRISTINA DA SILVA</v>
          </cell>
          <cell r="AI798">
            <v>0</v>
          </cell>
        </row>
        <row r="799">
          <cell r="B799" t="str">
            <v>ANA CLAUDIA DA SILVA PALOMARES</v>
          </cell>
          <cell r="AI799">
            <v>0</v>
          </cell>
        </row>
        <row r="800">
          <cell r="B800" t="str">
            <v>PAULO ADILSON HERRERA</v>
          </cell>
          <cell r="AI800">
            <v>10</v>
          </cell>
        </row>
        <row r="801">
          <cell r="B801" t="str">
            <v>GUILHERME FREIRE DE MELO BARROS</v>
          </cell>
          <cell r="AI801">
            <v>8</v>
          </cell>
        </row>
        <row r="802">
          <cell r="B802" t="str">
            <v>PEDRO AUGUSTO GOMES ACHETE</v>
          </cell>
          <cell r="AI802">
            <v>0</v>
          </cell>
        </row>
        <row r="803">
          <cell r="B803" t="str">
            <v>ADRIANA OLIVEIRA ANDRADE BATISTELLA</v>
          </cell>
          <cell r="AI803">
            <v>15</v>
          </cell>
        </row>
        <row r="804">
          <cell r="B804" t="str">
            <v>ERON FABIO MIRANDA</v>
          </cell>
          <cell r="AI804">
            <v>22</v>
          </cell>
        </row>
        <row r="805">
          <cell r="B805" t="str">
            <v>GABRIELA BOSCHETTI</v>
          </cell>
          <cell r="AI805">
            <v>23</v>
          </cell>
        </row>
        <row r="806">
          <cell r="B806" t="str">
            <v>JOAO PAULO FERNANDES GUERREIRO</v>
          </cell>
          <cell r="AI806">
            <v>4</v>
          </cell>
        </row>
        <row r="807">
          <cell r="B807" t="str">
            <v>WILSON LIUTI COSTA JUNIOR</v>
          </cell>
          <cell r="AI807">
            <v>22</v>
          </cell>
        </row>
        <row r="808">
          <cell r="B808" t="str">
            <v>JAMILE DA COSTA RIECHI</v>
          </cell>
          <cell r="AI808">
            <v>20</v>
          </cell>
        </row>
        <row r="809">
          <cell r="B809" t="str">
            <v>DANIEL FERREIRA FERNANDES VIEIRA</v>
          </cell>
          <cell r="AI809">
            <v>5</v>
          </cell>
        </row>
        <row r="810">
          <cell r="B810" t="str">
            <v>SILVIA PAULINO RIBEIRO ALBANESE</v>
          </cell>
          <cell r="AI810">
            <v>5</v>
          </cell>
        </row>
        <row r="811">
          <cell r="B811" t="str">
            <v>RUDA RYUITI FURUKITA BAPTISTA</v>
          </cell>
          <cell r="AI811">
            <v>6</v>
          </cell>
        </row>
        <row r="812">
          <cell r="B812" t="str">
            <v>CRISTIAN SCHMIDT</v>
          </cell>
          <cell r="AI812">
            <v>32</v>
          </cell>
        </row>
        <row r="813">
          <cell r="B813" t="str">
            <v>ROBERTO NENTWIG</v>
          </cell>
          <cell r="AI813">
            <v>0</v>
          </cell>
        </row>
        <row r="814">
          <cell r="B814" t="str">
            <v>CAMILA HARTMANN</v>
          </cell>
          <cell r="AI814">
            <v>33</v>
          </cell>
        </row>
        <row r="815">
          <cell r="B815" t="str">
            <v>LENISE AUBRIFT KLENK</v>
          </cell>
          <cell r="AI815">
            <v>10</v>
          </cell>
        </row>
        <row r="816">
          <cell r="B816" t="str">
            <v>ERIC GRIEGER BANHOLZER</v>
          </cell>
          <cell r="AI816">
            <v>21</v>
          </cell>
        </row>
        <row r="817">
          <cell r="B817" t="str">
            <v>GUILHERME RODOLFO RITTEL</v>
          </cell>
          <cell r="AI817">
            <v>28</v>
          </cell>
        </row>
        <row r="818">
          <cell r="B818" t="str">
            <v>ROSSANA AMIN GRACIANO DE RESENDE</v>
          </cell>
          <cell r="AI818">
            <v>12</v>
          </cell>
        </row>
        <row r="819">
          <cell r="B819" t="str">
            <v>THALITA FOLMANN DA SILVA</v>
          </cell>
          <cell r="AI819">
            <v>0</v>
          </cell>
        </row>
        <row r="820">
          <cell r="B820" t="str">
            <v>ANA CAROLINE DARIVA CHULA</v>
          </cell>
          <cell r="AI820">
            <v>1</v>
          </cell>
        </row>
        <row r="821">
          <cell r="B821" t="str">
            <v>GILBERTO REYNOSO MEZA</v>
          </cell>
          <cell r="AI821">
            <v>32</v>
          </cell>
        </row>
        <row r="822">
          <cell r="B822" t="str">
            <v>HORACIO ALVARENGA MOREIRA</v>
          </cell>
          <cell r="AI822">
            <v>8</v>
          </cell>
        </row>
        <row r="823">
          <cell r="B823" t="str">
            <v>ISABELA MAYUMI NAKANISHI TAKAKI</v>
          </cell>
          <cell r="AI823">
            <v>34</v>
          </cell>
        </row>
        <row r="824">
          <cell r="B824" t="str">
            <v>MURILO KARASINSKI</v>
          </cell>
          <cell r="AI824">
            <v>40</v>
          </cell>
        </row>
        <row r="825">
          <cell r="B825" t="str">
            <v>DANIELE FARFUS</v>
          </cell>
          <cell r="AI825">
            <v>40</v>
          </cell>
        </row>
        <row r="826">
          <cell r="B826" t="str">
            <v>RAFAEL DIREITO TEIXEIRA</v>
          </cell>
          <cell r="AI826">
            <v>0</v>
          </cell>
        </row>
        <row r="827">
          <cell r="B827" t="str">
            <v>JOCEMARA GURMINI</v>
          </cell>
          <cell r="AI827">
            <v>23</v>
          </cell>
        </row>
        <row r="828">
          <cell r="B828" t="str">
            <v>ROGERIO DE FRAGA</v>
          </cell>
          <cell r="AI828">
            <v>10</v>
          </cell>
        </row>
        <row r="829">
          <cell r="B829" t="str">
            <v>JULIANO DE TROTTA</v>
          </cell>
          <cell r="AI829">
            <v>6</v>
          </cell>
        </row>
        <row r="830">
          <cell r="B830" t="str">
            <v>PRISCILA DAIANE PAVEZZI DI RICO</v>
          </cell>
          <cell r="AI830">
            <v>8</v>
          </cell>
        </row>
        <row r="831">
          <cell r="B831" t="str">
            <v>MARCIO DE ABREU MOREIRA</v>
          </cell>
          <cell r="AI831">
            <v>10</v>
          </cell>
        </row>
        <row r="832">
          <cell r="B832" t="str">
            <v>GRACILIANO JOSE FRANCA</v>
          </cell>
          <cell r="AI832">
            <v>12</v>
          </cell>
        </row>
        <row r="833">
          <cell r="B833" t="str">
            <v>LEONARDO CAVALHEIRO MARTINEZ</v>
          </cell>
          <cell r="AI833">
            <v>30</v>
          </cell>
        </row>
        <row r="834">
          <cell r="B834" t="str">
            <v>ALYSSON VITOR DA SILVA</v>
          </cell>
          <cell r="AI834">
            <v>10</v>
          </cell>
        </row>
        <row r="835">
          <cell r="B835" t="str">
            <v>ROBERTA CAROLINA DE AFONSECA E SILVA</v>
          </cell>
          <cell r="AI835">
            <v>4</v>
          </cell>
        </row>
        <row r="836">
          <cell r="B836" t="str">
            <v>FERNANDA RAQUEL THOMAZ DE ARAUJO</v>
          </cell>
          <cell r="AI836">
            <v>8</v>
          </cell>
        </row>
        <row r="837">
          <cell r="B837" t="str">
            <v>RICARDO AURINO DE PINHO</v>
          </cell>
          <cell r="AI837">
            <v>40</v>
          </cell>
        </row>
        <row r="838">
          <cell r="B838" t="str">
            <v>ELIZABETH RIBEIRO MARTINS</v>
          </cell>
          <cell r="AI838">
            <v>36</v>
          </cell>
        </row>
        <row r="839">
          <cell r="B839" t="str">
            <v>MARIANA COUTO SIQUEIRA</v>
          </cell>
          <cell r="AI839">
            <v>14</v>
          </cell>
        </row>
        <row r="840">
          <cell r="B840" t="str">
            <v>SERGIO LUIZ MANENTI</v>
          </cell>
          <cell r="AI840">
            <v>16</v>
          </cell>
        </row>
        <row r="841">
          <cell r="B841" t="str">
            <v>THABATA CRISTY ZERMIANI</v>
          </cell>
          <cell r="AI841">
            <v>23</v>
          </cell>
        </row>
        <row r="842">
          <cell r="B842" t="str">
            <v>ADONIS NASR</v>
          </cell>
          <cell r="AI842">
            <v>16</v>
          </cell>
        </row>
        <row r="843">
          <cell r="B843" t="str">
            <v>MAURICIO MONTEMEZZO</v>
          </cell>
          <cell r="AI843">
            <v>8</v>
          </cell>
        </row>
        <row r="844">
          <cell r="B844" t="str">
            <v>BARBARA STADLER KAHLOW</v>
          </cell>
          <cell r="AI844">
            <v>4</v>
          </cell>
        </row>
        <row r="845">
          <cell r="B845" t="str">
            <v>EDUARDO ANTONIO ANDRADE DOS SANTOS</v>
          </cell>
          <cell r="AI845">
            <v>17</v>
          </cell>
        </row>
        <row r="846">
          <cell r="B846" t="str">
            <v>RAFAELA FRANCO CLAUDINO</v>
          </cell>
          <cell r="AI846">
            <v>20</v>
          </cell>
        </row>
        <row r="847">
          <cell r="B847" t="str">
            <v>CARLOS RENATO CUNHA</v>
          </cell>
          <cell r="AI847">
            <v>6</v>
          </cell>
        </row>
        <row r="848">
          <cell r="B848" t="str">
            <v>PATRICIA VERLINGUE RAMIRES MONTEIRO</v>
          </cell>
          <cell r="AI848">
            <v>16</v>
          </cell>
        </row>
        <row r="849">
          <cell r="B849" t="str">
            <v>UIARA RAIANA VARGAS DE CASTRO OLIVEIRA RIBEIRO</v>
          </cell>
          <cell r="AI849">
            <v>8</v>
          </cell>
        </row>
        <row r="850">
          <cell r="B850" t="str">
            <v>CAROLINE BUSATTA VAZ DE PAULA</v>
          </cell>
          <cell r="AI850">
            <v>16</v>
          </cell>
        </row>
        <row r="851">
          <cell r="B851" t="str">
            <v>ANDREA DUARTE DOETZER</v>
          </cell>
          <cell r="AI851">
            <v>4</v>
          </cell>
        </row>
        <row r="852">
          <cell r="B852" t="str">
            <v>KATIA ETHIENNE ESTEVES DOS SANTOS</v>
          </cell>
          <cell r="AI852">
            <v>30</v>
          </cell>
        </row>
        <row r="853">
          <cell r="B853" t="str">
            <v>JEAN PAUL BARDDAL</v>
          </cell>
          <cell r="AI853">
            <v>34</v>
          </cell>
        </row>
        <row r="854">
          <cell r="B854" t="str">
            <v>TELMA BLANCA LOMBARDO BEDRAN</v>
          </cell>
          <cell r="AI854">
            <v>11</v>
          </cell>
        </row>
        <row r="855">
          <cell r="B855" t="str">
            <v>ITIBERE PIAIA BERNARDI</v>
          </cell>
          <cell r="AI855">
            <v>8</v>
          </cell>
        </row>
        <row r="856">
          <cell r="B856" t="str">
            <v>MARCO CESAR JORGE DOS SANTOS</v>
          </cell>
          <cell r="AI856">
            <v>5</v>
          </cell>
        </row>
        <row r="857">
          <cell r="B857" t="str">
            <v>MARION BURGER</v>
          </cell>
          <cell r="AI857">
            <v>4</v>
          </cell>
        </row>
        <row r="858">
          <cell r="B858" t="str">
            <v>MIGUEL IBRAIM ABBOUD HANNA SOBRINHO</v>
          </cell>
          <cell r="AI858">
            <v>30</v>
          </cell>
        </row>
        <row r="859">
          <cell r="B859" t="str">
            <v>ROGERIO GOULART DA COSTA</v>
          </cell>
          <cell r="AI859">
            <v>4</v>
          </cell>
        </row>
        <row r="860">
          <cell r="B860" t="str">
            <v>FABRIZIO ZANDONADI CATENASSI</v>
          </cell>
          <cell r="AI860">
            <v>24</v>
          </cell>
        </row>
        <row r="861">
          <cell r="B861" t="str">
            <v>EDSON MARCOS CAMPOS LESSA JUNIOR</v>
          </cell>
          <cell r="AI861">
            <v>8</v>
          </cell>
        </row>
        <row r="862">
          <cell r="B862" t="str">
            <v>ADANS PABLO CARVALHO</v>
          </cell>
          <cell r="AI862">
            <v>19</v>
          </cell>
        </row>
        <row r="863">
          <cell r="B863" t="str">
            <v>CAIO AUGUSTO CAMARGO DA SILVA</v>
          </cell>
          <cell r="AI863">
            <v>34</v>
          </cell>
        </row>
        <row r="864">
          <cell r="B864" t="str">
            <v>ADAILTON SERGIO PUPIA</v>
          </cell>
          <cell r="AI864">
            <v>16</v>
          </cell>
        </row>
        <row r="865">
          <cell r="B865" t="str">
            <v>CINTHIA SCHIMITH SILVA COELHO</v>
          </cell>
          <cell r="AI865">
            <v>10</v>
          </cell>
        </row>
        <row r="866">
          <cell r="B866" t="str">
            <v>MARIANO DE ALMEIDA MENEZES</v>
          </cell>
          <cell r="AI866">
            <v>7</v>
          </cell>
        </row>
        <row r="867">
          <cell r="B867" t="str">
            <v>VANESSA ARAUJO SALES</v>
          </cell>
          <cell r="AI867">
            <v>36</v>
          </cell>
        </row>
        <row r="868">
          <cell r="B868" t="str">
            <v>DOUGLAS THAYNA VIEIRA DE SOUZA</v>
          </cell>
          <cell r="AI868">
            <v>18</v>
          </cell>
        </row>
        <row r="869">
          <cell r="B869" t="str">
            <v>SARAH FAGUNDES GROBE</v>
          </cell>
          <cell r="AI869">
            <v>13</v>
          </cell>
        </row>
        <row r="870">
          <cell r="B870" t="str">
            <v>FLAVIA COSTA PREVEDELLO</v>
          </cell>
          <cell r="AI870">
            <v>2</v>
          </cell>
        </row>
        <row r="871">
          <cell r="B871" t="str">
            <v>JAN PAWEL ANDRADE PACHNICKI</v>
          </cell>
          <cell r="AI871">
            <v>6</v>
          </cell>
        </row>
        <row r="872">
          <cell r="B872" t="str">
            <v>RUDOLF EDUARD VON SINNER</v>
          </cell>
          <cell r="AI872">
            <v>40</v>
          </cell>
        </row>
        <row r="873">
          <cell r="B873" t="str">
            <v>CAMILA BIZARRO DA SILVA</v>
          </cell>
          <cell r="AI873">
            <v>8</v>
          </cell>
        </row>
        <row r="874">
          <cell r="B874" t="str">
            <v>ALINE CRISTINA ZANCHETTIN</v>
          </cell>
          <cell r="AI874">
            <v>21</v>
          </cell>
        </row>
        <row r="875">
          <cell r="B875" t="str">
            <v>RICARDO LUCATTO BAIDA</v>
          </cell>
          <cell r="AI875">
            <v>14</v>
          </cell>
        </row>
        <row r="876">
          <cell r="B876" t="str">
            <v>LARISSA HERMANN DE SOUZA NUNES</v>
          </cell>
          <cell r="AI876">
            <v>16</v>
          </cell>
        </row>
        <row r="877">
          <cell r="B877" t="str">
            <v>CESAR RIBEIRO ZUCCOLI</v>
          </cell>
          <cell r="AI877">
            <v>14</v>
          </cell>
        </row>
        <row r="878">
          <cell r="B878" t="str">
            <v>VITOR LOUREIRO DIAS</v>
          </cell>
          <cell r="AI878">
            <v>9</v>
          </cell>
        </row>
        <row r="879">
          <cell r="B879" t="str">
            <v>LUIZ FERNANDO VELOSO BORBA NAVOLAR</v>
          </cell>
          <cell r="AI879">
            <v>20</v>
          </cell>
        </row>
        <row r="880">
          <cell r="B880" t="str">
            <v>ANDREIA RIBEIRO DA LUZ</v>
          </cell>
          <cell r="AI880">
            <v>20</v>
          </cell>
        </row>
        <row r="881">
          <cell r="B881" t="str">
            <v>SHEYLA MARA CORAIOLA</v>
          </cell>
          <cell r="AI881">
            <v>40</v>
          </cell>
        </row>
        <row r="882">
          <cell r="B882" t="str">
            <v>DENISE CAMARANI REVELK</v>
          </cell>
          <cell r="AI882">
            <v>20</v>
          </cell>
        </row>
        <row r="883">
          <cell r="B883" t="str">
            <v>FLAVIA OBARA KAI</v>
          </cell>
          <cell r="AI883">
            <v>36</v>
          </cell>
        </row>
        <row r="884">
          <cell r="B884" t="str">
            <v>EDUARDO KUGLER VIEGAS</v>
          </cell>
          <cell r="AI884">
            <v>32</v>
          </cell>
        </row>
        <row r="885">
          <cell r="B885" t="str">
            <v>PAULO ROBERTO STOBERL</v>
          </cell>
          <cell r="AI885">
            <v>16</v>
          </cell>
        </row>
        <row r="886">
          <cell r="B886" t="str">
            <v>CLEO OTAVIANO MESA JUNIOR</v>
          </cell>
          <cell r="AI886">
            <v>4</v>
          </cell>
        </row>
        <row r="887">
          <cell r="B887" t="str">
            <v>SILVIA MIDORI YANAI MIYAZAKI</v>
          </cell>
          <cell r="AI887">
            <v>16</v>
          </cell>
        </row>
        <row r="888">
          <cell r="B888" t="str">
            <v>YURI ALEXANDRE FERRETE</v>
          </cell>
          <cell r="AI888">
            <v>6</v>
          </cell>
        </row>
        <row r="889">
          <cell r="B889" t="str">
            <v>KATHERINE DAMBROWSKI</v>
          </cell>
          <cell r="AI889">
            <v>10</v>
          </cell>
        </row>
        <row r="890">
          <cell r="B890" t="str">
            <v>EDUARDO LOPES MARTINS</v>
          </cell>
          <cell r="AI890">
            <v>8</v>
          </cell>
        </row>
        <row r="891">
          <cell r="B891" t="str">
            <v>GUSTAVO WANDRESEN</v>
          </cell>
          <cell r="AI891">
            <v>12</v>
          </cell>
        </row>
        <row r="892">
          <cell r="B892" t="str">
            <v>JULIANA CONCEICAO NOSCHANG DA COSTA</v>
          </cell>
          <cell r="AI892">
            <v>36</v>
          </cell>
        </row>
        <row r="893">
          <cell r="B893" t="str">
            <v>HERBERT DE PROENCA LOPES</v>
          </cell>
          <cell r="AI893">
            <v>10</v>
          </cell>
        </row>
        <row r="894">
          <cell r="B894" t="str">
            <v>SHIMENY MICHELATO YOSHIY</v>
          </cell>
          <cell r="AI894">
            <v>10</v>
          </cell>
        </row>
        <row r="895">
          <cell r="B895" t="str">
            <v>VIVIANE DE SOUZA PINHO COSTA</v>
          </cell>
          <cell r="AI895">
            <v>11</v>
          </cell>
        </row>
        <row r="896">
          <cell r="B896" t="str">
            <v>FERNANDA PAOLA BUTARELLI</v>
          </cell>
          <cell r="AI896">
            <v>40</v>
          </cell>
        </row>
        <row r="897">
          <cell r="B897" t="str">
            <v>ANA BEATRIZ DIAS PINTO</v>
          </cell>
          <cell r="AI897">
            <v>6</v>
          </cell>
        </row>
        <row r="898">
          <cell r="B898" t="str">
            <v>MARIA CLARA JAEGER GODOY</v>
          </cell>
          <cell r="AI898">
            <v>12</v>
          </cell>
        </row>
        <row r="899">
          <cell r="B899" t="str">
            <v>MAURICIO ORLANDO WILMSEN</v>
          </cell>
          <cell r="AI899">
            <v>8</v>
          </cell>
        </row>
        <row r="900">
          <cell r="B900" t="str">
            <v>OSWALDO GIACOIA JUNIOR</v>
          </cell>
          <cell r="AI900">
            <v>30</v>
          </cell>
        </row>
        <row r="901">
          <cell r="B901" t="str">
            <v>ROLNEI RUA DAROS</v>
          </cell>
          <cell r="AI901">
            <v>35</v>
          </cell>
        </row>
        <row r="902">
          <cell r="B902" t="str">
            <v>RODOLFO STANCKI SILVA</v>
          </cell>
          <cell r="AI902">
            <v>18</v>
          </cell>
        </row>
        <row r="903">
          <cell r="B903" t="str">
            <v>MAURICIO PERIN NEVES DA SILVA</v>
          </cell>
          <cell r="AI903">
            <v>12</v>
          </cell>
        </row>
        <row r="904">
          <cell r="B904" t="str">
            <v>FABIOLA BRENNER HILGENBERG</v>
          </cell>
          <cell r="AI904">
            <v>2</v>
          </cell>
        </row>
        <row r="905">
          <cell r="B905" t="str">
            <v>FRANK COELHO DE ALCANTARA</v>
          </cell>
          <cell r="AI905">
            <v>14</v>
          </cell>
        </row>
        <row r="906">
          <cell r="B906" t="str">
            <v>LUCAS CASONATO JACINTO</v>
          </cell>
          <cell r="AI906">
            <v>10</v>
          </cell>
        </row>
        <row r="907">
          <cell r="B907" t="str">
            <v>PAULO VINICIUS PRESTIA CUSTODIO</v>
          </cell>
          <cell r="AI907">
            <v>0</v>
          </cell>
        </row>
        <row r="908">
          <cell r="B908" t="str">
            <v>HENRIQUE DEMENECK</v>
          </cell>
          <cell r="AI908">
            <v>8</v>
          </cell>
        </row>
        <row r="909">
          <cell r="B909" t="str">
            <v>LUCAS EMANUEL SILVA E OLIVEIRA</v>
          </cell>
          <cell r="AI909">
            <v>30</v>
          </cell>
        </row>
        <row r="910">
          <cell r="B910" t="str">
            <v>MARIANA COLLETE</v>
          </cell>
          <cell r="AI910">
            <v>4</v>
          </cell>
        </row>
        <row r="911">
          <cell r="B911" t="str">
            <v>MYENNE MIEKO AYRES TSUTSUMI</v>
          </cell>
          <cell r="AI911">
            <v>10</v>
          </cell>
        </row>
        <row r="912">
          <cell r="B912" t="str">
            <v>ALEXANDRE CAMILOTTI GASPERIN</v>
          </cell>
          <cell r="AI912">
            <v>4</v>
          </cell>
        </row>
        <row r="913">
          <cell r="B913" t="str">
            <v>REBECA FERNANDES DIAS</v>
          </cell>
          <cell r="AI913">
            <v>4</v>
          </cell>
        </row>
        <row r="914">
          <cell r="B914" t="str">
            <v>CARLOS EDUARDO PEREIRA DUTRA</v>
          </cell>
          <cell r="AI914">
            <v>4</v>
          </cell>
        </row>
        <row r="915">
          <cell r="B915" t="str">
            <v>VINICIUS BASSO PRETI</v>
          </cell>
          <cell r="AI915">
            <v>5</v>
          </cell>
        </row>
        <row r="916">
          <cell r="B916" t="str">
            <v>CALUE PAPCKE</v>
          </cell>
          <cell r="AI916">
            <v>16</v>
          </cell>
        </row>
        <row r="917">
          <cell r="B917" t="str">
            <v>MATHEUS LENCI MARQUES</v>
          </cell>
          <cell r="AI917">
            <v>7</v>
          </cell>
        </row>
        <row r="918">
          <cell r="B918" t="str">
            <v>LUIZA SVIESK SPRUNG</v>
          </cell>
          <cell r="AI918">
            <v>22</v>
          </cell>
        </row>
        <row r="919">
          <cell r="B919" t="str">
            <v>HEWERTON FERNANDES DA SILVA</v>
          </cell>
          <cell r="AI919">
            <v>4</v>
          </cell>
        </row>
        <row r="920">
          <cell r="B920" t="str">
            <v>MAXILIANO RIBEIRO</v>
          </cell>
          <cell r="AI920">
            <v>40</v>
          </cell>
        </row>
        <row r="921">
          <cell r="B921" t="str">
            <v>TIAGO MORALES CALVE</v>
          </cell>
          <cell r="AI921">
            <v>17</v>
          </cell>
        </row>
        <row r="922">
          <cell r="B922" t="str">
            <v>TIAGO ADELINO NAVARRO</v>
          </cell>
          <cell r="AI922">
            <v>10</v>
          </cell>
        </row>
        <row r="923">
          <cell r="B923" t="str">
            <v>NILZA TERESINHA FAORO</v>
          </cell>
          <cell r="AI923">
            <v>21</v>
          </cell>
        </row>
        <row r="924">
          <cell r="B924" t="str">
            <v>ANNA FLAVIA RIBEIRO DOS SANTOS MIGGIOLARO</v>
          </cell>
          <cell r="AI924">
            <v>9</v>
          </cell>
        </row>
        <row r="925">
          <cell r="B925" t="str">
            <v>GLAISON AURELIO PELLANDA</v>
          </cell>
          <cell r="AI925">
            <v>0</v>
          </cell>
        </row>
        <row r="926">
          <cell r="B926" t="str">
            <v>CARLOS FREDERICO OLDENBURG NETO</v>
          </cell>
          <cell r="AI926">
            <v>16</v>
          </cell>
        </row>
        <row r="927">
          <cell r="B927" t="str">
            <v>FERNANDA SCHIER DE FRAGA</v>
          </cell>
          <cell r="AI927">
            <v>7</v>
          </cell>
        </row>
        <row r="928">
          <cell r="B928" t="str">
            <v>JOSEANE MARIA ANDRADE MOUZINHO DE OLIVEIRA</v>
          </cell>
          <cell r="AI928">
            <v>8</v>
          </cell>
        </row>
        <row r="929">
          <cell r="B929" t="str">
            <v>ROBERTO FRANZINI TIBALDEO</v>
          </cell>
          <cell r="AI929">
            <v>32</v>
          </cell>
        </row>
        <row r="930">
          <cell r="B930" t="str">
            <v>DIEGO PEREIRA DE MEIRA</v>
          </cell>
          <cell r="AI930">
            <v>0</v>
          </cell>
        </row>
        <row r="931">
          <cell r="B931" t="str">
            <v>EDIVANE VALERIA ALBURNIO</v>
          </cell>
          <cell r="AI931">
            <v>0</v>
          </cell>
        </row>
        <row r="932">
          <cell r="B932" t="str">
            <v>RICARDO DE AMORIM CINI</v>
          </cell>
          <cell r="AI932">
            <v>20</v>
          </cell>
        </row>
        <row r="933">
          <cell r="B933" t="str">
            <v>VIVIANA RAQUEL ZURRO</v>
          </cell>
          <cell r="AI933">
            <v>10</v>
          </cell>
        </row>
        <row r="934">
          <cell r="B934" t="str">
            <v>GILBERTO GAERTNER</v>
          </cell>
          <cell r="AI934">
            <v>9</v>
          </cell>
        </row>
        <row r="935">
          <cell r="B935" t="str">
            <v>DEBORA PATRICIA NEMER PINHEIRO</v>
          </cell>
          <cell r="AI935">
            <v>12</v>
          </cell>
        </row>
        <row r="936">
          <cell r="B936" t="str">
            <v>MATHEUS DE LIMA GOEDERT</v>
          </cell>
          <cell r="AI936">
            <v>18</v>
          </cell>
        </row>
        <row r="937">
          <cell r="B937" t="str">
            <v>ANDRE GUSTAVO HOCHULI</v>
          </cell>
          <cell r="AI937">
            <v>30</v>
          </cell>
        </row>
        <row r="938">
          <cell r="B938" t="str">
            <v>JESSICA NAIHARA NUNES BUENO</v>
          </cell>
          <cell r="AI938">
            <v>4</v>
          </cell>
        </row>
        <row r="939">
          <cell r="B939" t="str">
            <v>VINICIUS MOURAO ALVES DE SOUZA</v>
          </cell>
          <cell r="AI939">
            <v>40</v>
          </cell>
        </row>
        <row r="940">
          <cell r="B940" t="str">
            <v>LUCIENE PIMENTEL DA SILVA</v>
          </cell>
          <cell r="AI940">
            <v>32</v>
          </cell>
        </row>
        <row r="941">
          <cell r="B941" t="str">
            <v>AUDREY TIEKO TSUNODA</v>
          </cell>
          <cell r="AI941">
            <v>12</v>
          </cell>
        </row>
        <row r="942">
          <cell r="B942" t="str">
            <v>RODRIGO ENGELBERT</v>
          </cell>
          <cell r="AI942">
            <v>0</v>
          </cell>
        </row>
        <row r="943">
          <cell r="B943" t="str">
            <v>GEISA TAMARA BUGS</v>
          </cell>
          <cell r="AI943">
            <v>32</v>
          </cell>
        </row>
        <row r="944">
          <cell r="B944" t="str">
            <v>ANDREA ROLOFF LOPES</v>
          </cell>
          <cell r="AI944">
            <v>6</v>
          </cell>
        </row>
        <row r="945">
          <cell r="B945" t="str">
            <v>KAREN FERNANDES DE MOURA SAAB</v>
          </cell>
          <cell r="AI945">
            <v>24</v>
          </cell>
        </row>
        <row r="946">
          <cell r="B946" t="str">
            <v>LILIANE MAYUMI SWIECH</v>
          </cell>
          <cell r="AI946">
            <v>0</v>
          </cell>
        </row>
        <row r="947">
          <cell r="B947" t="str">
            <v>VINICIUS ORO POPP</v>
          </cell>
          <cell r="AI947">
            <v>15</v>
          </cell>
        </row>
        <row r="948">
          <cell r="B948" t="str">
            <v>RAFAELLA STRADIOTTO BERNARDELLI</v>
          </cell>
          <cell r="AI948">
            <v>30</v>
          </cell>
        </row>
        <row r="949">
          <cell r="B949" t="str">
            <v>EDUARDO MOREIRA THOME</v>
          </cell>
          <cell r="AI949">
            <v>4</v>
          </cell>
        </row>
        <row r="950">
          <cell r="B950" t="str">
            <v>RAQUEL JAQUELINE FARION</v>
          </cell>
          <cell r="AI950">
            <v>10</v>
          </cell>
        </row>
        <row r="951">
          <cell r="B951" t="str">
            <v>LUIZ GUSTAVO PICCOLI DE MELO</v>
          </cell>
          <cell r="AI951">
            <v>23</v>
          </cell>
        </row>
        <row r="952">
          <cell r="B952" t="str">
            <v>MARINES DOS SANTOS</v>
          </cell>
          <cell r="AI952">
            <v>0</v>
          </cell>
        </row>
        <row r="953">
          <cell r="B953" t="str">
            <v>GUILHERME SIQUEIRA VIEIRA</v>
          </cell>
          <cell r="AI953">
            <v>4</v>
          </cell>
        </row>
        <row r="954">
          <cell r="B954" t="str">
            <v>KAUANA VIEIRA DA ROSA KALACHE</v>
          </cell>
          <cell r="AI954">
            <v>10</v>
          </cell>
        </row>
        <row r="955">
          <cell r="B955" t="str">
            <v>JESSICA CAROLINE DOS SANTOS</v>
          </cell>
          <cell r="AI955">
            <v>13</v>
          </cell>
        </row>
        <row r="956">
          <cell r="B956" t="str">
            <v>LUCIANA BANDEIRA MENDEZ RIBEIRO</v>
          </cell>
          <cell r="AI956">
            <v>8</v>
          </cell>
        </row>
        <row r="957">
          <cell r="B957" t="str">
            <v>GUSTAVO LEITE FRANKLIN</v>
          </cell>
          <cell r="AI957">
            <v>6</v>
          </cell>
        </row>
        <row r="958">
          <cell r="B958" t="str">
            <v>MATHEUS MURMEL GUIMARAES</v>
          </cell>
          <cell r="AI958">
            <v>9</v>
          </cell>
        </row>
        <row r="959">
          <cell r="B959" t="str">
            <v>RENATA TORRI SALDANHA COELHO</v>
          </cell>
          <cell r="AI959">
            <v>6</v>
          </cell>
        </row>
        <row r="960">
          <cell r="B960" t="str">
            <v>ERIC DANILO PAULS SOTELO</v>
          </cell>
          <cell r="AI960">
            <v>8</v>
          </cell>
        </row>
        <row r="961">
          <cell r="B961" t="str">
            <v>MILENE LEIVAS VIEIRA</v>
          </cell>
          <cell r="AI961">
            <v>21</v>
          </cell>
        </row>
        <row r="962">
          <cell r="B962" t="str">
            <v>GRACIELLY TERZIOTTI DE OLIVEIRA</v>
          </cell>
          <cell r="AI962">
            <v>10</v>
          </cell>
        </row>
        <row r="963">
          <cell r="B963" t="str">
            <v>INARA STAUB PROCHNAU</v>
          </cell>
          <cell r="AI963">
            <v>35</v>
          </cell>
        </row>
        <row r="964">
          <cell r="B964" t="str">
            <v>KAREN MAYUMI NAKAYA</v>
          </cell>
          <cell r="AI964">
            <v>26</v>
          </cell>
        </row>
        <row r="965">
          <cell r="B965" t="str">
            <v>HENDRIGO BERNARDI KORNDORFER</v>
          </cell>
          <cell r="AI965">
            <v>0</v>
          </cell>
        </row>
        <row r="966">
          <cell r="B966" t="str">
            <v>ELIANDRO REIS TAVARES</v>
          </cell>
          <cell r="AI966">
            <v>5</v>
          </cell>
        </row>
        <row r="967">
          <cell r="B967" t="str">
            <v>CINTIA CRISTINA SARNOVSKI</v>
          </cell>
          <cell r="AI967">
            <v>12</v>
          </cell>
        </row>
        <row r="968">
          <cell r="B968" t="str">
            <v>FELIPE SANTOS PEREIRA</v>
          </cell>
          <cell r="AI968">
            <v>0</v>
          </cell>
        </row>
        <row r="969">
          <cell r="B969" t="str">
            <v>TALITA QUINSLER VELOSO</v>
          </cell>
          <cell r="AI969">
            <v>8</v>
          </cell>
        </row>
        <row r="970">
          <cell r="B970" t="str">
            <v>ROSILENE FERNANDES</v>
          </cell>
          <cell r="AI970">
            <v>12</v>
          </cell>
        </row>
        <row r="971">
          <cell r="B971" t="str">
            <v>MARIANA DE MELLO GUSSO ESPINOLA</v>
          </cell>
          <cell r="AI971">
            <v>26</v>
          </cell>
        </row>
        <row r="972">
          <cell r="B972" t="str">
            <v>WALLISTEN PASSOS GARCIA</v>
          </cell>
          <cell r="AI972">
            <v>12</v>
          </cell>
        </row>
        <row r="973">
          <cell r="B973" t="str">
            <v>THALITA ALVES SEJANES</v>
          </cell>
          <cell r="AI973">
            <v>16</v>
          </cell>
        </row>
        <row r="974">
          <cell r="B974" t="str">
            <v>CLEBER KIEL OLIVO</v>
          </cell>
          <cell r="AI974">
            <v>30</v>
          </cell>
        </row>
        <row r="975">
          <cell r="B975" t="str">
            <v>CASSIA APARECIDA RODRIGUES</v>
          </cell>
          <cell r="AI975">
            <v>38</v>
          </cell>
        </row>
        <row r="976">
          <cell r="B976" t="str">
            <v>SIMONE DOS REIS BRANDAO DA SILVEIRA</v>
          </cell>
          <cell r="AI976">
            <v>26</v>
          </cell>
        </row>
        <row r="977">
          <cell r="B977" t="str">
            <v>GUILHERME BRITTES BENITEZ</v>
          </cell>
          <cell r="AI977">
            <v>28</v>
          </cell>
        </row>
        <row r="978">
          <cell r="B978" t="str">
            <v>MARINA DE LARA</v>
          </cell>
          <cell r="AI978">
            <v>12</v>
          </cell>
        </row>
        <row r="979">
          <cell r="B979" t="str">
            <v>SANDRO FERREIRA</v>
          </cell>
          <cell r="AI979">
            <v>1</v>
          </cell>
        </row>
        <row r="980">
          <cell r="B980" t="str">
            <v>CLEVERSON AVELINO FERREIRA</v>
          </cell>
          <cell r="AI980">
            <v>4</v>
          </cell>
        </row>
        <row r="981">
          <cell r="B981" t="str">
            <v>ANDERSON PETRAUSKAS</v>
          </cell>
          <cell r="AI981">
            <v>2</v>
          </cell>
        </row>
        <row r="982">
          <cell r="B982" t="str">
            <v>JOSE CRISTIANO BENTO DOS SANTOS</v>
          </cell>
          <cell r="AI982">
            <v>4</v>
          </cell>
        </row>
        <row r="983">
          <cell r="B983" t="str">
            <v>SAMARAH PERSZEL DE FREITAS</v>
          </cell>
          <cell r="AI983">
            <v>11</v>
          </cell>
        </row>
        <row r="984">
          <cell r="B984" t="str">
            <v>RENATO CAMASSUTTI BEDORE</v>
          </cell>
          <cell r="AI984">
            <v>9</v>
          </cell>
        </row>
        <row r="985">
          <cell r="B985" t="str">
            <v>JAIR HENRIQUE JUNIOR</v>
          </cell>
          <cell r="AI985">
            <v>8</v>
          </cell>
        </row>
        <row r="986">
          <cell r="B986" t="str">
            <v>EDNA MARIA VISSOCI REICHE</v>
          </cell>
          <cell r="AI986">
            <v>9</v>
          </cell>
        </row>
        <row r="987">
          <cell r="B987" t="str">
            <v>KAREN BARROS PARRON FERNANDES</v>
          </cell>
          <cell r="AI987">
            <v>34</v>
          </cell>
        </row>
        <row r="988">
          <cell r="B988" t="str">
            <v>LETICIA DE PIERRI</v>
          </cell>
          <cell r="AI988">
            <v>8</v>
          </cell>
        </row>
        <row r="989">
          <cell r="B989" t="str">
            <v>ARIANA MOURA GOMES</v>
          </cell>
          <cell r="AI989">
            <v>10</v>
          </cell>
        </row>
        <row r="990">
          <cell r="B990" t="str">
            <v>DALTON VINICIUS KOZAK</v>
          </cell>
          <cell r="AI990">
            <v>14</v>
          </cell>
        </row>
        <row r="991">
          <cell r="B991" t="str">
            <v>JULIANO COSTA</v>
          </cell>
          <cell r="AI991">
            <v>14</v>
          </cell>
        </row>
        <row r="992">
          <cell r="B992" t="str">
            <v>LUCAS LAUTERT DEZORDI</v>
          </cell>
          <cell r="AI992">
            <v>20</v>
          </cell>
        </row>
        <row r="993">
          <cell r="B993" t="str">
            <v>CAMILO DALLAGNOL</v>
          </cell>
          <cell r="AI993">
            <v>3</v>
          </cell>
        </row>
        <row r="994">
          <cell r="B994" t="str">
            <v>GUSTAVO GRANDER</v>
          </cell>
          <cell r="AI994">
            <v>30</v>
          </cell>
        </row>
        <row r="995">
          <cell r="B995" t="str">
            <v>JOSSIANI AUGUSTA HONORIO DIAS</v>
          </cell>
          <cell r="AI995">
            <v>18</v>
          </cell>
        </row>
        <row r="996">
          <cell r="B996" t="str">
            <v>ALINE VANELI PELIZZONI</v>
          </cell>
          <cell r="AI996">
            <v>25</v>
          </cell>
        </row>
        <row r="997">
          <cell r="B997" t="str">
            <v>MARCIO RODRIGUES DA FONSECA</v>
          </cell>
          <cell r="AI997">
            <v>4</v>
          </cell>
        </row>
        <row r="998">
          <cell r="B998" t="str">
            <v>RAISSA CAMPOS D AMICO</v>
          </cell>
          <cell r="AI998">
            <v>8</v>
          </cell>
        </row>
        <row r="999">
          <cell r="B999" t="str">
            <v>SIMONE LOPES DOS SANTOS</v>
          </cell>
          <cell r="AI999">
            <v>0</v>
          </cell>
        </row>
        <row r="1000">
          <cell r="B1000" t="str">
            <v>GABRIEL ERNESTO BARBOZA PEREIRA</v>
          </cell>
          <cell r="AI1000">
            <v>0</v>
          </cell>
        </row>
        <row r="1001">
          <cell r="B1001" t="str">
            <v>PAULINA ALEJANDRA SANTANDER PEREZ</v>
          </cell>
          <cell r="AI1001">
            <v>4</v>
          </cell>
        </row>
        <row r="1002">
          <cell r="B1002" t="str">
            <v>ANTONIO CARLOS MERCER</v>
          </cell>
          <cell r="AI1002">
            <v>32</v>
          </cell>
        </row>
        <row r="1003">
          <cell r="B1003" t="str">
            <v>MARILIA SILVA MALVEZZI KARWOWSKI</v>
          </cell>
          <cell r="AI1003">
            <v>7</v>
          </cell>
        </row>
        <row r="1004">
          <cell r="B1004" t="str">
            <v>OTAVIO AUGUSTO BARBOSA RUFINO</v>
          </cell>
          <cell r="AI1004">
            <v>0</v>
          </cell>
        </row>
        <row r="1005">
          <cell r="B1005" t="str">
            <v>FELIPE SHOGO HIRUMA</v>
          </cell>
          <cell r="AI1005">
            <v>0</v>
          </cell>
        </row>
        <row r="1006">
          <cell r="B1006" t="str">
            <v>MAURILIO MATOS DA SILVA</v>
          </cell>
          <cell r="AI1006">
            <v>0</v>
          </cell>
        </row>
        <row r="1007">
          <cell r="B1007" t="str">
            <v>CAROLINE SCHULTZ MOREIRA</v>
          </cell>
          <cell r="AI1007">
            <v>0</v>
          </cell>
        </row>
        <row r="1008">
          <cell r="B1008" t="str">
            <v>AGNES SILVA DE ARAUJO</v>
          </cell>
          <cell r="AI1008">
            <v>34</v>
          </cell>
        </row>
        <row r="1009">
          <cell r="B1009" t="str">
            <v>ROSANA APARECIDA DE ANDRADE</v>
          </cell>
          <cell r="AI1009">
            <v>0</v>
          </cell>
        </row>
        <row r="1010">
          <cell r="B1010" t="str">
            <v>ALAN RAFAEL DE MEDEIROS</v>
          </cell>
          <cell r="AI1010">
            <v>6</v>
          </cell>
        </row>
        <row r="1011">
          <cell r="B1011" t="str">
            <v>ANTONIO DAVID VINISKI</v>
          </cell>
          <cell r="AI1011">
            <v>32</v>
          </cell>
        </row>
        <row r="1012">
          <cell r="B1012" t="str">
            <v>INGRIDHE DE MORAIS MAGALHAES</v>
          </cell>
          <cell r="AI1012">
            <v>10</v>
          </cell>
        </row>
        <row r="1013">
          <cell r="B1013" t="str">
            <v>JESSICA DE GANG</v>
          </cell>
          <cell r="AI1013">
            <v>0</v>
          </cell>
        </row>
        <row r="1014">
          <cell r="B1014" t="str">
            <v>CAINA ALVES</v>
          </cell>
          <cell r="AI1014">
            <v>12</v>
          </cell>
        </row>
        <row r="1015">
          <cell r="B1015" t="str">
            <v>LUANA KAVA</v>
          </cell>
          <cell r="AI1015">
            <v>32</v>
          </cell>
        </row>
        <row r="1016">
          <cell r="B1016" t="str">
            <v>LUIZ FELIPE DE OLIVEIRA PEREIRA</v>
          </cell>
          <cell r="AI1016">
            <v>4</v>
          </cell>
        </row>
        <row r="1017">
          <cell r="B1017" t="str">
            <v>JENIFER PAVAN DE PAULA</v>
          </cell>
          <cell r="AI1017">
            <v>18</v>
          </cell>
        </row>
        <row r="1018">
          <cell r="B1018" t="str">
            <v>BRENDA GISELLE SANCHEZ LEYTON</v>
          </cell>
          <cell r="AI1018">
            <v>2</v>
          </cell>
        </row>
        <row r="1019">
          <cell r="B1019" t="str">
            <v>ALINE BAMPI</v>
          </cell>
          <cell r="AI1019">
            <v>12</v>
          </cell>
        </row>
        <row r="1020">
          <cell r="B1020" t="str">
            <v>ANDREA TUCHTENHAGEN WENDT</v>
          </cell>
          <cell r="AI1020">
            <v>31</v>
          </cell>
        </row>
        <row r="1021">
          <cell r="B1021" t="str">
            <v>CHARLES EMMANUEL PARCHEN</v>
          </cell>
          <cell r="AI1021">
            <v>12</v>
          </cell>
        </row>
        <row r="1022">
          <cell r="B1022" t="str">
            <v>LEONARDO MURILO NEPOMUCENO</v>
          </cell>
          <cell r="AI1022">
            <v>10</v>
          </cell>
        </row>
        <row r="1023">
          <cell r="B1023" t="str">
            <v>HELIO EMMENDOERFER JUNIOR</v>
          </cell>
          <cell r="AI1023">
            <v>30</v>
          </cell>
        </row>
        <row r="1024">
          <cell r="B1024" t="str">
            <v>GELSON LUIZ CARNEIRO</v>
          </cell>
          <cell r="AI1024">
            <v>16</v>
          </cell>
        </row>
        <row r="1025">
          <cell r="B1025" t="str">
            <v>BRUNA MARTINS DZIVIELEVSKI DA CAMARA</v>
          </cell>
          <cell r="AI1025">
            <v>9</v>
          </cell>
        </row>
        <row r="1026">
          <cell r="B1026" t="str">
            <v>HELISON BERTOLI ALVES DIAS</v>
          </cell>
          <cell r="AI1026">
            <v>20</v>
          </cell>
        </row>
        <row r="1027">
          <cell r="B1027" t="str">
            <v>GIULIO DOMENICO BORDIN</v>
          </cell>
          <cell r="AI1027">
            <v>12</v>
          </cell>
        </row>
        <row r="1028">
          <cell r="B1028" t="str">
            <v>BRYAN LUIZ PONTAROLA</v>
          </cell>
          <cell r="AI1028">
            <v>0</v>
          </cell>
        </row>
        <row r="1029">
          <cell r="B1029" t="str">
            <v>JOSIANE REGINA KRUPINISKI</v>
          </cell>
          <cell r="AI1029">
            <v>16</v>
          </cell>
        </row>
        <row r="1030">
          <cell r="B1030" t="str">
            <v>FERNANDO DIAS FERREIRA</v>
          </cell>
          <cell r="AI1030">
            <v>0</v>
          </cell>
        </row>
        <row r="1031">
          <cell r="B1031" t="str">
            <v>ROGERIO RENATO MATEUCCI</v>
          </cell>
          <cell r="AI1031">
            <v>0</v>
          </cell>
        </row>
        <row r="1032">
          <cell r="B1032" t="str">
            <v>DAVID XAVIER ASSIS</v>
          </cell>
          <cell r="AI1032">
            <v>0</v>
          </cell>
        </row>
        <row r="1033">
          <cell r="B1033" t="str">
            <v>IVAN FREITAS DOS SANTOS</v>
          </cell>
          <cell r="AI1033">
            <v>0</v>
          </cell>
        </row>
        <row r="1034">
          <cell r="B1034" t="str">
            <v>WELLINGTON OLIVEIRA DO AMOR DIVINO</v>
          </cell>
          <cell r="AI1034">
            <v>0</v>
          </cell>
        </row>
        <row r="1035">
          <cell r="B1035" t="str">
            <v>REMOM MATHEUS BORTOLOZZI</v>
          </cell>
          <cell r="AI1035">
            <v>20</v>
          </cell>
        </row>
        <row r="1036">
          <cell r="B1036" t="str">
            <v>FLAVIO FREIRE CARVALHO</v>
          </cell>
          <cell r="AI1036">
            <v>2</v>
          </cell>
        </row>
        <row r="1037">
          <cell r="B1037" t="str">
            <v>LUIS GONZAGA DE PAULO</v>
          </cell>
          <cell r="AI1037">
            <v>0</v>
          </cell>
        </row>
        <row r="1038">
          <cell r="B1038" t="str">
            <v>ANDRE TAVARES SOMMA</v>
          </cell>
          <cell r="AI1038">
            <v>12</v>
          </cell>
        </row>
        <row r="1039">
          <cell r="B1039" t="str">
            <v>ANDREZA DE SOUSA VIEIRA</v>
          </cell>
          <cell r="AI1039">
            <v>22</v>
          </cell>
        </row>
        <row r="1040">
          <cell r="B1040" t="str">
            <v>CHRISTIAN SILVA DOS REIS</v>
          </cell>
          <cell r="AI1040">
            <v>16</v>
          </cell>
        </row>
        <row r="1041">
          <cell r="B1041" t="str">
            <v>CAROLINA ROSSETTI SEVERO</v>
          </cell>
          <cell r="AI1041">
            <v>7</v>
          </cell>
        </row>
        <row r="1042">
          <cell r="B1042" t="str">
            <v>MARCO ANTONIO SIMOES TEIXEIRA</v>
          </cell>
          <cell r="AI1042">
            <v>32</v>
          </cell>
        </row>
        <row r="1043">
          <cell r="B1043" t="str">
            <v>PHILIPE QUAGLIATO BELLINATI</v>
          </cell>
          <cell r="AI1043">
            <v>23</v>
          </cell>
        </row>
        <row r="1044">
          <cell r="B1044" t="str">
            <v>LEVINO BERTOCHI JUNIOR</v>
          </cell>
          <cell r="AI1044">
            <v>26</v>
          </cell>
        </row>
        <row r="1045">
          <cell r="B1045" t="str">
            <v>VANIR APARECIDA TROMBETTA</v>
          </cell>
          <cell r="AI1045">
            <v>7</v>
          </cell>
        </row>
        <row r="1046">
          <cell r="B1046" t="str">
            <v>GUSTAVO DAVID DOS SANTOS</v>
          </cell>
          <cell r="AI1046">
            <v>15</v>
          </cell>
        </row>
        <row r="1047">
          <cell r="B1047" t="str">
            <v>DENNER PEREIRA DA SILVA</v>
          </cell>
          <cell r="AI1047">
            <v>28</v>
          </cell>
        </row>
        <row r="1048">
          <cell r="B1048" t="str">
            <v>DANIEL EMILIO DALLEDONE SIQUEIRA</v>
          </cell>
          <cell r="AI1048">
            <v>12</v>
          </cell>
        </row>
        <row r="1049">
          <cell r="B1049" t="str">
            <v>ANDERSON NITSCHE</v>
          </cell>
          <cell r="AI1049">
            <v>18</v>
          </cell>
        </row>
        <row r="1050">
          <cell r="B1050" t="str">
            <v>PEDRO HORCHULHACK</v>
          </cell>
          <cell r="AI1050">
            <v>22</v>
          </cell>
        </row>
        <row r="1051">
          <cell r="B1051" t="str">
            <v>ANDREY CABRAL MEIRA</v>
          </cell>
          <cell r="AI1051">
            <v>10</v>
          </cell>
        </row>
        <row r="1052">
          <cell r="B1052" t="str">
            <v>GUILHERME BARRETO GAMEIRO SILVA</v>
          </cell>
          <cell r="AI1052">
            <v>6</v>
          </cell>
        </row>
        <row r="1053">
          <cell r="B1053" t="str">
            <v>RICARDO CESAR LOPES</v>
          </cell>
          <cell r="AI1053">
            <v>0</v>
          </cell>
        </row>
        <row r="1054">
          <cell r="B1054" t="str">
            <v>SOLANGE VIARO PADILHA</v>
          </cell>
          <cell r="AI1054">
            <v>4</v>
          </cell>
        </row>
        <row r="1055">
          <cell r="B1055" t="str">
            <v>ALISON LUIS LANDO</v>
          </cell>
          <cell r="AI1055">
            <v>8</v>
          </cell>
        </row>
        <row r="1056">
          <cell r="B1056" t="str">
            <v>JESSICA PEDROSA MANDELLI</v>
          </cell>
          <cell r="AI1056">
            <v>7</v>
          </cell>
        </row>
        <row r="1057">
          <cell r="B1057" t="str">
            <v>MANOEL VALERIO DA SILVEIRA NETO</v>
          </cell>
          <cell r="AI1057">
            <v>2</v>
          </cell>
        </row>
        <row r="1058">
          <cell r="B1058" t="str">
            <v>ISAQUE DOS SANTOS NEVES DA CRUZ</v>
          </cell>
          <cell r="AI1058">
            <v>0</v>
          </cell>
        </row>
        <row r="1059">
          <cell r="B1059" t="str">
            <v>ILTON SANTOS DA SILVA</v>
          </cell>
          <cell r="AI1059">
            <v>15</v>
          </cell>
        </row>
        <row r="1060">
          <cell r="B1060" t="str">
            <v>THALITA PORTO HENEQUIM</v>
          </cell>
          <cell r="AI1060">
            <v>0</v>
          </cell>
        </row>
        <row r="1061">
          <cell r="B1061" t="str">
            <v>LEANDRO JOSE GREBOGI PAMPUCH</v>
          </cell>
          <cell r="AI1061">
            <v>0</v>
          </cell>
        </row>
        <row r="1062">
          <cell r="B1062" t="str">
            <v>RICARDO NUNES</v>
          </cell>
          <cell r="AI1062">
            <v>0</v>
          </cell>
        </row>
        <row r="1063">
          <cell r="B1063" t="str">
            <v>EDUARDO AUGUSTO DA SILVA CARVALHO</v>
          </cell>
          <cell r="AI1063">
            <v>0</v>
          </cell>
        </row>
        <row r="1064">
          <cell r="B1064" t="str">
            <v>ALESSANDRA BRUSTOLIN</v>
          </cell>
          <cell r="AI1064">
            <v>10</v>
          </cell>
        </row>
        <row r="1065">
          <cell r="B1065" t="str">
            <v>JOAO ALFREDO LOPES NYEGRAY</v>
          </cell>
          <cell r="AI1065">
            <v>14</v>
          </cell>
        </row>
        <row r="1066">
          <cell r="B1066" t="str">
            <v>PATRICIA CARLA ZANELATTO GONCALVES</v>
          </cell>
          <cell r="AI1066">
            <v>13</v>
          </cell>
        </row>
        <row r="1067">
          <cell r="B1067" t="str">
            <v>RODRIGO LEITE SOUZA ENOQUE</v>
          </cell>
          <cell r="AI1067">
            <v>2</v>
          </cell>
        </row>
        <row r="1068">
          <cell r="B1068" t="str">
            <v>CARLA DA ROS</v>
          </cell>
          <cell r="AI1068">
            <v>13</v>
          </cell>
        </row>
        <row r="1069">
          <cell r="B1069" t="str">
            <v>RAQUEL PEREIRA RODRIGUES LEITE</v>
          </cell>
          <cell r="AI1069">
            <v>28</v>
          </cell>
        </row>
        <row r="1070">
          <cell r="B1070" t="str">
            <v>BIANCA MENDES RATI</v>
          </cell>
          <cell r="AI1070">
            <v>22</v>
          </cell>
        </row>
        <row r="1071">
          <cell r="B1071" t="str">
            <v>ANDREI RAFAEL BRONGEL</v>
          </cell>
          <cell r="AI1071">
            <v>4</v>
          </cell>
        </row>
        <row r="1072">
          <cell r="B1072" t="str">
            <v>KASSIA RENATA DA SILVA ZANAO</v>
          </cell>
          <cell r="AI1072">
            <v>2</v>
          </cell>
        </row>
        <row r="1073">
          <cell r="B1073" t="str">
            <v>JEANCARLO RIBAS</v>
          </cell>
          <cell r="AI1073">
            <v>22</v>
          </cell>
        </row>
        <row r="1074">
          <cell r="B1074" t="str">
            <v>HELON VICENTE HULTMANN AYALA</v>
          </cell>
          <cell r="AI1074">
            <v>32</v>
          </cell>
        </row>
        <row r="1075">
          <cell r="B1075" t="str">
            <v>MICHELE ALESSANDRA HASTREITER</v>
          </cell>
          <cell r="AI1075">
            <v>6</v>
          </cell>
        </row>
        <row r="1076">
          <cell r="B1076" t="str">
            <v>ADAIR JOSE PEREIRA DA ROCHA</v>
          </cell>
          <cell r="AI1076">
            <v>7</v>
          </cell>
        </row>
        <row r="1077">
          <cell r="B1077" t="str">
            <v>CAROLINE HOSCHEID WERLE</v>
          </cell>
          <cell r="AI1077">
            <v>18</v>
          </cell>
        </row>
        <row r="1078">
          <cell r="B1078" t="str">
            <v>SOLIMAR DUTRA DA SILVEIRA</v>
          </cell>
          <cell r="AI1078">
            <v>28</v>
          </cell>
        </row>
        <row r="1079">
          <cell r="B1079" t="str">
            <v>BRUNO AZZANI BRAGA</v>
          </cell>
          <cell r="AI1079">
            <v>4</v>
          </cell>
        </row>
        <row r="1080">
          <cell r="B1080" t="str">
            <v>JONES LUIS SCHAEFER</v>
          </cell>
          <cell r="AI1080">
            <v>30</v>
          </cell>
        </row>
        <row r="1081">
          <cell r="B1081" t="str">
            <v>VITOR BERTOLI NASCIMENTO</v>
          </cell>
          <cell r="AI1081">
            <v>4</v>
          </cell>
        </row>
        <row r="1082">
          <cell r="B1082" t="str">
            <v>BANY NARONDY CABRAL LIMA</v>
          </cell>
          <cell r="AI1082">
            <v>6</v>
          </cell>
        </row>
        <row r="1083">
          <cell r="B1083" t="str">
            <v>TAILINE LISBOA</v>
          </cell>
          <cell r="AI1083">
            <v>19</v>
          </cell>
        </row>
        <row r="1084">
          <cell r="B1084" t="str">
            <v>VANESSA DAUFENBACK RAMOS</v>
          </cell>
          <cell r="AI1084">
            <v>16</v>
          </cell>
        </row>
        <row r="1085">
          <cell r="B1085" t="str">
            <v>RAFAEL CARVALHO MACHADO</v>
          </cell>
          <cell r="AI1085">
            <v>2</v>
          </cell>
        </row>
        <row r="1086">
          <cell r="B1086" t="str">
            <v>KEANU TELLES DA COSTA</v>
          </cell>
          <cell r="AI1086">
            <v>24</v>
          </cell>
        </row>
        <row r="1087">
          <cell r="B1087" t="str">
            <v>LUANA CARLA FALCAO REBOUCAS</v>
          </cell>
          <cell r="AI1087">
            <v>4</v>
          </cell>
        </row>
        <row r="1088">
          <cell r="B1088" t="str">
            <v>ANNA LUISA WALTER DE SANTANA</v>
          </cell>
          <cell r="AI1088">
            <v>36</v>
          </cell>
        </row>
        <row r="1089">
          <cell r="B1089" t="str">
            <v>THAIS FERNANDA ROBERTO OLIVEIRA</v>
          </cell>
          <cell r="AI1089">
            <v>11</v>
          </cell>
        </row>
        <row r="1090">
          <cell r="B1090" t="str">
            <v>MARCEL JAQUETO</v>
          </cell>
          <cell r="AI1090">
            <v>7</v>
          </cell>
        </row>
        <row r="1091">
          <cell r="B1091" t="str">
            <v>THAIS DISTEFANO WILTENBURG DOS SANTOS</v>
          </cell>
          <cell r="AI1091">
            <v>12</v>
          </cell>
        </row>
        <row r="1092">
          <cell r="B1092" t="str">
            <v>PRISCILA BEATRIZ DE SOUZA MEDEIROS</v>
          </cell>
          <cell r="AI1092">
            <v>8</v>
          </cell>
        </row>
        <row r="1093">
          <cell r="B1093" t="str">
            <v>VINICIUS ANTONIO HIROAKI SATO</v>
          </cell>
          <cell r="AI1093">
            <v>5</v>
          </cell>
        </row>
        <row r="1094">
          <cell r="B1094" t="str">
            <v>FERNANDA CATAFESTA UTZUMI</v>
          </cell>
          <cell r="AI1094">
            <v>20</v>
          </cell>
        </row>
        <row r="1095">
          <cell r="B1095" t="str">
            <v>LUCIANA GUIDARINI DOS SANTOS</v>
          </cell>
          <cell r="AI1095">
            <v>0</v>
          </cell>
        </row>
        <row r="1096">
          <cell r="B1096" t="str">
            <v>VICTOR HENRIQUE BENTO</v>
          </cell>
          <cell r="AI1096">
            <v>0</v>
          </cell>
        </row>
        <row r="1097">
          <cell r="B1097" t="str">
            <v>LUANA TONIN</v>
          </cell>
          <cell r="AI1097">
            <v>24</v>
          </cell>
        </row>
        <row r="1098">
          <cell r="B1098" t="str">
            <v>CARLA FREITAS SILVEIRA NETTO</v>
          </cell>
          <cell r="AI1098">
            <v>32</v>
          </cell>
        </row>
        <row r="1099">
          <cell r="B1099" t="str">
            <v>FERNANDA FRANKENBERGER SILVA</v>
          </cell>
          <cell r="AI1099">
            <v>40</v>
          </cell>
        </row>
        <row r="1100">
          <cell r="B1100" t="str">
            <v>MARCOS ROBERTO ALMEIDA DOS SANTOS</v>
          </cell>
          <cell r="AI1100">
            <v>2</v>
          </cell>
        </row>
        <row r="1101">
          <cell r="B1101" t="str">
            <v>PAULO EDUARDO PINHEIRO ROSA</v>
          </cell>
          <cell r="AI1101">
            <v>2</v>
          </cell>
        </row>
        <row r="1102">
          <cell r="B1102" t="str">
            <v>WILLIAN MAC CORMICK MARON</v>
          </cell>
          <cell r="AI1102">
            <v>7</v>
          </cell>
        </row>
        <row r="1103">
          <cell r="B1103" t="str">
            <v>RODRIGO PEIXOTO CAMPOS</v>
          </cell>
          <cell r="AI1103">
            <v>8</v>
          </cell>
        </row>
        <row r="1104">
          <cell r="B1104" t="str">
            <v>FELIPE GANZERT OLIVEIRA</v>
          </cell>
          <cell r="AI1104">
            <v>8</v>
          </cell>
        </row>
        <row r="1105">
          <cell r="B1105" t="str">
            <v>GUILHERME GUBERT MULLER</v>
          </cell>
          <cell r="AI1105">
            <v>7</v>
          </cell>
        </row>
        <row r="1106">
          <cell r="B1106" t="str">
            <v>IAN LUNA PARENTE BRASILEIRO</v>
          </cell>
          <cell r="AI1106">
            <v>8</v>
          </cell>
        </row>
        <row r="1107">
          <cell r="B1107" t="str">
            <v>GINO PIGATTO FILHO</v>
          </cell>
          <cell r="AI1107">
            <v>2</v>
          </cell>
        </row>
        <row r="1108">
          <cell r="B1108" t="str">
            <v>LYDIA VARELA GUERINO</v>
          </cell>
          <cell r="AI1108">
            <v>2</v>
          </cell>
        </row>
        <row r="1109">
          <cell r="B1109" t="str">
            <v>ALEXANDRA RAMOS DOS SANTOS</v>
          </cell>
          <cell r="AI1109">
            <v>18</v>
          </cell>
        </row>
        <row r="1110">
          <cell r="B1110" t="str">
            <v>ANA CLARA SIMOES FLORIDO ALMEIDA</v>
          </cell>
          <cell r="AI1110">
            <v>7</v>
          </cell>
        </row>
        <row r="1111">
          <cell r="B1111" t="str">
            <v>RAFAEL LOPES LAGOS</v>
          </cell>
          <cell r="AI1111">
            <v>4</v>
          </cell>
        </row>
        <row r="1112">
          <cell r="B1112" t="str">
            <v>BRUNA MARIA DE SOUZA</v>
          </cell>
          <cell r="AI1112">
            <v>8</v>
          </cell>
        </row>
        <row r="1113">
          <cell r="B1113" t="str">
            <v>JAQUELINE COSTA CASTARDO DE PAULA</v>
          </cell>
          <cell r="AI1113">
            <v>20</v>
          </cell>
        </row>
        <row r="1114">
          <cell r="B1114" t="str">
            <v>JAQUELINE DE JESUS ASCHENBRENNER</v>
          </cell>
          <cell r="AI1114">
            <v>18</v>
          </cell>
        </row>
        <row r="1115">
          <cell r="B1115" t="str">
            <v>EVANDRO ALBERTO ZATTI</v>
          </cell>
          <cell r="AI1115">
            <v>12</v>
          </cell>
        </row>
        <row r="1116">
          <cell r="B1116" t="str">
            <v>PAULO POLI NETO</v>
          </cell>
          <cell r="AI1116">
            <v>7</v>
          </cell>
        </row>
        <row r="1117">
          <cell r="B1117" t="str">
            <v>GISELE FRANCINI DEVETAK CASAROTTI</v>
          </cell>
          <cell r="AI1117">
            <v>16</v>
          </cell>
        </row>
        <row r="1118">
          <cell r="B1118" t="str">
            <v>FLAVIO LUIZ VON DER OSTEN</v>
          </cell>
          <cell r="AI1118">
            <v>22</v>
          </cell>
        </row>
        <row r="1119">
          <cell r="B1119" t="str">
            <v>PAULO EDUARDO LOPES DA SILVA</v>
          </cell>
          <cell r="AI1119">
            <v>12</v>
          </cell>
        </row>
        <row r="1120">
          <cell r="B1120" t="str">
            <v>IARA LANG MARTINS</v>
          </cell>
          <cell r="AI1120">
            <v>4</v>
          </cell>
        </row>
        <row r="1121">
          <cell r="B1121" t="str">
            <v>JEANINE MARIE NARDIN</v>
          </cell>
          <cell r="AI1121">
            <v>7</v>
          </cell>
        </row>
        <row r="1122">
          <cell r="B1122" t="str">
            <v>FERNANDA BROERING GOMES TORRES</v>
          </cell>
          <cell r="AI1122">
            <v>26</v>
          </cell>
        </row>
        <row r="1123">
          <cell r="B1123" t="str">
            <v>DEMETRIA KOVELIS MONTEIRO</v>
          </cell>
          <cell r="AI1123">
            <v>30</v>
          </cell>
        </row>
        <row r="1124">
          <cell r="B1124" t="str">
            <v>RAFAEL IGLESIAS MENEZES DA SILVA</v>
          </cell>
          <cell r="AI1124">
            <v>10</v>
          </cell>
        </row>
        <row r="1125">
          <cell r="B1125" t="str">
            <v>MARIANNA SEIXAS GRECA</v>
          </cell>
          <cell r="AI1125">
            <v>4</v>
          </cell>
        </row>
        <row r="1126">
          <cell r="B1126" t="str">
            <v>GISELLE APARECIDA NOBRE COSTA</v>
          </cell>
          <cell r="AI1126">
            <v>10</v>
          </cell>
        </row>
        <row r="1127">
          <cell r="B1127" t="str">
            <v>KENZO HOKAZONO</v>
          </cell>
          <cell r="AI1127">
            <v>8</v>
          </cell>
        </row>
        <row r="1128">
          <cell r="B1128" t="str">
            <v>JUNE ALISSON WESTARB CRUZ</v>
          </cell>
          <cell r="AI1128">
            <v>4</v>
          </cell>
        </row>
        <row r="1129">
          <cell r="B1129" t="str">
            <v>MATHEUS BELTRAME CANCIGLIERI</v>
          </cell>
          <cell r="AI1129">
            <v>8</v>
          </cell>
        </row>
        <row r="1130">
          <cell r="B1130" t="str">
            <v>RAFAELA RODRIGUES SAMPAIO NOGUEIRA</v>
          </cell>
          <cell r="AI1130">
            <v>14</v>
          </cell>
        </row>
        <row r="1131">
          <cell r="B1131" t="str">
            <v>JOSETH ANTONIA OLIVEIRA JARDIM</v>
          </cell>
          <cell r="AI1131">
            <v>20</v>
          </cell>
        </row>
        <row r="1132">
          <cell r="B1132" t="str">
            <v>DANIELE COUTINHO</v>
          </cell>
          <cell r="AI1132">
            <v>8</v>
          </cell>
        </row>
        <row r="1133">
          <cell r="B1133" t="str">
            <v>FELIPE RANGEL DA SILVA</v>
          </cell>
          <cell r="AI1133">
            <v>5</v>
          </cell>
        </row>
        <row r="1134">
          <cell r="B1134" t="str">
            <v>LUCAS DE LIMA</v>
          </cell>
          <cell r="AI1134">
            <v>6</v>
          </cell>
        </row>
        <row r="1135">
          <cell r="B1135" t="str">
            <v>LUCIO BAENA DE MELO</v>
          </cell>
          <cell r="AI1135">
            <v>4</v>
          </cell>
        </row>
        <row r="1136">
          <cell r="B1136" t="str">
            <v>JOAO FELIPE ROSSIVAL PRETO</v>
          </cell>
          <cell r="AI1136">
            <v>4</v>
          </cell>
        </row>
        <row r="1137">
          <cell r="B1137" t="str">
            <v>MAIRA CARVALHO GALLUCCI</v>
          </cell>
          <cell r="AI1137">
            <v>7</v>
          </cell>
        </row>
        <row r="1138">
          <cell r="B1138" t="str">
            <v>PATRICIA TENDOLINI OLIVEIRA DE MELO</v>
          </cell>
          <cell r="AI1138">
            <v>26</v>
          </cell>
        </row>
        <row r="1139">
          <cell r="B1139" t="str">
            <v>EDUARDO ALCANTARA QUIDIGNO</v>
          </cell>
          <cell r="AI1139">
            <v>17</v>
          </cell>
        </row>
        <row r="1140">
          <cell r="B1140" t="str">
            <v>THAIS SCAGLIONE</v>
          </cell>
          <cell r="AI1140">
            <v>2</v>
          </cell>
        </row>
        <row r="1141">
          <cell r="B1141" t="str">
            <v>ELIANE FATIMA ROCHA ENGELSING</v>
          </cell>
          <cell r="AI1141">
            <v>4</v>
          </cell>
        </row>
        <row r="1142">
          <cell r="B1142" t="str">
            <v>CLARA NASSER SCHERER</v>
          </cell>
          <cell r="AI1142">
            <v>6</v>
          </cell>
        </row>
        <row r="1143">
          <cell r="B1143" t="str">
            <v>MARCIA MARIA ALVES</v>
          </cell>
          <cell r="AI1143">
            <v>0</v>
          </cell>
        </row>
        <row r="1144">
          <cell r="B1144" t="str">
            <v>JOELTON DEONEI GOTZ</v>
          </cell>
          <cell r="AI1144">
            <v>24</v>
          </cell>
        </row>
        <row r="1145">
          <cell r="B1145" t="str">
            <v>MARCOS BATISTELLA LOPES</v>
          </cell>
          <cell r="AI1145">
            <v>38</v>
          </cell>
        </row>
        <row r="1146">
          <cell r="B1146" t="str">
            <v>ANA PAULA DE ALMEIDA ROCHA</v>
          </cell>
          <cell r="AI1146">
            <v>32</v>
          </cell>
        </row>
        <row r="1147">
          <cell r="B1147" t="str">
            <v>RODRIGO PASTI</v>
          </cell>
          <cell r="AI1147">
            <v>26</v>
          </cell>
        </row>
        <row r="1148">
          <cell r="B1148" t="str">
            <v>DEMIAN DA SILVEIRA BARCELLOS</v>
          </cell>
          <cell r="AI1148">
            <v>32</v>
          </cell>
        </row>
        <row r="1149">
          <cell r="B1149" t="str">
            <v>LUCIANO AYRES DE MELLO</v>
          </cell>
          <cell r="AI1149">
            <v>30</v>
          </cell>
        </row>
        <row r="1150">
          <cell r="B1150" t="str">
            <v>DANILO ARNAUT SARAIVA</v>
          </cell>
          <cell r="AI1150">
            <v>14</v>
          </cell>
        </row>
        <row r="1151">
          <cell r="B1151" t="str">
            <v>PEDRO HENRIQUE CARVALHO DA COSTA</v>
          </cell>
          <cell r="AI1151">
            <v>2</v>
          </cell>
        </row>
        <row r="1152">
          <cell r="B1152" t="str">
            <v>HOLISSES BELLON</v>
          </cell>
          <cell r="AI1152">
            <v>4</v>
          </cell>
        </row>
        <row r="1153">
          <cell r="B1153" t="str">
            <v>JOSE ADEMAR KAEFER</v>
          </cell>
          <cell r="AI1153">
            <v>30</v>
          </cell>
        </row>
        <row r="1154">
          <cell r="B1154" t="str">
            <v>SILVIA KARLA AZEVEDO VIEIRA ANDRADE</v>
          </cell>
          <cell r="AI1154">
            <v>8</v>
          </cell>
        </row>
        <row r="1155">
          <cell r="B1155" t="str">
            <v>FELIPE DE OLIVEIRA SOUZA</v>
          </cell>
          <cell r="AI1155">
            <v>16</v>
          </cell>
        </row>
        <row r="1156">
          <cell r="B1156" t="str">
            <v>EVELIN MONIQUE FERREIRA DA SILVA</v>
          </cell>
          <cell r="AI1156">
            <v>0</v>
          </cell>
        </row>
        <row r="1157">
          <cell r="B1157" t="str">
            <v>DIEGO BARBOZA PIRES</v>
          </cell>
          <cell r="AI1157">
            <v>0</v>
          </cell>
        </row>
        <row r="1158">
          <cell r="B1158" t="str">
            <v>LEONARDO SILVA DE LIMA</v>
          </cell>
          <cell r="AI1158">
            <v>0</v>
          </cell>
        </row>
        <row r="1159">
          <cell r="B1159" t="str">
            <v>EDSON JOSE DA SILVA ROCHA FILHO</v>
          </cell>
          <cell r="AI1159">
            <v>0</v>
          </cell>
        </row>
        <row r="1160">
          <cell r="B1160" t="str">
            <v>VICTOR HENRIQUE ALVES RIBEIRO</v>
          </cell>
          <cell r="AI1160">
            <v>31</v>
          </cell>
        </row>
        <row r="1161">
          <cell r="B1161" t="str">
            <v>RAYSON BARTOSKI LAROCA DOS SANTOS</v>
          </cell>
          <cell r="AI1161">
            <v>30</v>
          </cell>
        </row>
        <row r="1162">
          <cell r="B1162" t="str">
            <v>IVILYN WEIGERT</v>
          </cell>
          <cell r="AI1162">
            <v>0</v>
          </cell>
        </row>
        <row r="1163">
          <cell r="B1163" t="str">
            <v>FRANCIS FREGONESI BRINHOLI</v>
          </cell>
          <cell r="AI1163">
            <v>2</v>
          </cell>
        </row>
        <row r="1164">
          <cell r="B1164" t="str">
            <v>HUGO LEONARDO MARTINS CORREA</v>
          </cell>
          <cell r="AI1164">
            <v>2</v>
          </cell>
        </row>
        <row r="1165">
          <cell r="B1165" t="str">
            <v>CRISTIANE SENN</v>
          </cell>
          <cell r="AI1165">
            <v>2</v>
          </cell>
        </row>
        <row r="1166">
          <cell r="B1166" t="str">
            <v>DAILSON REGIS PRATI</v>
          </cell>
          <cell r="AI1166">
            <v>8</v>
          </cell>
        </row>
        <row r="1167">
          <cell r="B1167" t="str">
            <v>DANIELLA MAITO</v>
          </cell>
          <cell r="AI1167">
            <v>18</v>
          </cell>
        </row>
        <row r="1168">
          <cell r="B1168" t="str">
            <v>CYNTHIA GRUENDLING JURUENA</v>
          </cell>
          <cell r="AI1168">
            <v>12</v>
          </cell>
        </row>
        <row r="1169">
          <cell r="B1169" t="str">
            <v>JULIANA LIMA LICONTI</v>
          </cell>
          <cell r="AI1169">
            <v>2</v>
          </cell>
        </row>
        <row r="1170">
          <cell r="B1170" t="str">
            <v>HALINA MACEDO LEAL</v>
          </cell>
          <cell r="AI1170">
            <v>40</v>
          </cell>
        </row>
        <row r="1171">
          <cell r="B1171" t="str">
            <v>EMMANUEL SOUZA DA ROCHA</v>
          </cell>
          <cell r="AI1171">
            <v>38</v>
          </cell>
        </row>
        <row r="1172">
          <cell r="B1172" t="str">
            <v>THATYANNE GRADOWSKI FARIAS DA COSTA DO NASCIMENTO</v>
          </cell>
          <cell r="AI1172">
            <v>13</v>
          </cell>
        </row>
        <row r="1173">
          <cell r="B1173" t="str">
            <v>DENISE SILVEIRA BARBOSA</v>
          </cell>
          <cell r="AI1173">
            <v>6</v>
          </cell>
        </row>
        <row r="1174">
          <cell r="B1174" t="str">
            <v>ROBERTH MINIGUINE TAVANTI</v>
          </cell>
          <cell r="AI1174">
            <v>23</v>
          </cell>
        </row>
        <row r="1175">
          <cell r="B1175" t="str">
            <v>PATRICIA RUCKER DE BASSI</v>
          </cell>
          <cell r="AI1175">
            <v>6</v>
          </cell>
        </row>
        <row r="1176">
          <cell r="B1176" t="str">
            <v>MARCO AURELIO CRUCIOL RODRIGUES</v>
          </cell>
          <cell r="AI1176">
            <v>10</v>
          </cell>
        </row>
        <row r="1177">
          <cell r="B1177" t="str">
            <v>LUIZ EDUARDO DE PAULA</v>
          </cell>
          <cell r="AI1177">
            <v>5</v>
          </cell>
        </row>
        <row r="1178">
          <cell r="B1178" t="str">
            <v>PAULO CESAR BUSATO</v>
          </cell>
          <cell r="AI1178">
            <v>14</v>
          </cell>
        </row>
        <row r="1179">
          <cell r="B1179" t="str">
            <v>HENRIQUE FURLAN PAUNA</v>
          </cell>
          <cell r="AI1179">
            <v>6</v>
          </cell>
        </row>
        <row r="1180">
          <cell r="B1180" t="str">
            <v>FABIANA DOS SANTOS MONTI</v>
          </cell>
          <cell r="AI1180">
            <v>12</v>
          </cell>
        </row>
        <row r="1181">
          <cell r="B1181" t="str">
            <v>EDISOM PAULA BRUM</v>
          </cell>
          <cell r="AI1181">
            <v>19</v>
          </cell>
        </row>
        <row r="1182">
          <cell r="B1182" t="str">
            <v>CAROLINE DE PAULA VENEZIAN RICCETTO</v>
          </cell>
          <cell r="AI1182">
            <v>23</v>
          </cell>
        </row>
        <row r="1183">
          <cell r="B1183" t="str">
            <v>MAYCON RENAN DA SILVA SANTOS BONI</v>
          </cell>
          <cell r="AI1183">
            <v>4</v>
          </cell>
        </row>
        <row r="1184">
          <cell r="B1184" t="str">
            <v>DANIELLE DENES DOS SANTOS</v>
          </cell>
          <cell r="AI1184">
            <v>40</v>
          </cell>
        </row>
        <row r="1185">
          <cell r="B1185" t="str">
            <v>ABIMAEL ALVES DE OLIVEIRA JUNIOR</v>
          </cell>
          <cell r="AI1185">
            <v>2</v>
          </cell>
        </row>
        <row r="1186">
          <cell r="B1186" t="str">
            <v>LUDMILA ANDRZEJEWSKI CULPI</v>
          </cell>
          <cell r="AI1186">
            <v>8</v>
          </cell>
        </row>
        <row r="1187">
          <cell r="B1187" t="str">
            <v>NEWTON CARVALHAL SANTOS JUNIOR</v>
          </cell>
          <cell r="AI1187">
            <v>5</v>
          </cell>
        </row>
        <row r="1188">
          <cell r="B1188" t="str">
            <v>BRUNO BERTOLI ESMANHOTTO</v>
          </cell>
          <cell r="AI1188">
            <v>8</v>
          </cell>
        </row>
        <row r="1189">
          <cell r="B1189" t="str">
            <v>LETICIA PASCELLI SANT ANA SANTOS</v>
          </cell>
          <cell r="AI1189">
            <v>11</v>
          </cell>
        </row>
        <row r="1190">
          <cell r="B1190" t="str">
            <v>LILIAN PAMELA TAPIA CARRENO DORNBUSCH</v>
          </cell>
          <cell r="AI1190">
            <v>11</v>
          </cell>
        </row>
        <row r="1191">
          <cell r="B1191" t="str">
            <v>LUKA DAVID LECHINEWSKI</v>
          </cell>
          <cell r="AI1191">
            <v>3</v>
          </cell>
        </row>
        <row r="1192">
          <cell r="B1192" t="str">
            <v>ARAMIS HORNUNG MORAES</v>
          </cell>
          <cell r="AI1192">
            <v>0</v>
          </cell>
        </row>
        <row r="1193">
          <cell r="B1193" t="str">
            <v>RODRIGO LUIS VOGT</v>
          </cell>
          <cell r="AI1193">
            <v>9</v>
          </cell>
        </row>
        <row r="1194">
          <cell r="B1194" t="str">
            <v>CESAR AUGUSTO KUZMA</v>
          </cell>
          <cell r="AI1194">
            <v>32</v>
          </cell>
        </row>
        <row r="1195">
          <cell r="B1195" t="str">
            <v>LEONARDO CAMPOS TEIXEIRA</v>
          </cell>
          <cell r="AI1195">
            <v>9</v>
          </cell>
        </row>
        <row r="1196">
          <cell r="B1196" t="str">
            <v>FRANCINE FABIANA OZAKI</v>
          </cell>
          <cell r="AI1196">
            <v>10</v>
          </cell>
        </row>
        <row r="1197">
          <cell r="B1197" t="str">
            <v>RAQUEL DE JESUS PINHEIRO</v>
          </cell>
          <cell r="AI1197">
            <v>0</v>
          </cell>
        </row>
        <row r="1198">
          <cell r="B1198" t="str">
            <v>ANNA CATARINA GATZK DE ARRUDA</v>
          </cell>
          <cell r="AI1198">
            <v>2</v>
          </cell>
        </row>
        <row r="1199">
          <cell r="B1199" t="str">
            <v>FERNANDA DIAS DE MORAES</v>
          </cell>
          <cell r="AI1199">
            <v>13</v>
          </cell>
        </row>
        <row r="1200">
          <cell r="B1200" t="str">
            <v>LAURA ALVES SANTOS</v>
          </cell>
          <cell r="AI1200">
            <v>0</v>
          </cell>
        </row>
        <row r="1201">
          <cell r="B1201" t="str">
            <v>LUANA APARECIDA OLIVEIRA DA SILVA</v>
          </cell>
          <cell r="AI1201">
            <v>0</v>
          </cell>
        </row>
        <row r="1202">
          <cell r="B1202" t="str">
            <v>DJEIMI ANGELA LEONHARDT NESKE</v>
          </cell>
          <cell r="AI1202">
            <v>28</v>
          </cell>
        </row>
        <row r="1203">
          <cell r="B1203" t="str">
            <v>CAIO HENRIQUE DE OLIVEIRA CARNIATTO</v>
          </cell>
          <cell r="AI1203">
            <v>30</v>
          </cell>
        </row>
        <row r="1204">
          <cell r="B1204" t="str">
            <v>TATIANE MARY GOGOLA</v>
          </cell>
          <cell r="AI1204">
            <v>5</v>
          </cell>
        </row>
        <row r="1205">
          <cell r="B1205" t="str">
            <v>NATALIA CARDOSO DOS SANTOS</v>
          </cell>
          <cell r="AI1205">
            <v>18</v>
          </cell>
        </row>
        <row r="1206">
          <cell r="B1206" t="str">
            <v>SIMONE PEREIRA SILVA</v>
          </cell>
          <cell r="AI1206">
            <v>27</v>
          </cell>
        </row>
        <row r="1207">
          <cell r="B1207" t="str">
            <v>REJANE ECKER</v>
          </cell>
          <cell r="AI1207">
            <v>6</v>
          </cell>
        </row>
        <row r="1208">
          <cell r="B1208" t="str">
            <v>ELIANA BENATTI</v>
          </cell>
          <cell r="AI1208">
            <v>13</v>
          </cell>
        </row>
        <row r="1209">
          <cell r="B1209" t="str">
            <v>ANA CAROLINA DE SOUZA COSTA</v>
          </cell>
          <cell r="AI1209">
            <v>40</v>
          </cell>
        </row>
        <row r="1210">
          <cell r="B1210" t="str">
            <v>JEFFERSON JOVELINO AMARAL DOS SANTOS</v>
          </cell>
          <cell r="AI1210">
            <v>6</v>
          </cell>
        </row>
        <row r="1211">
          <cell r="B1211" t="str">
            <v>FERNANDO ROBERTO ROMAN</v>
          </cell>
          <cell r="AI1211">
            <v>9</v>
          </cell>
        </row>
        <row r="1212">
          <cell r="B1212" t="str">
            <v>LISIANE REIPS</v>
          </cell>
          <cell r="AI1212">
            <v>6</v>
          </cell>
        </row>
        <row r="1213">
          <cell r="B1213" t="str">
            <v>GUSTAVO LUIZ OLICHEVIS HALILA</v>
          </cell>
          <cell r="AI1213">
            <v>31</v>
          </cell>
        </row>
        <row r="1214">
          <cell r="B1214" t="str">
            <v>ROBERTA FERRARI DE SA</v>
          </cell>
          <cell r="AI1214">
            <v>0</v>
          </cell>
        </row>
        <row r="1215">
          <cell r="B1215" t="str">
            <v>GEUCIMAR BRIATORE</v>
          </cell>
          <cell r="AI1215">
            <v>14</v>
          </cell>
        </row>
        <row r="1216">
          <cell r="B1216" t="str">
            <v>FABIO GARCEZ BETTIO</v>
          </cell>
          <cell r="AI1216">
            <v>2</v>
          </cell>
        </row>
        <row r="1217">
          <cell r="B1217" t="str">
            <v>EVERSON LUIZ OLIVEIRA MOTTA</v>
          </cell>
          <cell r="AI1217">
            <v>32</v>
          </cell>
        </row>
        <row r="1218">
          <cell r="B1218" t="str">
            <v>PATRICIA FONSECA FERREIRA FLEURY</v>
          </cell>
          <cell r="AI1218">
            <v>32</v>
          </cell>
        </row>
        <row r="1219">
          <cell r="B1219" t="str">
            <v>MARISTELA REGINA WEINFURTER TEIXEIRA</v>
          </cell>
          <cell r="AI1219">
            <v>4</v>
          </cell>
        </row>
        <row r="1220">
          <cell r="B1220" t="str">
            <v>MATEUS NUNES DA SILVA</v>
          </cell>
          <cell r="AI1220">
            <v>8</v>
          </cell>
        </row>
        <row r="1221">
          <cell r="B1221" t="str">
            <v>JULIANA CARVALHO PAVAO</v>
          </cell>
          <cell r="AI1221">
            <v>6</v>
          </cell>
        </row>
        <row r="1222">
          <cell r="B1222" t="str">
            <v>LEO NATAN PASCHOAL</v>
          </cell>
          <cell r="AI1222">
            <v>34</v>
          </cell>
        </row>
        <row r="1223">
          <cell r="B1223" t="str">
            <v>JOSEMAR BATISTA</v>
          </cell>
          <cell r="AI1223">
            <v>5</v>
          </cell>
        </row>
        <row r="1224">
          <cell r="B1224" t="str">
            <v>CAMILA BATISTA</v>
          </cell>
          <cell r="AI1224">
            <v>0</v>
          </cell>
        </row>
        <row r="1225">
          <cell r="B1225" t="str">
            <v>PAULA CENIRA SENGER DE CASTRO</v>
          </cell>
          <cell r="AI1225">
            <v>3</v>
          </cell>
        </row>
        <row r="1226">
          <cell r="B1226" t="str">
            <v>EVERTON CARDOSO LEITE</v>
          </cell>
          <cell r="AI1226">
            <v>0</v>
          </cell>
        </row>
        <row r="1227">
          <cell r="B1227" t="str">
            <v>KARINA DE GUADALUPE BERTOLDI GIROTTO</v>
          </cell>
          <cell r="AI1227">
            <v>9</v>
          </cell>
        </row>
        <row r="1228">
          <cell r="B1228" t="str">
            <v>JULIANA PUKA</v>
          </cell>
          <cell r="AI1228">
            <v>7</v>
          </cell>
        </row>
        <row r="1229">
          <cell r="B1229" t="str">
            <v>RENAN BATTISTI ARCHER</v>
          </cell>
          <cell r="AI1229">
            <v>0</v>
          </cell>
        </row>
        <row r="1230">
          <cell r="B1230" t="str">
            <v>FRANCISCO SANTOS LIMA</v>
          </cell>
          <cell r="AI1230">
            <v>0</v>
          </cell>
        </row>
        <row r="1231">
          <cell r="B1231" t="str">
            <v>EDUARDO RONCATTO</v>
          </cell>
          <cell r="AI1231">
            <v>4</v>
          </cell>
        </row>
        <row r="1232">
          <cell r="B1232" t="str">
            <v>ROGERIO LUIZ AIRES LIMA</v>
          </cell>
          <cell r="AI1232">
            <v>31</v>
          </cell>
        </row>
        <row r="1233">
          <cell r="B1233" t="str">
            <v>FELICIO ARAGAO SAVIOLI</v>
          </cell>
          <cell r="AI1233">
            <v>16</v>
          </cell>
        </row>
        <row r="1234">
          <cell r="B1234" t="str">
            <v>ELOISA CRISTINA GONCALVES</v>
          </cell>
          <cell r="AI1234">
            <v>8</v>
          </cell>
        </row>
        <row r="1235">
          <cell r="B1235" t="str">
            <v>NICOLE CHAGAS LIMA</v>
          </cell>
          <cell r="AI1235">
            <v>2</v>
          </cell>
        </row>
        <row r="1236">
          <cell r="B1236" t="str">
            <v>CARLOS ARTEAGA RODRIGUEZ</v>
          </cell>
          <cell r="AI1236">
            <v>12</v>
          </cell>
        </row>
        <row r="1237">
          <cell r="B1237" t="str">
            <v>TATIANA VON HERTWIG FERNANDES DE OLIVEIRA KUMER</v>
          </cell>
          <cell r="AI1237">
            <v>8</v>
          </cell>
        </row>
        <row r="1238">
          <cell r="B1238" t="str">
            <v>LEONARDO RAFAEL DE SOUZA</v>
          </cell>
          <cell r="AI1238">
            <v>28</v>
          </cell>
        </row>
        <row r="1239">
          <cell r="B1239" t="str">
            <v>PAULO HENRIQUE REIS NEGREIROS</v>
          </cell>
          <cell r="AI1239">
            <v>5</v>
          </cell>
        </row>
        <row r="1240">
          <cell r="B1240" t="str">
            <v>IGOR BARCELLOS</v>
          </cell>
          <cell r="AI1240">
            <v>8</v>
          </cell>
        </row>
        <row r="1241">
          <cell r="B1241" t="str">
            <v>MARIANA MALUCELLI</v>
          </cell>
          <cell r="AI1241">
            <v>18</v>
          </cell>
        </row>
        <row r="1242">
          <cell r="B1242" t="str">
            <v>CARLOS HUMBERTO GUILMAN TANIZAWA</v>
          </cell>
          <cell r="AI1242">
            <v>16</v>
          </cell>
        </row>
        <row r="1243">
          <cell r="B1243" t="str">
            <v>CARLOS MANOEL JACOPETTI ALMEIDA</v>
          </cell>
          <cell r="AI1243">
            <v>6</v>
          </cell>
        </row>
        <row r="1244">
          <cell r="B1244" t="str">
            <v>DANIEL CONSTANTINO CUNHA</v>
          </cell>
          <cell r="AI1244">
            <v>6</v>
          </cell>
        </row>
        <row r="1245">
          <cell r="B1245" t="str">
            <v>ANTONIO CARLOS KOVALESKI</v>
          </cell>
          <cell r="AI1245">
            <v>4</v>
          </cell>
        </row>
        <row r="1246">
          <cell r="B1246" t="str">
            <v>SARAH SGAVIOLI</v>
          </cell>
          <cell r="AI1246">
            <v>33</v>
          </cell>
        </row>
        <row r="1247">
          <cell r="B1247" t="str">
            <v>ANA VITORIA CASSIS DOS SANTOS GASPARINE</v>
          </cell>
          <cell r="AI1247">
            <v>4</v>
          </cell>
        </row>
        <row r="1248">
          <cell r="B1248" t="str">
            <v>JULIA IZADORA DA SILVA MARTINS</v>
          </cell>
          <cell r="AI1248">
            <v>12</v>
          </cell>
        </row>
        <row r="1249">
          <cell r="B1249" t="str">
            <v>TALLES BAZEIA LIMA</v>
          </cell>
          <cell r="AI1249">
            <v>8</v>
          </cell>
        </row>
        <row r="1250">
          <cell r="B1250" t="str">
            <v>LIZ YUMI SAGUTI</v>
          </cell>
          <cell r="AI1250">
            <v>12</v>
          </cell>
        </row>
        <row r="1251">
          <cell r="B1251" t="str">
            <v>FABIO MONTAGNA SEKIYAMA</v>
          </cell>
          <cell r="AI1251">
            <v>14</v>
          </cell>
        </row>
        <row r="1252">
          <cell r="B1252" t="str">
            <v>ANNA HERMINIA CASTRO GOMES DE AMORIM</v>
          </cell>
          <cell r="AI1252">
            <v>7</v>
          </cell>
        </row>
        <row r="1253">
          <cell r="B1253" t="str">
            <v>FRANCISCO INACIO DA SILVA MALLMANN</v>
          </cell>
          <cell r="AI1253">
            <v>0</v>
          </cell>
        </row>
        <row r="1254">
          <cell r="B1254" t="str">
            <v>ANA VALERIA DE PIERI BRANCHER ALVAREZ</v>
          </cell>
          <cell r="AI1254">
            <v>0</v>
          </cell>
        </row>
        <row r="1255">
          <cell r="B1255" t="str">
            <v>LUIZ HENRIQUE ELOY AMADO</v>
          </cell>
          <cell r="AI1255">
            <v>32</v>
          </cell>
        </row>
        <row r="1256">
          <cell r="B1256" t="str">
            <v>LUIZ GUILHERME NUNES CICOTTE</v>
          </cell>
          <cell r="AI1256">
            <v>6</v>
          </cell>
        </row>
        <row r="1257">
          <cell r="B1257" t="str">
            <v>PAULO AUGUSTO CAUCHICK MIGUEL</v>
          </cell>
          <cell r="AI1257">
            <v>20</v>
          </cell>
        </row>
        <row r="1258">
          <cell r="B1258" t="str">
            <v>CARINA HONORIO ROTTER</v>
          </cell>
          <cell r="AI1258">
            <v>5</v>
          </cell>
        </row>
        <row r="1259">
          <cell r="B1259" t="str">
            <v>JONAS KRAUSE</v>
          </cell>
          <cell r="AI1259">
            <v>20</v>
          </cell>
        </row>
        <row r="1260">
          <cell r="B1260" t="str">
            <v>WALTER MAZUROSKI</v>
          </cell>
          <cell r="AI1260">
            <v>20</v>
          </cell>
        </row>
        <row r="1261">
          <cell r="B1261" t="str">
            <v>LETICIA NAZZARI</v>
          </cell>
          <cell r="AI1261">
            <v>4</v>
          </cell>
        </row>
        <row r="1262">
          <cell r="B1262" t="str">
            <v>ALEXANDRE DARONCO</v>
          </cell>
          <cell r="AI1262">
            <v>5</v>
          </cell>
        </row>
        <row r="1263">
          <cell r="B1263" t="str">
            <v>WILLIAN BOSQUETTE ROSA</v>
          </cell>
          <cell r="AI1263">
            <v>25</v>
          </cell>
        </row>
        <row r="1264">
          <cell r="B1264" t="str">
            <v>JESSICA TOMIMITSU RODRIGUES</v>
          </cell>
          <cell r="AI1264">
            <v>3</v>
          </cell>
        </row>
        <row r="1265">
          <cell r="B1265" t="str">
            <v>ANA BEATRIZ FRANCISCO DE MELO</v>
          </cell>
          <cell r="AI1265">
            <v>8</v>
          </cell>
        </row>
        <row r="1266">
          <cell r="B1266" t="str">
            <v>MAIARA SILVA TRAMONTE</v>
          </cell>
          <cell r="AI1266">
            <v>26</v>
          </cell>
        </row>
        <row r="1267">
          <cell r="B1267" t="str">
            <v>BRUNO LEAL VIANNA</v>
          </cell>
          <cell r="AI1267">
            <v>10</v>
          </cell>
        </row>
        <row r="1268">
          <cell r="B1268" t="str">
            <v>DANIELE ROSEVICS OLIVEIRA</v>
          </cell>
          <cell r="AI1268">
            <v>3</v>
          </cell>
        </row>
        <row r="1269">
          <cell r="B1269" t="str">
            <v>CESAR AUGUSTO CAPELLARI</v>
          </cell>
          <cell r="AI1269">
            <v>0</v>
          </cell>
        </row>
        <row r="1270">
          <cell r="B1270" t="str">
            <v>ANDREA MORA DE MARCO NOVELLINO</v>
          </cell>
          <cell r="AI1270">
            <v>3</v>
          </cell>
        </row>
        <row r="1271">
          <cell r="B1271" t="str">
            <v>BRUNA ROBERTA SILVEIRA BERBERT</v>
          </cell>
          <cell r="AI1271">
            <v>8</v>
          </cell>
        </row>
        <row r="1272">
          <cell r="B1272" t="str">
            <v>LETICIA FERNANDES BELO</v>
          </cell>
          <cell r="AI1272">
            <v>17</v>
          </cell>
        </row>
        <row r="1273">
          <cell r="B1273" t="str">
            <v>LETICIA DE OLIVEIRA BORBA</v>
          </cell>
          <cell r="AI1273">
            <v>1</v>
          </cell>
        </row>
        <row r="1274">
          <cell r="B1274" t="str">
            <v>THAIS SIBIONI BERTI BASTOS</v>
          </cell>
          <cell r="AI1274">
            <v>6</v>
          </cell>
        </row>
        <row r="1275">
          <cell r="B1275" t="str">
            <v>PATRICIA APARECIDA BORTOLLOTI</v>
          </cell>
          <cell r="AI1275">
            <v>6</v>
          </cell>
        </row>
        <row r="1276">
          <cell r="B1276" t="str">
            <v>FERNANDO FERRAZ FARIA</v>
          </cell>
          <cell r="AI1276">
            <v>3</v>
          </cell>
        </row>
        <row r="1277">
          <cell r="B1277" t="str">
            <v>LARIANE MORTEAN ONO</v>
          </cell>
          <cell r="AI1277">
            <v>7</v>
          </cell>
        </row>
        <row r="1278">
          <cell r="B1278" t="str">
            <v>MARCELO CARDOSO FERRARI</v>
          </cell>
          <cell r="AI1278">
            <v>3</v>
          </cell>
        </row>
        <row r="1279">
          <cell r="B1279" t="str">
            <v>BRUNO RAPHAEL DA CUNHA DOBICZ</v>
          </cell>
          <cell r="AI1279">
            <v>7</v>
          </cell>
        </row>
        <row r="1280">
          <cell r="B1280" t="str">
            <v>LUCIANA GIBBERT</v>
          </cell>
          <cell r="AI1280">
            <v>8</v>
          </cell>
        </row>
        <row r="1281">
          <cell r="B1281" t="str">
            <v>DECIO ZANONI JUNIOR</v>
          </cell>
          <cell r="AI1281">
            <v>14</v>
          </cell>
        </row>
        <row r="1282">
          <cell r="B1282" t="str">
            <v>LUCIANA ELISABETE SAVARIS</v>
          </cell>
          <cell r="AI1282">
            <v>4</v>
          </cell>
        </row>
        <row r="1283">
          <cell r="B1283" t="str">
            <v>FERNANDA MARA GIBRAN BAUER</v>
          </cell>
          <cell r="AI1283">
            <v>4</v>
          </cell>
        </row>
        <row r="1284">
          <cell r="B1284" t="str">
            <v>MIRIAM OLIVIA KNOPIK FERRAZ</v>
          </cell>
          <cell r="AI1284">
            <v>20</v>
          </cell>
        </row>
        <row r="1285">
          <cell r="B1285" t="str">
            <v>ANNA PAULA ZANONI STEINKE</v>
          </cell>
          <cell r="AI1285">
            <v>6</v>
          </cell>
        </row>
        <row r="1286">
          <cell r="B1286" t="str">
            <v>EDNA TORRES FELICIO</v>
          </cell>
          <cell r="AI1286">
            <v>4</v>
          </cell>
        </row>
        <row r="1287">
          <cell r="B1287" t="str">
            <v>MICHELLE SILVA ZENY</v>
          </cell>
          <cell r="AI1287">
            <v>8</v>
          </cell>
        </row>
        <row r="1288">
          <cell r="B1288" t="str">
            <v>SAULO VINICIUS DA ROSA</v>
          </cell>
          <cell r="AI1288">
            <v>4</v>
          </cell>
        </row>
        <row r="1289">
          <cell r="B1289" t="str">
            <v>RODRIGO LANGE</v>
          </cell>
          <cell r="AI1289">
            <v>0</v>
          </cell>
        </row>
        <row r="1290">
          <cell r="B1290" t="str">
            <v>TATIANE ZAHN CARDOSO ROLIM</v>
          </cell>
          <cell r="AI1290">
            <v>2</v>
          </cell>
        </row>
        <row r="1291">
          <cell r="B1291" t="str">
            <v>SUZANA MARIA MENEZES GUARIENTE</v>
          </cell>
          <cell r="AI1291">
            <v>13</v>
          </cell>
        </row>
        <row r="1292">
          <cell r="B1292" t="str">
            <v>RAMON GOMES DA SILVA</v>
          </cell>
          <cell r="AI1292">
            <v>28</v>
          </cell>
        </row>
        <row r="1293">
          <cell r="B1293" t="str">
            <v>ANA CARLA WERNECK</v>
          </cell>
          <cell r="AI1293">
            <v>2</v>
          </cell>
        </row>
        <row r="1294">
          <cell r="B1294" t="str">
            <v>PATRICIA ZAGANIN CAMILO ROSA</v>
          </cell>
          <cell r="AI1294">
            <v>2</v>
          </cell>
        </row>
        <row r="1295">
          <cell r="B1295" t="str">
            <v>FERNANDO CAVAZOTTI COELHO</v>
          </cell>
          <cell r="AI1295">
            <v>4</v>
          </cell>
        </row>
        <row r="1296">
          <cell r="B1296" t="str">
            <v>LIVIA SISSI GONCALVES SOUZA PIECHNIK</v>
          </cell>
          <cell r="AI1296">
            <v>21</v>
          </cell>
        </row>
        <row r="1297">
          <cell r="B1297" t="str">
            <v>MANOELA MASSUCHETTO JAZAR</v>
          </cell>
          <cell r="AI1297">
            <v>20</v>
          </cell>
        </row>
        <row r="1298">
          <cell r="B1298" t="str">
            <v>LUAN GUSTAVO RODRIGUES</v>
          </cell>
          <cell r="AI1298">
            <v>0</v>
          </cell>
        </row>
        <row r="1299">
          <cell r="B1299" t="str">
            <v>LETICIA POPHAL CUTISQUE</v>
          </cell>
          <cell r="AI1299">
            <v>14</v>
          </cell>
        </row>
        <row r="1300">
          <cell r="B1300" t="str">
            <v>FELIPE DE POLI DE SIQUEIRA</v>
          </cell>
          <cell r="AI1300">
            <v>0</v>
          </cell>
        </row>
        <row r="1301">
          <cell r="B1301" t="str">
            <v>NAIRANA RADTKE CANEPPELE BUSSLER</v>
          </cell>
          <cell r="AI1301">
            <v>20</v>
          </cell>
        </row>
        <row r="1302">
          <cell r="B1302" t="str">
            <v>JUAN EDSON CABRERA QUISPE</v>
          </cell>
          <cell r="AI1302">
            <v>40</v>
          </cell>
        </row>
        <row r="1303">
          <cell r="B1303" t="str">
            <v>DIOGO JOSE VARASCHIN DE OLIVEIRA</v>
          </cell>
          <cell r="AI1303">
            <v>0</v>
          </cell>
        </row>
        <row r="1304">
          <cell r="B1304" t="str">
            <v>JAMESON BORGES DA SILVA</v>
          </cell>
          <cell r="AI1304">
            <v>20</v>
          </cell>
        </row>
        <row r="1305">
          <cell r="B1305" t="str">
            <v>JAQUELINE COELHO VISENTIN</v>
          </cell>
          <cell r="AI1305">
            <v>10</v>
          </cell>
        </row>
        <row r="1306">
          <cell r="B1306" t="str">
            <v>LIGIA ZIEGLER SAMUEL</v>
          </cell>
          <cell r="AI1306">
            <v>14</v>
          </cell>
        </row>
        <row r="1307">
          <cell r="B1307" t="str">
            <v>ANDRE ROGERIO BERTO</v>
          </cell>
          <cell r="AI1307">
            <v>4</v>
          </cell>
        </row>
        <row r="1308">
          <cell r="B1308" t="str">
            <v>JOAO ANTONIO DE FREITAS COELHO</v>
          </cell>
          <cell r="AI1308">
            <v>4</v>
          </cell>
        </row>
        <row r="1309">
          <cell r="B1309" t="str">
            <v>ANA PAULA SAKR HUBIE</v>
          </cell>
          <cell r="AI1309">
            <v>4</v>
          </cell>
        </row>
        <row r="1310">
          <cell r="B1310" t="str">
            <v>PAULA HITOMI SAKIYAMA LUCONI</v>
          </cell>
          <cell r="AI1310">
            <v>7</v>
          </cell>
        </row>
        <row r="1311">
          <cell r="B1311" t="str">
            <v>ANDRE LUIZ BATISTA</v>
          </cell>
          <cell r="AI1311">
            <v>27</v>
          </cell>
        </row>
        <row r="1312">
          <cell r="B1312" t="str">
            <v>EDUARDO ZORZO SARTORETTO</v>
          </cell>
          <cell r="AI1312">
            <v>4</v>
          </cell>
        </row>
        <row r="1313">
          <cell r="B1313" t="str">
            <v>ANA CARLA CAMPOS HIDALGO DE ALMEIDA</v>
          </cell>
          <cell r="AI1313">
            <v>9</v>
          </cell>
        </row>
        <row r="1314">
          <cell r="B1314" t="str">
            <v>MATEUS JUSTI LUVIZOTTO</v>
          </cell>
          <cell r="AI1314">
            <v>3</v>
          </cell>
        </row>
        <row r="1315">
          <cell r="B1315" t="str">
            <v>JULIO CESAR FERREIRA</v>
          </cell>
          <cell r="AI1315">
            <v>2</v>
          </cell>
        </row>
        <row r="1316">
          <cell r="B1316" t="str">
            <v>MARCOS FELIPE IPARRAGUIRRE NUNOVERO</v>
          </cell>
          <cell r="AI1316">
            <v>4</v>
          </cell>
        </row>
        <row r="1317">
          <cell r="B1317" t="str">
            <v>THIAGO HENRIQUE ROZA</v>
          </cell>
          <cell r="AI1317">
            <v>12</v>
          </cell>
        </row>
        <row r="1318">
          <cell r="B1318" t="str">
            <v>FERNANDA MATTIAS SARTORI</v>
          </cell>
          <cell r="AI1318">
            <v>12</v>
          </cell>
        </row>
        <row r="1319">
          <cell r="B1319" t="str">
            <v>GRACIANA LUCIA GRESPAN VICTOR</v>
          </cell>
          <cell r="AI1319">
            <v>2</v>
          </cell>
        </row>
        <row r="1320">
          <cell r="B1320" t="str">
            <v>DAYANE MOZ</v>
          </cell>
          <cell r="AI1320">
            <v>6</v>
          </cell>
        </row>
        <row r="1321">
          <cell r="B1321" t="str">
            <v>FERNANDA CRISTINA BARROS NEVES</v>
          </cell>
          <cell r="AI1321">
            <v>8</v>
          </cell>
        </row>
        <row r="1322">
          <cell r="B1322" t="str">
            <v>LETICIA KRAFT</v>
          </cell>
          <cell r="AI1322">
            <v>0</v>
          </cell>
        </row>
        <row r="1323">
          <cell r="B1323" t="str">
            <v>GUSTAVO YUHO ENDO</v>
          </cell>
          <cell r="AI1323">
            <v>6</v>
          </cell>
        </row>
        <row r="1324">
          <cell r="B1324" t="str">
            <v>GUSTAVO AUGUSTO LUZIA VIZZOTTO</v>
          </cell>
          <cell r="AI1324">
            <v>5</v>
          </cell>
        </row>
        <row r="1325">
          <cell r="B1325" t="str">
            <v>AIRTON OLIVEIRA SILVA TRENTO</v>
          </cell>
          <cell r="AI1325">
            <v>18</v>
          </cell>
        </row>
        <row r="1326">
          <cell r="B1326" t="str">
            <v>BRUNA LUIZA DO NASCIMENTO GONCHOROSKY</v>
          </cell>
          <cell r="AI1326">
            <v>1</v>
          </cell>
        </row>
        <row r="1327">
          <cell r="B1327" t="str">
            <v>KELLY CRISTINA BORDIGNON GOMES</v>
          </cell>
          <cell r="AI1327">
            <v>9</v>
          </cell>
        </row>
        <row r="1328">
          <cell r="B1328" t="str">
            <v>MAURO BUSS</v>
          </cell>
          <cell r="AI1328">
            <v>8</v>
          </cell>
        </row>
        <row r="1329">
          <cell r="B1329" t="str">
            <v>MOZART MARQUES WALZ</v>
          </cell>
          <cell r="AI1329">
            <v>7</v>
          </cell>
        </row>
        <row r="1330">
          <cell r="B1330" t="str">
            <v>EMMANUEL STESSY AMOA RODRIGUES DA GUIA NYAMIEN</v>
          </cell>
          <cell r="AI1330">
            <v>6</v>
          </cell>
        </row>
        <row r="1331">
          <cell r="B1331" t="str">
            <v>FABIANO DE LIMA TYKALOWITZ</v>
          </cell>
          <cell r="AI1331">
            <v>4</v>
          </cell>
        </row>
        <row r="1332">
          <cell r="B1332" t="str">
            <v>PATRICIA MINATOVICZ FERREIRA DOBLINSKI</v>
          </cell>
          <cell r="AI1332">
            <v>26</v>
          </cell>
        </row>
        <row r="1333">
          <cell r="B1333" t="str">
            <v>WILLIAM CESAR BISPO BARRETO</v>
          </cell>
          <cell r="AI1333">
            <v>4</v>
          </cell>
        </row>
        <row r="1334">
          <cell r="B1334" t="str">
            <v>DENISE MARIA COTOMAN</v>
          </cell>
          <cell r="AI1334">
            <v>22</v>
          </cell>
        </row>
        <row r="1335">
          <cell r="B1335" t="str">
            <v>RENATA RODRIGUES LAWDER</v>
          </cell>
          <cell r="AI1335">
            <v>20</v>
          </cell>
        </row>
        <row r="1336">
          <cell r="B1336" t="str">
            <v>CLEYSON MATHIAS MORAIS DELVOSS</v>
          </cell>
          <cell r="AI1336">
            <v>2</v>
          </cell>
        </row>
        <row r="1337">
          <cell r="B1337" t="str">
            <v>CLAUDIA VELOSO MUELLER</v>
          </cell>
          <cell r="AI1337">
            <v>6</v>
          </cell>
        </row>
        <row r="1338">
          <cell r="B1338" t="str">
            <v>LETYCIA BOECHAT FERREIRA GOMES</v>
          </cell>
          <cell r="AI1338">
            <v>6</v>
          </cell>
        </row>
        <row r="1339">
          <cell r="B1339" t="str">
            <v>LUCELIA MARIA GONCALVES</v>
          </cell>
          <cell r="AI1339">
            <v>10</v>
          </cell>
        </row>
        <row r="1340">
          <cell r="B1340" t="str">
            <v>MARIANA MUZZOLON</v>
          </cell>
          <cell r="AI1340">
            <v>12</v>
          </cell>
        </row>
        <row r="1341">
          <cell r="B1341" t="str">
            <v>MATHEUS TAKEMI MUCHON NAKATANI</v>
          </cell>
          <cell r="AI1341">
            <v>0</v>
          </cell>
        </row>
        <row r="1342">
          <cell r="B1342" t="str">
            <v>AMALIA FERRONATO</v>
          </cell>
          <cell r="AI1342">
            <v>8</v>
          </cell>
        </row>
        <row r="1343">
          <cell r="B1343" t="str">
            <v>RAFAELA APARECIDA DE ALMEIDA</v>
          </cell>
          <cell r="AI1343">
            <v>0</v>
          </cell>
        </row>
        <row r="1344">
          <cell r="B1344" t="str">
            <v>BEATRIZ MOREIRA BEZERRA VIEIRA</v>
          </cell>
          <cell r="AI1344">
            <v>12</v>
          </cell>
        </row>
        <row r="1345">
          <cell r="B1345" t="str">
            <v>YAN PEDRO LAZAROTTO GONCALVES</v>
          </cell>
          <cell r="AI1345">
            <v>8</v>
          </cell>
        </row>
        <row r="1346">
          <cell r="B1346" t="str">
            <v>NATALI LAISE ZAMBONI HOFF</v>
          </cell>
          <cell r="AI1346">
            <v>0</v>
          </cell>
        </row>
        <row r="1347">
          <cell r="B1347" t="str">
            <v>JAVAN ATAIDE DE OLIVEIRA JUNIOR</v>
          </cell>
          <cell r="AI1347">
            <v>4</v>
          </cell>
        </row>
        <row r="1348">
          <cell r="B1348" t="str">
            <v>DIEGO LUIZ KRAUSE</v>
          </cell>
          <cell r="AI1348">
            <v>10</v>
          </cell>
        </row>
        <row r="1349">
          <cell r="B1349" t="str">
            <v>SIDNEI RINALDO PRIOLO FILHO</v>
          </cell>
          <cell r="AI1349">
            <v>12</v>
          </cell>
        </row>
        <row r="1350">
          <cell r="B1350" t="str">
            <v>FELIPE AUGUSTO PRZYSIADA</v>
          </cell>
          <cell r="AI1350">
            <v>2</v>
          </cell>
        </row>
        <row r="1351">
          <cell r="B1351" t="str">
            <v>FERNANDO CAVALHEIRO KRAUZER</v>
          </cell>
          <cell r="AI1351">
            <v>8</v>
          </cell>
        </row>
        <row r="1352">
          <cell r="B1352" t="str">
            <v>MARCELO AUGUSTO GONCALVES BARDI</v>
          </cell>
          <cell r="AI1352">
            <v>2</v>
          </cell>
        </row>
        <row r="1353">
          <cell r="B1353" t="str">
            <v>MILENA DA SILVA LORENCETE</v>
          </cell>
          <cell r="AI1353">
            <v>10</v>
          </cell>
        </row>
        <row r="1354">
          <cell r="B1354" t="str">
            <v>LEILA SCUCATO MARCAL</v>
          </cell>
          <cell r="AI1354">
            <v>1</v>
          </cell>
        </row>
        <row r="1355">
          <cell r="B1355" t="str">
            <v>ANA LUIZA CHALUSNHAK</v>
          </cell>
          <cell r="AI1355">
            <v>0</v>
          </cell>
        </row>
        <row r="1356">
          <cell r="B1356" t="str">
            <v>LUIZ OSORIO MORAES PANZA</v>
          </cell>
          <cell r="AI1356">
            <v>0</v>
          </cell>
        </row>
        <row r="1357">
          <cell r="B1357" t="str">
            <v>DEBORA NORMANTON SOMBRIO</v>
          </cell>
          <cell r="AI1357">
            <v>0</v>
          </cell>
        </row>
        <row r="1358">
          <cell r="B1358" t="str">
            <v>MARIANA XAVIER DE LIMA</v>
          </cell>
          <cell r="AI1358">
            <v>40</v>
          </cell>
        </row>
        <row r="1359">
          <cell r="B1359" t="str">
            <v>ANDREZA CRISTINA BAGGIO</v>
          </cell>
          <cell r="AI1359">
            <v>0</v>
          </cell>
        </row>
        <row r="1360">
          <cell r="B1360" t="str">
            <v>ADRIANO YOSHIO SHIMBO</v>
          </cell>
          <cell r="AI1360">
            <v>6</v>
          </cell>
        </row>
        <row r="1361">
          <cell r="B1361" t="str">
            <v>FERNANDA MEDEIROS ASSEF</v>
          </cell>
          <cell r="AI1361">
            <v>30</v>
          </cell>
        </row>
        <row r="1362">
          <cell r="B1362" t="str">
            <v>YOHANNA VIEIRA JUK</v>
          </cell>
          <cell r="AI1362">
            <v>4</v>
          </cell>
        </row>
        <row r="1363">
          <cell r="B1363" t="str">
            <v>DEOCLECIO JUNIOR CARDOSO DA SILVA</v>
          </cell>
          <cell r="AI1363">
            <v>16</v>
          </cell>
        </row>
        <row r="1364">
          <cell r="B1364" t="str">
            <v>ALEXANDRE RUIZ DA ROSA</v>
          </cell>
          <cell r="AI1364">
            <v>2</v>
          </cell>
        </row>
        <row r="1365">
          <cell r="B1365" t="str">
            <v>ANDRIELI CAROLINE MEHL</v>
          </cell>
          <cell r="AI1365">
            <v>7</v>
          </cell>
        </row>
        <row r="1366">
          <cell r="B1366" t="str">
            <v>ELIANE BOGO CABECA</v>
          </cell>
          <cell r="AI1366">
            <v>7</v>
          </cell>
        </row>
        <row r="1367">
          <cell r="B1367" t="str">
            <v>GABRIEL ALEXANDRE BOZZA</v>
          </cell>
          <cell r="AI1367">
            <v>4</v>
          </cell>
        </row>
        <row r="1368">
          <cell r="B1368" t="str">
            <v>JACKSON LUIS SCHIRIGATTI</v>
          </cell>
          <cell r="AI1368">
            <v>0</v>
          </cell>
        </row>
        <row r="1369">
          <cell r="B1369" t="str">
            <v>FABIO HENRIQUE FARIA</v>
          </cell>
          <cell r="AI1369">
            <v>2</v>
          </cell>
        </row>
        <row r="1370">
          <cell r="B1370" t="str">
            <v>RHAQUEL TESSELE</v>
          </cell>
          <cell r="AI1370">
            <v>4</v>
          </cell>
        </row>
        <row r="1371">
          <cell r="B1371" t="str">
            <v>GABRIEL GIRARDI</v>
          </cell>
          <cell r="AI1371">
            <v>10</v>
          </cell>
        </row>
        <row r="1372">
          <cell r="B1372" t="str">
            <v>CARLOS HENRIQUE KURETZKI</v>
          </cell>
          <cell r="AI1372">
            <v>0</v>
          </cell>
        </row>
        <row r="1373">
          <cell r="B1373" t="str">
            <v>BRUNO HENRIQUE DO ROSARIO XAVIER</v>
          </cell>
          <cell r="AI1373">
            <v>0</v>
          </cell>
        </row>
        <row r="1374">
          <cell r="B1374" t="str">
            <v>DENIS MASSATSUGU UEDA</v>
          </cell>
          <cell r="AI1374">
            <v>11</v>
          </cell>
        </row>
        <row r="1375">
          <cell r="B1375" t="str">
            <v>MARIA ISABEL LOVO MARTINS BUSCH PEREIRA</v>
          </cell>
          <cell r="AI1375">
            <v>4</v>
          </cell>
        </row>
        <row r="1376">
          <cell r="B1376" t="str">
            <v>JEAN GABRIEL VIEIRA COUTINHO</v>
          </cell>
          <cell r="AI1376">
            <v>15</v>
          </cell>
        </row>
        <row r="1377">
          <cell r="B1377" t="str">
            <v>ARYEL MARLUS REPULA DE OLIVEIRA</v>
          </cell>
          <cell r="AI1377">
            <v>2</v>
          </cell>
        </row>
        <row r="1378">
          <cell r="B1378" t="str">
            <v>NILTON CESAR MONASTIER KLEINA</v>
          </cell>
          <cell r="AI1378">
            <v>0</v>
          </cell>
        </row>
        <row r="1379">
          <cell r="B1379" t="str">
            <v>EMILE FERNANDES SPINASSI TEIXEIRA</v>
          </cell>
          <cell r="AI1379">
            <v>3</v>
          </cell>
        </row>
        <row r="1380">
          <cell r="B1380" t="str">
            <v>ALEXANDRA FERREIRA MARTINS RIBEIRO</v>
          </cell>
          <cell r="AI1380">
            <v>32</v>
          </cell>
        </row>
        <row r="1381">
          <cell r="B1381" t="str">
            <v>JEFERSON DA COSTA VAZ</v>
          </cell>
          <cell r="AI1381">
            <v>2</v>
          </cell>
        </row>
        <row r="1382">
          <cell r="B1382" t="str">
            <v>ALANNA SILVA HUK FARIAS</v>
          </cell>
          <cell r="AI1382">
            <v>8</v>
          </cell>
        </row>
        <row r="1383">
          <cell r="B1383" t="str">
            <v>CARLOS EDUARDO ALVES GARCIA</v>
          </cell>
          <cell r="AI1383">
            <v>3</v>
          </cell>
        </row>
        <row r="1384">
          <cell r="B1384" t="str">
            <v>FELIPE NAPOLITANO DA FONSECA</v>
          </cell>
          <cell r="AI1384">
            <v>0</v>
          </cell>
        </row>
        <row r="1385">
          <cell r="B1385" t="str">
            <v>CLAUDIO MARLUS SKORA</v>
          </cell>
          <cell r="AI1385">
            <v>40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STAO_CONTRATO"/>
      <sheetName val="DICIONÁRIO DE DADOS"/>
    </sheetNames>
    <sheetDataSet>
      <sheetData sheetId="0">
        <row r="1">
          <cell r="B1" t="str">
            <v>NOME</v>
          </cell>
        </row>
        <row r="2">
          <cell r="B2" t="str">
            <v>Rogerio Renato Mateucci</v>
          </cell>
        </row>
        <row r="3">
          <cell r="B3" t="str">
            <v>Alboni Marisa Dudeque Pianovski Vieira</v>
          </cell>
        </row>
        <row r="4">
          <cell r="B4" t="str">
            <v>Leonardo Tossiaki Oba</v>
          </cell>
        </row>
        <row r="5">
          <cell r="B5" t="str">
            <v>Eloete Camilli Oliveira</v>
          </cell>
        </row>
        <row r="6">
          <cell r="B6" t="str">
            <v>Leticia Peret Antunes Hardt</v>
          </cell>
        </row>
        <row r="7">
          <cell r="B7" t="str">
            <v>Roberto Borges Franca</v>
          </cell>
        </row>
        <row r="8">
          <cell r="B8" t="str">
            <v>Clovis Dos Santos Andrade</v>
          </cell>
        </row>
        <row r="9">
          <cell r="B9" t="str">
            <v>Auristela Duarte De Lima Moser</v>
          </cell>
        </row>
        <row r="10">
          <cell r="B10" t="str">
            <v>Patricia Lupion Torres</v>
          </cell>
        </row>
        <row r="11">
          <cell r="B11" t="str">
            <v>Divino Franca</v>
          </cell>
        </row>
        <row r="12">
          <cell r="B12" t="str">
            <v>Luiz Fernando Pereira</v>
          </cell>
        </row>
        <row r="13">
          <cell r="B13" t="str">
            <v>Olimpio De Paula Xavier Filho</v>
          </cell>
        </row>
        <row r="14">
          <cell r="B14" t="str">
            <v>Percy Nohama</v>
          </cell>
        </row>
        <row r="15">
          <cell r="B15" t="str">
            <v>Luis Alexandre Carta Winter</v>
          </cell>
        </row>
        <row r="16">
          <cell r="B16" t="str">
            <v>Cinthia Obladen De Almendra Freitas</v>
          </cell>
        </row>
        <row r="17">
          <cell r="B17" t="str">
            <v>Liliane Maria Busato Batista</v>
          </cell>
        </row>
        <row r="18">
          <cell r="B18" t="str">
            <v>Thomaz Jefferson De Lemos Pessoa</v>
          </cell>
        </row>
        <row r="19">
          <cell r="B19" t="str">
            <v>Carlos Jose Gomes</v>
          </cell>
        </row>
        <row r="20">
          <cell r="B20" t="str">
            <v>Harry Alberto Bollmann</v>
          </cell>
        </row>
        <row r="21">
          <cell r="B21" t="str">
            <v>Ana Cristina Seixas Greca</v>
          </cell>
        </row>
        <row r="22">
          <cell r="B22" t="str">
            <v>Eduardo Karam Saltori</v>
          </cell>
        </row>
        <row r="23">
          <cell r="B23" t="str">
            <v>Luis Salvador Petrucci Gnoato</v>
          </cell>
        </row>
        <row r="24">
          <cell r="B24" t="str">
            <v>Marcelo Tavora Mira</v>
          </cell>
        </row>
        <row r="25">
          <cell r="B25" t="str">
            <v>Ana Maria Eyng</v>
          </cell>
        </row>
        <row r="26">
          <cell r="B26" t="str">
            <v>Orlando Motohiro Tanaka</v>
          </cell>
        </row>
        <row r="27">
          <cell r="B27" t="str">
            <v>Simone Maria Malucelli Pinto Schellenberg</v>
          </cell>
        </row>
        <row r="28">
          <cell r="B28" t="str">
            <v>Carlos Hardt</v>
          </cell>
        </row>
        <row r="29">
          <cell r="B29" t="str">
            <v>Dilmeire Sant Anna Ramos Vosgerau</v>
          </cell>
        </row>
        <row r="30">
          <cell r="B30" t="str">
            <v>Bortolo Valle</v>
          </cell>
        </row>
        <row r="31">
          <cell r="B31" t="str">
            <v>Alex Antonio Ferraresi</v>
          </cell>
        </row>
        <row r="32">
          <cell r="B32" t="str">
            <v>Sirley Terezinha Filipak</v>
          </cell>
        </row>
        <row r="33">
          <cell r="B33" t="str">
            <v>Ana Paula Kuczynski Pedro Bom</v>
          </cell>
        </row>
        <row r="34">
          <cell r="B34" t="str">
            <v>Antonio Carlos Pinto Jachinoski</v>
          </cell>
        </row>
        <row r="35">
          <cell r="B35" t="str">
            <v>Eliane Amaral Ghirelli</v>
          </cell>
        </row>
        <row r="36">
          <cell r="B36" t="str">
            <v>Jeferson Demeterco</v>
          </cell>
        </row>
        <row r="37">
          <cell r="B37" t="str">
            <v>Sheila Do Rocio Cercal Santos Leal</v>
          </cell>
        </row>
        <row r="38">
          <cell r="B38" t="str">
            <v>Sandra Maria Mattar Diaz</v>
          </cell>
        </row>
        <row r="39">
          <cell r="B39" t="str">
            <v>Jose Mario Tupina Machado</v>
          </cell>
        </row>
        <row r="40">
          <cell r="B40" t="str">
            <v>Carlos Frederico Mares De Souza Filho</v>
          </cell>
        </row>
        <row r="41">
          <cell r="B41" t="str">
            <v>Sergio Aparecido Ignacio</v>
          </cell>
        </row>
        <row r="42">
          <cell r="B42" t="str">
            <v>Cloves Antonio De Amissis Amorim</v>
          </cell>
        </row>
        <row r="43">
          <cell r="B43" t="str">
            <v>Silvia Schmidlin Keil</v>
          </cell>
        </row>
        <row r="44">
          <cell r="B44" t="str">
            <v>Valquiria Elita Renk</v>
          </cell>
        </row>
        <row r="45">
          <cell r="B45" t="str">
            <v>Luiz Antonio Pavao</v>
          </cell>
        </row>
        <row r="46">
          <cell r="B46" t="str">
            <v>Geraldo Miranda Graca Filho</v>
          </cell>
        </row>
        <row r="47">
          <cell r="B47" t="str">
            <v>Ana Lucia Tolazzi</v>
          </cell>
        </row>
        <row r="48">
          <cell r="B48" t="str">
            <v>Alvaro Cesar Camargo Do Amarante</v>
          </cell>
        </row>
        <row r="49">
          <cell r="B49" t="str">
            <v>Maria Ines Pinto Bogisch</v>
          </cell>
        </row>
        <row r="50">
          <cell r="B50" t="str">
            <v>Marcia Rapacci</v>
          </cell>
        </row>
        <row r="51">
          <cell r="B51" t="str">
            <v>Katya Kozicki</v>
          </cell>
        </row>
        <row r="52">
          <cell r="B52" t="str">
            <v>Zara Hussein</v>
          </cell>
        </row>
        <row r="53">
          <cell r="B53" t="str">
            <v>Edson Jose Rodrigues Justino</v>
          </cell>
        </row>
        <row r="54">
          <cell r="B54" t="str">
            <v>Carlos Alberto Engelhorn</v>
          </cell>
        </row>
        <row r="55">
          <cell r="B55" t="str">
            <v>Mario Antonio Sanches</v>
          </cell>
        </row>
        <row r="56">
          <cell r="B56" t="str">
            <v>Rodrigo Sanchez Rios</v>
          </cell>
        </row>
        <row r="57">
          <cell r="B57" t="str">
            <v>Eleni Juliato Piovesan</v>
          </cell>
        </row>
        <row r="58">
          <cell r="B58" t="str">
            <v>Jose Eloir Krupechacke</v>
          </cell>
        </row>
        <row r="59">
          <cell r="B59" t="str">
            <v>Marilena Indira Winter</v>
          </cell>
        </row>
        <row r="60">
          <cell r="B60" t="str">
            <v>Claudia Maria Barbosa</v>
          </cell>
        </row>
        <row r="61">
          <cell r="B61" t="str">
            <v>Julio Cesar Nievola</v>
          </cell>
        </row>
        <row r="62">
          <cell r="B62" t="str">
            <v>Manoel Camillo De Oliveira Penna Neto</v>
          </cell>
        </row>
        <row r="63">
          <cell r="B63" t="str">
            <v>Sergio Eduardo Fontoura Da Silva</v>
          </cell>
        </row>
        <row r="64">
          <cell r="B64" t="str">
            <v>Amelia Do Carmo Sampaio Rossi</v>
          </cell>
        </row>
        <row r="65">
          <cell r="B65" t="str">
            <v>Cynthia Franca Wolanski Bordin</v>
          </cell>
        </row>
        <row r="66">
          <cell r="B66" t="str">
            <v>Marilin Hohl</v>
          </cell>
        </row>
        <row r="67">
          <cell r="B67" t="str">
            <v>Rita De Cassia Correa De Vasconcelos</v>
          </cell>
        </row>
        <row r="68">
          <cell r="B68" t="str">
            <v>Ana Carla Efing</v>
          </cell>
        </row>
        <row r="69">
          <cell r="B69" t="str">
            <v>Luiz Carlos Von Bahten</v>
          </cell>
        </row>
        <row r="70">
          <cell r="B70" t="str">
            <v>Eduardo Quadros Da Silva</v>
          </cell>
        </row>
        <row r="71">
          <cell r="B71" t="str">
            <v>Francisco Maia Da Silva</v>
          </cell>
        </row>
        <row r="72">
          <cell r="B72" t="str">
            <v>Paulo Roberto Slud Brofman</v>
          </cell>
        </row>
        <row r="73">
          <cell r="B73" t="str">
            <v>Maria Laura Medeiros Assef</v>
          </cell>
        </row>
        <row r="74">
          <cell r="B74" t="str">
            <v>Edson Maboni</v>
          </cell>
        </row>
        <row r="75">
          <cell r="B75" t="str">
            <v>Paulo D Assumpcao Zaniol</v>
          </cell>
        </row>
        <row r="76">
          <cell r="B76" t="str">
            <v>Lucio Tracz</v>
          </cell>
        </row>
        <row r="77">
          <cell r="B77" t="str">
            <v>Claudia Maria Cabral Moro Barra</v>
          </cell>
        </row>
        <row r="78">
          <cell r="B78" t="str">
            <v>Claudio Marcelo Tkac</v>
          </cell>
        </row>
        <row r="79">
          <cell r="B79" t="str">
            <v>Antonio Carlos Efing</v>
          </cell>
        </row>
        <row r="80">
          <cell r="B80" t="str">
            <v>Emerson Cabrera Paraiso</v>
          </cell>
        </row>
        <row r="81">
          <cell r="B81" t="str">
            <v>Luiz Alberto Blanchet</v>
          </cell>
        </row>
        <row r="82">
          <cell r="B82" t="str">
            <v>Arley De Almeida</v>
          </cell>
        </row>
        <row r="83">
          <cell r="B83" t="str">
            <v>Julio Cesar Bisinelli</v>
          </cell>
        </row>
        <row r="84">
          <cell r="B84" t="str">
            <v>Thomaz Milton Navarro Verastegui</v>
          </cell>
        </row>
        <row r="85">
          <cell r="B85" t="str">
            <v>Suzana Valaski</v>
          </cell>
        </row>
        <row r="86">
          <cell r="B86" t="str">
            <v>Nilson Barbieri</v>
          </cell>
        </row>
        <row r="87">
          <cell r="B87" t="str">
            <v>Ulisses Domingos Natal</v>
          </cell>
        </row>
        <row r="88">
          <cell r="B88" t="str">
            <v>Altair Olivo Santin</v>
          </cell>
        </row>
        <row r="89">
          <cell r="B89" t="str">
            <v>Fabiane De Cassia Savi Tomasiak</v>
          </cell>
        </row>
        <row r="90">
          <cell r="B90" t="str">
            <v>Peri Mesquida</v>
          </cell>
        </row>
        <row r="91">
          <cell r="B91" t="str">
            <v>Marcos Antonio De Abreu</v>
          </cell>
        </row>
        <row r="92">
          <cell r="B92" t="str">
            <v>Ana Paula Cunha Loureiro</v>
          </cell>
        </row>
        <row r="93">
          <cell r="B93" t="str">
            <v>Marcelo Pillonetto</v>
          </cell>
        </row>
        <row r="94">
          <cell r="B94" t="str">
            <v>Denise Adamczyk Kozemjakin</v>
          </cell>
        </row>
        <row r="95">
          <cell r="B95" t="str">
            <v>Marilene Da Costa Santos</v>
          </cell>
        </row>
        <row r="96">
          <cell r="B96" t="str">
            <v>Dean Fabio Bueno De Almeida</v>
          </cell>
        </row>
        <row r="97">
          <cell r="B97" t="str">
            <v>Wilson Gorges</v>
          </cell>
        </row>
        <row r="98">
          <cell r="B98" t="str">
            <v>Claudia Turra Pimpao</v>
          </cell>
        </row>
        <row r="99">
          <cell r="B99" t="str">
            <v>Marcia Terezinha De Oliveira</v>
          </cell>
        </row>
        <row r="100">
          <cell r="B100" t="str">
            <v>Wilson Maske</v>
          </cell>
        </row>
        <row r="101">
          <cell r="B101" t="str">
            <v>Maria Celia Barbosa Fabricio De Melo</v>
          </cell>
        </row>
        <row r="102">
          <cell r="B102" t="str">
            <v>Carla De Castro Ferreira</v>
          </cell>
        </row>
        <row r="103">
          <cell r="B103" t="str">
            <v>Eduardo Monteiro Meda</v>
          </cell>
        </row>
        <row r="104">
          <cell r="B104" t="str">
            <v>Etiane Caloy Bovkalovski</v>
          </cell>
        </row>
        <row r="105">
          <cell r="B105" t="str">
            <v>Sergio Ossamu Ioshii</v>
          </cell>
        </row>
        <row r="106">
          <cell r="B106" t="str">
            <v>Paulo Cesar De Barros</v>
          </cell>
        </row>
        <row r="107">
          <cell r="B107" t="str">
            <v>Valeria Aparecida Padovani De Souza</v>
          </cell>
        </row>
        <row r="108">
          <cell r="B108" t="str">
            <v>Luiz Antonio Martins Barbosa Junior</v>
          </cell>
        </row>
        <row r="109">
          <cell r="B109" t="str">
            <v>Henri Frederico Eberspacher</v>
          </cell>
        </row>
        <row r="110">
          <cell r="B110" t="str">
            <v>Alcides Calsavara</v>
          </cell>
        </row>
        <row r="111">
          <cell r="B111" t="str">
            <v>Edgard Jamhour</v>
          </cell>
        </row>
        <row r="112">
          <cell r="B112" t="str">
            <v>Gracinda Maria D Almeida E Oliveira</v>
          </cell>
        </row>
        <row r="113">
          <cell r="B113" t="str">
            <v>Ernesto Josue Schmitt</v>
          </cell>
        </row>
        <row r="114">
          <cell r="B114" t="str">
            <v>Treice Cristina Da Cruz</v>
          </cell>
        </row>
        <row r="115">
          <cell r="B115" t="str">
            <v>Suyanne Tolentino De Souza</v>
          </cell>
        </row>
        <row r="116">
          <cell r="B116" t="str">
            <v>Marisa Ines Corradi</v>
          </cell>
        </row>
        <row r="117">
          <cell r="B117" t="str">
            <v>Edson Emilio Scalabrin</v>
          </cell>
        </row>
        <row r="118">
          <cell r="B118" t="str">
            <v>Ruy Inacio Neiva De Carvalho</v>
          </cell>
        </row>
        <row r="119">
          <cell r="B119" t="str">
            <v>Pedro Vicente Michelotto Junior</v>
          </cell>
        </row>
        <row r="120">
          <cell r="B120" t="str">
            <v>Maria Angela Moscalewski Roveredo Dos Santos</v>
          </cell>
        </row>
        <row r="121">
          <cell r="B121" t="str">
            <v>Sandra Mara Flugel Assad</v>
          </cell>
        </row>
        <row r="122">
          <cell r="B122" t="str">
            <v>Adriana Cristina Corsico Dittmar</v>
          </cell>
        </row>
        <row r="123">
          <cell r="B123" t="str">
            <v>Afonso Ferreira Miguel</v>
          </cell>
        </row>
        <row r="124">
          <cell r="B124" t="str">
            <v>Fred Lacerda Amorim</v>
          </cell>
        </row>
        <row r="125">
          <cell r="B125" t="str">
            <v>Andreia Malucelli</v>
          </cell>
        </row>
        <row r="126">
          <cell r="B126" t="str">
            <v>Eduardo De Freitas Rocha Loures</v>
          </cell>
        </row>
        <row r="127">
          <cell r="B127" t="str">
            <v>Nathan Mendes</v>
          </cell>
        </row>
        <row r="128">
          <cell r="B128" t="str">
            <v>Sylvia Ramos Leitao</v>
          </cell>
        </row>
        <row r="129">
          <cell r="B129" t="str">
            <v>Kung Darh Chi</v>
          </cell>
        </row>
        <row r="130">
          <cell r="B130" t="str">
            <v>Nancy Valente</v>
          </cell>
        </row>
        <row r="131">
          <cell r="B131" t="str">
            <v>Enio Francisco Moura</v>
          </cell>
        </row>
        <row r="132">
          <cell r="B132" t="str">
            <v>Marcio Saporski Segui</v>
          </cell>
        </row>
        <row r="133">
          <cell r="B133" t="str">
            <v>Lucia De Noronha</v>
          </cell>
        </row>
        <row r="134">
          <cell r="B134" t="str">
            <v>Carlos Roberto Romaniello</v>
          </cell>
        </row>
        <row r="135">
          <cell r="B135" t="str">
            <v>Paulo Otavio Mussi Augusto</v>
          </cell>
        </row>
        <row r="136">
          <cell r="B136" t="str">
            <v>Andrea Paula Fregoneze</v>
          </cell>
        </row>
        <row r="137">
          <cell r="B137" t="str">
            <v>Cesar Candiotto</v>
          </cell>
        </row>
        <row r="138">
          <cell r="B138" t="str">
            <v>Cristina Santos Sotomaior</v>
          </cell>
        </row>
        <row r="139">
          <cell r="B139" t="str">
            <v>Cristiane Goncalves Ribas</v>
          </cell>
        </row>
        <row r="140">
          <cell r="B140" t="str">
            <v>Daniele Lucy Lopes De Sehli</v>
          </cell>
        </row>
        <row r="141">
          <cell r="B141" t="str">
            <v>Renata Ernlund Freitas De Macedo</v>
          </cell>
        </row>
        <row r="142">
          <cell r="B142" t="str">
            <v>Luis Mauro Moura</v>
          </cell>
        </row>
        <row r="143">
          <cell r="B143" t="str">
            <v>Voldi Costa Zambenedetti</v>
          </cell>
        </row>
        <row r="144">
          <cell r="B144" t="str">
            <v>Marco Aurelio Guimaraes</v>
          </cell>
        </row>
        <row r="145">
          <cell r="B145" t="str">
            <v>Ivan Jorge Chueiri</v>
          </cell>
        </row>
        <row r="146">
          <cell r="B146" t="str">
            <v>Jose Geraldo Lopes De Noronha Filho</v>
          </cell>
        </row>
        <row r="147">
          <cell r="B147" t="str">
            <v>Luiz Ernandes Kozicki</v>
          </cell>
        </row>
        <row r="148">
          <cell r="B148" t="str">
            <v>Luiz Augusto De Paula Lima Junior</v>
          </cell>
        </row>
        <row r="149">
          <cell r="B149" t="str">
            <v>Jaci De Fatima Souza Candiotto</v>
          </cell>
        </row>
        <row r="150">
          <cell r="B150" t="str">
            <v>Ivete Morosov</v>
          </cell>
        </row>
        <row r="151">
          <cell r="B151" t="str">
            <v>Evelise Machado De Souza</v>
          </cell>
        </row>
        <row r="152">
          <cell r="B152" t="str">
            <v>Rudiger Daniel Ollhoff</v>
          </cell>
        </row>
        <row r="153">
          <cell r="B153" t="str">
            <v>Inez Gaias</v>
          </cell>
        </row>
        <row r="154">
          <cell r="B154" t="str">
            <v>Ricardo Diego Torres</v>
          </cell>
        </row>
        <row r="155">
          <cell r="B155" t="str">
            <v>Vidal Martins</v>
          </cell>
        </row>
        <row r="156">
          <cell r="B156" t="str">
            <v>Patricia Maria Stuelp Campelo</v>
          </cell>
        </row>
        <row r="157">
          <cell r="B157" t="str">
            <v>Marcelo Rudek</v>
          </cell>
        </row>
        <row r="158">
          <cell r="B158" t="str">
            <v>Eduardo Biacchi Gomes</v>
          </cell>
        </row>
        <row r="159">
          <cell r="B159" t="str">
            <v>Vinicius Augusto Tramontina</v>
          </cell>
        </row>
        <row r="160">
          <cell r="B160" t="str">
            <v>Elisa Souza Camargo</v>
          </cell>
        </row>
        <row r="161">
          <cell r="B161" t="str">
            <v>Jefferson Pedro Cunha</v>
          </cell>
        </row>
        <row r="162">
          <cell r="B162" t="str">
            <v>Osiris Canciglieri Junior</v>
          </cell>
        </row>
        <row r="163">
          <cell r="B163" t="str">
            <v>Fabricio Enembreck</v>
          </cell>
        </row>
        <row r="164">
          <cell r="B164" t="str">
            <v>Marta Luciane Fischer</v>
          </cell>
        </row>
        <row r="165">
          <cell r="B165" t="str">
            <v>Selene Elifio Esposito</v>
          </cell>
        </row>
        <row r="166">
          <cell r="B166" t="str">
            <v>Marcelo Eduardo Pellenz</v>
          </cell>
        </row>
        <row r="167">
          <cell r="B167" t="str">
            <v>Cleusa De Castro</v>
          </cell>
        </row>
        <row r="168">
          <cell r="B168" t="str">
            <v>Helio Gomes Coelho Junior</v>
          </cell>
        </row>
        <row r="169">
          <cell r="B169" t="str">
            <v>Ivone Mayumi Ikeda Morimoto</v>
          </cell>
        </row>
        <row r="170">
          <cell r="B170" t="str">
            <v>Paulo Sergio Batista De Paula</v>
          </cell>
        </row>
        <row r="171">
          <cell r="B171" t="str">
            <v>Jose Maria Tiepolo</v>
          </cell>
        </row>
        <row r="172">
          <cell r="B172" t="str">
            <v>Paula Cristina Trevilatto</v>
          </cell>
        </row>
        <row r="173">
          <cell r="B173" t="str">
            <v>Oksandro Osdival Goncalves</v>
          </cell>
        </row>
        <row r="174">
          <cell r="B174" t="str">
            <v>Edilberto Nunes De Moura</v>
          </cell>
        </row>
        <row r="175">
          <cell r="B175" t="str">
            <v>Emerson Martim</v>
          </cell>
        </row>
        <row r="176">
          <cell r="B176" t="str">
            <v>Helena De Toledo Coelho</v>
          </cell>
        </row>
        <row r="177">
          <cell r="B177" t="str">
            <v>Paulo Sergio Macuchen Nogas</v>
          </cell>
        </row>
        <row r="178">
          <cell r="B178" t="str">
            <v>Solange Fernandes</v>
          </cell>
        </row>
        <row r="179">
          <cell r="B179" t="str">
            <v>Danielle Anne Pamplona</v>
          </cell>
        </row>
        <row r="180">
          <cell r="B180" t="str">
            <v>Luis Fernando Fonseca Kasprzak</v>
          </cell>
        </row>
        <row r="181">
          <cell r="B181" t="str">
            <v>Joao Armando Brancher</v>
          </cell>
        </row>
        <row r="182">
          <cell r="B182" t="str">
            <v>Edvaldo Antonio Ribeiro Rosa</v>
          </cell>
        </row>
        <row r="183">
          <cell r="B183" t="str">
            <v>Fernando Meyer</v>
          </cell>
        </row>
        <row r="184">
          <cell r="B184" t="str">
            <v>Anor Sganzerla</v>
          </cell>
        </row>
        <row r="185">
          <cell r="B185" t="str">
            <v>Raquel Panke Bittencourt</v>
          </cell>
        </row>
        <row r="186">
          <cell r="B186" t="str">
            <v>Angela Leitao Sallem</v>
          </cell>
        </row>
        <row r="187">
          <cell r="B187" t="str">
            <v>Luciano Cardoso</v>
          </cell>
        </row>
        <row r="188">
          <cell r="B188" t="str">
            <v>Claudio Ricardo Vieira Carvilhe</v>
          </cell>
        </row>
        <row r="189">
          <cell r="B189" t="str">
            <v>Cristina Yukie Miyaki</v>
          </cell>
        </row>
        <row r="190">
          <cell r="B190" t="str">
            <v>Rodrigo Nunes Rached</v>
          </cell>
        </row>
        <row r="191">
          <cell r="B191" t="str">
            <v>Silvio Miro Franchi</v>
          </cell>
        </row>
        <row r="192">
          <cell r="B192" t="str">
            <v>Eduardo Oliveira Agustinho</v>
          </cell>
        </row>
        <row r="193">
          <cell r="B193" t="str">
            <v>Rita Maria Venancio Mangrich Rocha</v>
          </cell>
        </row>
        <row r="194">
          <cell r="B194" t="str">
            <v>Jose Gustavo De Oliveira Franco</v>
          </cell>
        </row>
        <row r="195">
          <cell r="B195" t="str">
            <v>Ana Beatriz Costa Silva</v>
          </cell>
        </row>
        <row r="196">
          <cell r="B196" t="str">
            <v>Airton Rodrigues Pinto Junior</v>
          </cell>
        </row>
        <row r="197">
          <cell r="B197" t="str">
            <v>Carla Corradi Perini</v>
          </cell>
        </row>
        <row r="198">
          <cell r="B198" t="str">
            <v>Cilene Da Silva Gomes Ribeiro</v>
          </cell>
        </row>
        <row r="199">
          <cell r="B199" t="str">
            <v>Julio Cesar De Moura Leite</v>
          </cell>
        </row>
        <row r="200">
          <cell r="B200" t="str">
            <v>Cinthia Bittencourt Spricigo</v>
          </cell>
        </row>
        <row r="201">
          <cell r="B201" t="str">
            <v>Paula Christina Pires Muller Maingue</v>
          </cell>
        </row>
        <row r="202">
          <cell r="B202" t="str">
            <v>Claudio Jose Beltrao</v>
          </cell>
        </row>
        <row r="203">
          <cell r="B203" t="str">
            <v>Fernanda Biazetto Vilar Fabricio</v>
          </cell>
        </row>
        <row r="204">
          <cell r="B204" t="str">
            <v>Ericson Savio Falabretti</v>
          </cell>
        </row>
        <row r="205">
          <cell r="B205" t="str">
            <v>Lucas Bach Adada</v>
          </cell>
        </row>
        <row r="206">
          <cell r="B206" t="str">
            <v>Julio Cezar Merlin</v>
          </cell>
        </row>
        <row r="207">
          <cell r="B207" t="str">
            <v>Key Fonseca De Lima</v>
          </cell>
        </row>
        <row r="208">
          <cell r="B208" t="str">
            <v>Vivian Cristina Lima Lopez Valle</v>
          </cell>
        </row>
        <row r="209">
          <cell r="B209" t="str">
            <v>Marconi Rodrigues De Farias</v>
          </cell>
        </row>
        <row r="210">
          <cell r="B210" t="str">
            <v>Ricardo Cassiano Nabhen</v>
          </cell>
        </row>
        <row r="211">
          <cell r="B211" t="str">
            <v>Adalberto Caramori Petry</v>
          </cell>
        </row>
        <row r="212">
          <cell r="B212" t="str">
            <v>Haroldo Osmar De Paula Junior</v>
          </cell>
        </row>
        <row r="213">
          <cell r="B213" t="str">
            <v>Rosane De Mello Santo Nicola</v>
          </cell>
        </row>
        <row r="214">
          <cell r="B214" t="str">
            <v>Patricia Aparecida Piassetta</v>
          </cell>
        </row>
        <row r="215">
          <cell r="B215" t="str">
            <v>Renato Machnievscz</v>
          </cell>
        </row>
        <row r="216">
          <cell r="B216" t="str">
            <v>Gisele Richter Minhoto</v>
          </cell>
        </row>
        <row r="217">
          <cell r="B217" t="str">
            <v>Renata Ceschin Melfi De Macedo</v>
          </cell>
        </row>
        <row r="218">
          <cell r="B218" t="str">
            <v>Paulo Henrique Couto Souza</v>
          </cell>
        </row>
        <row r="219">
          <cell r="B219" t="str">
            <v>Waldir Souza</v>
          </cell>
        </row>
        <row r="220">
          <cell r="B220" t="str">
            <v>Arnaldo Carlos Muller Junior</v>
          </cell>
        </row>
        <row r="221">
          <cell r="B221" t="str">
            <v>Marcos Jose Zablonsky</v>
          </cell>
        </row>
        <row r="222">
          <cell r="B222" t="str">
            <v>Maria Cecilia Barreto Amorim Pilla</v>
          </cell>
        </row>
        <row r="223">
          <cell r="B223" t="str">
            <v>Ricardo Henrique Dias</v>
          </cell>
        </row>
        <row r="224">
          <cell r="B224" t="str">
            <v>Cristina Vercosa Perez Barrios De Souza</v>
          </cell>
        </row>
        <row r="225">
          <cell r="B225" t="str">
            <v>Jucimeri Isolda Silveira</v>
          </cell>
        </row>
        <row r="226">
          <cell r="B226" t="str">
            <v>Marcia Regina Cubas</v>
          </cell>
        </row>
        <row r="227">
          <cell r="B227" t="str">
            <v>Mauricio De Carvalho</v>
          </cell>
        </row>
        <row r="228">
          <cell r="B228" t="str">
            <v>Sheila Dos Santos Reinehr</v>
          </cell>
        </row>
        <row r="229">
          <cell r="B229" t="str">
            <v>Cyntia Erthal Leinig</v>
          </cell>
        </row>
        <row r="230">
          <cell r="B230" t="str">
            <v>Angela Bonjorno Arantes</v>
          </cell>
        </row>
        <row r="231">
          <cell r="B231" t="str">
            <v>Rosani Kucarz Da Cunha</v>
          </cell>
        </row>
        <row r="232">
          <cell r="B232" t="str">
            <v>Andre Ostrensky</v>
          </cell>
        </row>
        <row r="233">
          <cell r="B233" t="str">
            <v>Jose Ademar Villanova Junior</v>
          </cell>
        </row>
        <row r="234">
          <cell r="B234" t="str">
            <v>Luciana Caetano Da Silva</v>
          </cell>
        </row>
        <row r="235">
          <cell r="B235" t="str">
            <v>Marice Taques Pereira</v>
          </cell>
        </row>
        <row r="236">
          <cell r="B236" t="str">
            <v>Mario Sergio Lepre</v>
          </cell>
        </row>
        <row r="237">
          <cell r="B237" t="str">
            <v>Paulo Sergio Miguel</v>
          </cell>
        </row>
        <row r="238">
          <cell r="B238" t="str">
            <v>Kleber Bez Birolo Candiotto</v>
          </cell>
        </row>
        <row r="239">
          <cell r="B239" t="str">
            <v>Andrea Novais Moreno Amaral</v>
          </cell>
        </row>
        <row r="240">
          <cell r="B240" t="str">
            <v>Clovis Ultramari</v>
          </cell>
        </row>
        <row r="241">
          <cell r="B241" t="str">
            <v>Reginaldo Rodrigues Da Costa</v>
          </cell>
        </row>
        <row r="242">
          <cell r="B242" t="str">
            <v>Erica Regina Takano Natti</v>
          </cell>
        </row>
        <row r="243">
          <cell r="B243" t="str">
            <v>Viviane Da Silva Lopes Hambrusch</v>
          </cell>
        </row>
        <row r="244">
          <cell r="B244" t="str">
            <v>Glaucia Lunkmoss</v>
          </cell>
        </row>
        <row r="245">
          <cell r="B245" t="str">
            <v>Salma Ali El Chab Parolin</v>
          </cell>
        </row>
        <row r="246">
          <cell r="B246" t="str">
            <v>Ana Cristina Ravazzani De Almeida Faria</v>
          </cell>
        </row>
        <row r="247">
          <cell r="B247" t="str">
            <v>Francisco Verardi Bocca</v>
          </cell>
        </row>
        <row r="248">
          <cell r="B248" t="str">
            <v>Eduardo Bastos De Barros</v>
          </cell>
        </row>
        <row r="249">
          <cell r="B249" t="str">
            <v>Magda Rosa Ramos Da Cruz</v>
          </cell>
        </row>
        <row r="250">
          <cell r="B250" t="str">
            <v>Sonia Mara Luczyszyn</v>
          </cell>
        </row>
        <row r="251">
          <cell r="B251" t="str">
            <v>Ulisses Xavier Da Silva Neto</v>
          </cell>
        </row>
        <row r="252">
          <cell r="B252" t="str">
            <v>Marcia Olandoski</v>
          </cell>
        </row>
        <row r="253">
          <cell r="B253" t="str">
            <v>Mozart Goncalves</v>
          </cell>
        </row>
        <row r="254">
          <cell r="B254" t="str">
            <v>Walter Barbosa Bittar</v>
          </cell>
        </row>
        <row r="255">
          <cell r="B255" t="str">
            <v>Sergio Barbosa Rodrigues</v>
          </cell>
        </row>
        <row r="256">
          <cell r="B256" t="str">
            <v>Claudia Bellanda Pegini</v>
          </cell>
        </row>
        <row r="257">
          <cell r="B257" t="str">
            <v>Helio Jose Bamberg</v>
          </cell>
        </row>
        <row r="258">
          <cell r="B258" t="str">
            <v>Aguilar Selhorst Junior</v>
          </cell>
        </row>
        <row r="259">
          <cell r="B259" t="str">
            <v>Alceu Souza</v>
          </cell>
        </row>
        <row r="260">
          <cell r="B260" t="str">
            <v>Fernanda Leticia Soares Pinheiro</v>
          </cell>
        </row>
        <row r="261">
          <cell r="B261" t="str">
            <v>Denis Alcides Rezende</v>
          </cell>
        </row>
        <row r="262">
          <cell r="B262" t="str">
            <v>Victor Horacio De Souza Costa Junior</v>
          </cell>
        </row>
        <row r="263">
          <cell r="B263" t="str">
            <v>Ericson Luiz Straub</v>
          </cell>
        </row>
        <row r="264">
          <cell r="B264" t="str">
            <v>Lorena Bortolini Navarro</v>
          </cell>
        </row>
        <row r="265">
          <cell r="B265" t="str">
            <v>Luciana Reis Azevedo Alanis</v>
          </cell>
        </row>
        <row r="266">
          <cell r="B266" t="str">
            <v>Maria Heloisa Madruga Chaves</v>
          </cell>
        </row>
        <row r="267">
          <cell r="B267" t="str">
            <v>Marta Maria Bertan Sella Gabardo</v>
          </cell>
        </row>
        <row r="268">
          <cell r="B268" t="str">
            <v>Michelle Santos Vianna</v>
          </cell>
        </row>
        <row r="269">
          <cell r="B269" t="str">
            <v>Pura Lucia Oliver Martins</v>
          </cell>
        </row>
        <row r="270">
          <cell r="B270" t="str">
            <v>Roberto Flavio Silva Pecoits Filho</v>
          </cell>
        </row>
        <row r="271">
          <cell r="B271" t="str">
            <v>Everaldo Antonio Rutana Pereira</v>
          </cell>
        </row>
        <row r="272">
          <cell r="B272" t="str">
            <v>Sandra Batista Da Costa</v>
          </cell>
        </row>
        <row r="273">
          <cell r="B273" t="str">
            <v>Adriana Aparecida Dambros Da Silva</v>
          </cell>
        </row>
        <row r="274">
          <cell r="B274" t="str">
            <v>Bruno Campagnolo De Paula</v>
          </cell>
        </row>
        <row r="275">
          <cell r="B275" t="str">
            <v>Marcelo Ponestki Oliveira</v>
          </cell>
        </row>
        <row r="276">
          <cell r="B276" t="str">
            <v>Lindomar Wessler Boneti</v>
          </cell>
        </row>
        <row r="277">
          <cell r="B277" t="str">
            <v>Jhonatan Geremias</v>
          </cell>
        </row>
        <row r="278">
          <cell r="B278" t="str">
            <v>Rosa Lydia Teixeira Correa</v>
          </cell>
        </row>
        <row r="279">
          <cell r="B279" t="str">
            <v>Maristela Denise Marques De Souza</v>
          </cell>
        </row>
        <row r="280">
          <cell r="B280" t="str">
            <v>Ubirajara Iobe Tasqueti</v>
          </cell>
        </row>
        <row r="281">
          <cell r="B281" t="str">
            <v>Fernando Lovel Bergamasco</v>
          </cell>
        </row>
        <row r="282">
          <cell r="B282" t="str">
            <v>Giana Silveira Giostri</v>
          </cell>
        </row>
        <row r="283">
          <cell r="B283" t="str">
            <v>Jamil Faissal Soni</v>
          </cell>
        </row>
        <row r="284">
          <cell r="B284" t="str">
            <v>Joao Eduardo Leal Nicoluzzi</v>
          </cell>
        </row>
        <row r="285">
          <cell r="B285" t="str">
            <v>Ana Paula Gularte Liberato</v>
          </cell>
        </row>
        <row r="286">
          <cell r="B286" t="str">
            <v>Jaime Jose Rauber</v>
          </cell>
        </row>
        <row r="287">
          <cell r="B287" t="str">
            <v>Maria Cecilia De Lima Rorig</v>
          </cell>
        </row>
        <row r="288">
          <cell r="B288" t="str">
            <v>Luiz Alberto Pereira Ribeiro</v>
          </cell>
        </row>
        <row r="289">
          <cell r="B289" t="str">
            <v>Geraldo Alberto Sebben</v>
          </cell>
        </row>
        <row r="290">
          <cell r="B290" t="str">
            <v>Claudine Aparecido Terra</v>
          </cell>
        </row>
        <row r="291">
          <cell r="B291" t="str">
            <v>Jelson Roberto De Oliveira</v>
          </cell>
        </row>
        <row r="292">
          <cell r="B292" t="str">
            <v>Jose Rocha Faria Neto</v>
          </cell>
        </row>
        <row r="293">
          <cell r="B293" t="str">
            <v>Elisangela Ferretti Manffra</v>
          </cell>
        </row>
        <row r="294">
          <cell r="B294" t="str">
            <v>Edelmi Marcelo Kruger</v>
          </cell>
        </row>
        <row r="295">
          <cell r="B295" t="str">
            <v>Luci Michelon Lohmann</v>
          </cell>
        </row>
        <row r="296">
          <cell r="B296" t="str">
            <v>Rene Bergel</v>
          </cell>
        </row>
        <row r="297">
          <cell r="B297" t="str">
            <v>Luiz Cesar Guarita Souza</v>
          </cell>
        </row>
        <row r="298">
          <cell r="B298" t="str">
            <v>Flavio Pansieri</v>
          </cell>
        </row>
        <row r="299">
          <cell r="B299" t="str">
            <v>Christiano Francisco Dos Santos</v>
          </cell>
        </row>
        <row r="300">
          <cell r="B300" t="str">
            <v>Demetrius Coelho Souza</v>
          </cell>
        </row>
        <row r="301">
          <cell r="B301" t="str">
            <v>Jose Rafael Solano Duran</v>
          </cell>
        </row>
        <row r="302">
          <cell r="B302" t="str">
            <v>Valdeci Eleuterio</v>
          </cell>
        </row>
        <row r="303">
          <cell r="B303" t="str">
            <v>Marisse Costa De Queiroz</v>
          </cell>
        </row>
        <row r="304">
          <cell r="B304" t="str">
            <v>Flavia Auler</v>
          </cell>
        </row>
        <row r="305">
          <cell r="B305" t="str">
            <v>Andre Parmo Folloni</v>
          </cell>
        </row>
        <row r="306">
          <cell r="B306" t="str">
            <v>Joceline Franco Dall Agnol</v>
          </cell>
        </row>
        <row r="307">
          <cell r="B307" t="str">
            <v>Rodrigo De Andrade Kersten</v>
          </cell>
        </row>
        <row r="308">
          <cell r="B308" t="str">
            <v>Lidia Ana Zytynski Moura</v>
          </cell>
        </row>
        <row r="309">
          <cell r="B309" t="str">
            <v>Jose Knopfholz</v>
          </cell>
        </row>
        <row r="310">
          <cell r="B310" t="str">
            <v>Vanessa Yumie Salomao Watanabe Liberalesso</v>
          </cell>
        </row>
        <row r="311">
          <cell r="B311" t="str">
            <v>Ana Luiza Dias Valiente Engelhorn</v>
          </cell>
        </row>
        <row r="312">
          <cell r="B312" t="str">
            <v>Everdan Carneiro</v>
          </cell>
        </row>
        <row r="313">
          <cell r="B313" t="str">
            <v>Carolina Kosma Krieger</v>
          </cell>
        </row>
        <row r="314">
          <cell r="B314" t="str">
            <v>Fabio Inacio Pereira</v>
          </cell>
        </row>
        <row r="315">
          <cell r="B315" t="str">
            <v>Bruno Spadoni</v>
          </cell>
        </row>
        <row r="316">
          <cell r="B316" t="str">
            <v>Patricia Guillon Ribeiro</v>
          </cell>
        </row>
        <row r="317">
          <cell r="B317" t="str">
            <v>Paulo Cesar Zimmermann Felchner</v>
          </cell>
        </row>
        <row r="318">
          <cell r="B318" t="str">
            <v>Joao Edson Kaefer</v>
          </cell>
        </row>
        <row r="319">
          <cell r="B319" t="str">
            <v>Rogerio Toniolo</v>
          </cell>
        </row>
        <row r="320">
          <cell r="B320" t="str">
            <v>Eladio Constantino Pablo Craia</v>
          </cell>
        </row>
        <row r="321">
          <cell r="B321" t="str">
            <v>Michaella Carla Laurindo</v>
          </cell>
        </row>
        <row r="322">
          <cell r="B322" t="str">
            <v>Vicente Artuso</v>
          </cell>
        </row>
        <row r="323">
          <cell r="B323" t="str">
            <v>Evandro Jackson Redivo Nava</v>
          </cell>
        </row>
        <row r="324">
          <cell r="B324" t="str">
            <v>Marina Luise Viola De Azevedo</v>
          </cell>
        </row>
        <row r="325">
          <cell r="B325" t="str">
            <v>Leda Ramos May</v>
          </cell>
        </row>
        <row r="326">
          <cell r="B326" t="str">
            <v>Gabriela Rubin Toazza</v>
          </cell>
        </row>
        <row r="327">
          <cell r="B327" t="str">
            <v>Patricia Carla Gandin Pereira</v>
          </cell>
        </row>
        <row r="328">
          <cell r="B328" t="str">
            <v>Paulo Cesar Soares Junior</v>
          </cell>
        </row>
        <row r="329">
          <cell r="B329" t="str">
            <v>Rodrigo Jose Firmino</v>
          </cell>
        </row>
        <row r="330">
          <cell r="B330" t="str">
            <v>Carolina Zaghi Cavalcante Hendges</v>
          </cell>
        </row>
        <row r="331">
          <cell r="B331" t="str">
            <v>Alexei Volaco</v>
          </cell>
        </row>
        <row r="332">
          <cell r="B332" t="str">
            <v>Giovanne Henrique Bressan Schiavon</v>
          </cell>
        </row>
        <row r="333">
          <cell r="B333" t="str">
            <v>Carla Machi Pucci</v>
          </cell>
        </row>
        <row r="334">
          <cell r="B334" t="str">
            <v>Fernanda Correa Pavesi Lara</v>
          </cell>
        </row>
        <row r="335">
          <cell r="B335" t="str">
            <v>Nourmirio Bittencourt Tesseroli Filho</v>
          </cell>
        </row>
        <row r="336">
          <cell r="B336" t="str">
            <v>Juliana Alves Santos</v>
          </cell>
        </row>
        <row r="337">
          <cell r="B337" t="str">
            <v>Mauren Isfer Anghebem</v>
          </cell>
        </row>
        <row r="338">
          <cell r="B338" t="str">
            <v>Andreia Cunha</v>
          </cell>
        </row>
        <row r="339">
          <cell r="B339" t="str">
            <v>Cesar Augusto Neitzke</v>
          </cell>
        </row>
        <row r="340">
          <cell r="B340" t="str">
            <v>Jacir Daga</v>
          </cell>
        </row>
        <row r="341">
          <cell r="B341" t="str">
            <v>Rodrigo Campagnolo</v>
          </cell>
        </row>
        <row r="342">
          <cell r="B342" t="str">
            <v>Francieli Mognon</v>
          </cell>
        </row>
        <row r="343">
          <cell r="B343" t="str">
            <v>Mauricio Cesar Iung</v>
          </cell>
        </row>
        <row r="344">
          <cell r="B344" t="str">
            <v>Mary Rute Gomes Esperandio</v>
          </cell>
        </row>
        <row r="345">
          <cell r="B345" t="str">
            <v>Juliana Ferreira Montenegro</v>
          </cell>
        </row>
        <row r="346">
          <cell r="B346" t="str">
            <v>Nelson Massaru Fukumoto</v>
          </cell>
        </row>
        <row r="347">
          <cell r="B347" t="str">
            <v>Gisele Pontaroli Raymundo</v>
          </cell>
        </row>
        <row r="348">
          <cell r="B348" t="str">
            <v>Luiz Alexandre Solano Rossi</v>
          </cell>
        </row>
        <row r="349">
          <cell r="B349" t="str">
            <v>Ricardo Alexandre Diogo</v>
          </cell>
        </row>
        <row r="350">
          <cell r="B350" t="str">
            <v>Marcia De Holanda Nozaki</v>
          </cell>
        </row>
        <row r="351">
          <cell r="B351" t="str">
            <v>Neidamar Pedrini Arias Fugaca</v>
          </cell>
        </row>
        <row r="352">
          <cell r="B352" t="str">
            <v>Andressa Beher Lorandi</v>
          </cell>
        </row>
        <row r="353">
          <cell r="B353" t="str">
            <v>Ana Paula Modesto</v>
          </cell>
        </row>
        <row r="354">
          <cell r="B354" t="str">
            <v>Vanessa Santos Sotomaior</v>
          </cell>
        </row>
        <row r="355">
          <cell r="B355" t="str">
            <v>Alceu De Souza Britto Junior</v>
          </cell>
        </row>
        <row r="356">
          <cell r="B356" t="str">
            <v>Mariana Brandl Frezatto</v>
          </cell>
        </row>
        <row r="357">
          <cell r="B357" t="str">
            <v>Raquel Mercedes Motta Xavier</v>
          </cell>
        </row>
        <row r="358">
          <cell r="B358" t="str">
            <v>Adriana Dias Basseto</v>
          </cell>
        </row>
        <row r="359">
          <cell r="B359" t="str">
            <v>Sara Regina Hokai</v>
          </cell>
        </row>
        <row r="360">
          <cell r="B360" t="str">
            <v>Pasqualino Lamorte</v>
          </cell>
        </row>
        <row r="361">
          <cell r="B361" t="str">
            <v>Luciana Andreia Lasaro Mangieri</v>
          </cell>
        </row>
        <row r="362">
          <cell r="B362" t="str">
            <v>Thiago Thomaz Kaspchak</v>
          </cell>
        </row>
        <row r="363">
          <cell r="B363" t="str">
            <v>Luiz Carlos Py Flores</v>
          </cell>
        </row>
        <row r="364">
          <cell r="B364" t="str">
            <v>Andre Gobette Santana</v>
          </cell>
        </row>
        <row r="365">
          <cell r="B365" t="str">
            <v>Daniele Rocha Saucedo</v>
          </cell>
        </row>
        <row r="366">
          <cell r="B366" t="str">
            <v>Antonio Claudio Kozikoski Junior</v>
          </cell>
        </row>
        <row r="367">
          <cell r="B367" t="str">
            <v>Miriam Stolses Mazo</v>
          </cell>
        </row>
        <row r="368">
          <cell r="B368" t="str">
            <v>Caroline Filla Rosaneli</v>
          </cell>
        </row>
        <row r="369">
          <cell r="B369" t="str">
            <v>Almir Petersen Barreto</v>
          </cell>
        </row>
        <row r="370">
          <cell r="B370" t="str">
            <v>Diana Chao Decock</v>
          </cell>
        </row>
        <row r="371">
          <cell r="B371" t="str">
            <v>Carmen Luciane Sanson Abourihan</v>
          </cell>
        </row>
        <row r="372">
          <cell r="B372" t="str">
            <v>Wilton Borges Dos Santos</v>
          </cell>
        </row>
        <row r="373">
          <cell r="B373" t="str">
            <v>Vanessa Terezinha Ales</v>
          </cell>
        </row>
        <row r="374">
          <cell r="B374" t="str">
            <v>Leila Andressa Dissenha</v>
          </cell>
        </row>
        <row r="375">
          <cell r="B375" t="str">
            <v>Priscila Silva Rocha</v>
          </cell>
        </row>
        <row r="376">
          <cell r="B376" t="str">
            <v>Ricardo Padilha Vianna Filho</v>
          </cell>
        </row>
        <row r="377">
          <cell r="B377" t="str">
            <v>Claudia Maria Borges Costa Pinto</v>
          </cell>
        </row>
        <row r="378">
          <cell r="B378" t="str">
            <v>Emerson Donaisky</v>
          </cell>
        </row>
        <row r="379">
          <cell r="B379" t="str">
            <v>Nelisa Sita Pires Picolotto Martim</v>
          </cell>
        </row>
        <row r="380">
          <cell r="B380" t="str">
            <v>Moara Zuccherelli</v>
          </cell>
        </row>
        <row r="381">
          <cell r="B381" t="str">
            <v>Ubaldino Da Rosa Ferreira Filho</v>
          </cell>
        </row>
        <row r="382">
          <cell r="B382" t="str">
            <v>Ericson Pereira</v>
          </cell>
        </row>
        <row r="383">
          <cell r="B383" t="str">
            <v>Camila Ament Giuliani Dos Santos Franco</v>
          </cell>
        </row>
        <row r="384">
          <cell r="B384" t="str">
            <v>Renato Soleiman Franco</v>
          </cell>
        </row>
        <row r="385">
          <cell r="B385" t="str">
            <v>Roberto Sampaio</v>
          </cell>
        </row>
        <row r="386">
          <cell r="B386" t="str">
            <v>Fabio Vinicius Binder</v>
          </cell>
        </row>
        <row r="387">
          <cell r="B387" t="str">
            <v>Mirian Celia Castellain Guebert</v>
          </cell>
        </row>
        <row r="388">
          <cell r="B388" t="str">
            <v>Luciana Alves Fogaca</v>
          </cell>
        </row>
        <row r="389">
          <cell r="B389" t="str">
            <v>Juliana Del Secchi</v>
          </cell>
        </row>
        <row r="390">
          <cell r="B390" t="str">
            <v>Junio Cesar Mangonaro</v>
          </cell>
        </row>
        <row r="391">
          <cell r="B391" t="str">
            <v>Alcindo Pissaia Junior</v>
          </cell>
        </row>
        <row r="392">
          <cell r="B392" t="str">
            <v>Marco Antonio Pedroni</v>
          </cell>
        </row>
        <row r="393">
          <cell r="B393" t="str">
            <v>Rodrigo Alvarenga</v>
          </cell>
        </row>
        <row r="394">
          <cell r="B394" t="str">
            <v>Valeria Natascha Teixeira</v>
          </cell>
        </row>
        <row r="395">
          <cell r="B395" t="str">
            <v>Fernanda Cristina Ostrovski Sales</v>
          </cell>
        </row>
        <row r="396">
          <cell r="B396" t="str">
            <v>Luciane Hilu</v>
          </cell>
        </row>
        <row r="397">
          <cell r="B397" t="str">
            <v>Carlo Renato Borges</v>
          </cell>
        </row>
        <row r="398">
          <cell r="B398" t="str">
            <v>Carlos Eduardo Camargo</v>
          </cell>
        </row>
        <row r="399">
          <cell r="B399" t="str">
            <v>Ricardo Jose Bertin</v>
          </cell>
        </row>
        <row r="400">
          <cell r="B400" t="str">
            <v>Andreia Cristina Serrato</v>
          </cell>
        </row>
        <row r="401">
          <cell r="B401" t="str">
            <v>Eduardo Damiao Da Silva</v>
          </cell>
        </row>
        <row r="402">
          <cell r="B402" t="str">
            <v>Reginaldo Alicandro Bordin</v>
          </cell>
        </row>
        <row r="403">
          <cell r="B403" t="str">
            <v>Rafael Mendonca Rey Dos Santos</v>
          </cell>
        </row>
        <row r="404">
          <cell r="B404" t="str">
            <v>Carlos Augusto Candeo Fontanini</v>
          </cell>
        </row>
        <row r="405">
          <cell r="B405" t="str">
            <v>Cezar Bueno De Lima</v>
          </cell>
        </row>
        <row r="406">
          <cell r="B406" t="str">
            <v>Luciene Martins Moreira</v>
          </cell>
        </row>
        <row r="407">
          <cell r="B407" t="str">
            <v>Julio Cesar De Souza Mota</v>
          </cell>
        </row>
        <row r="408">
          <cell r="B408" t="str">
            <v>Adriana Mocelim</v>
          </cell>
        </row>
        <row r="409">
          <cell r="B409" t="str">
            <v>Tiago Francesconi</v>
          </cell>
        </row>
        <row r="410">
          <cell r="B410" t="str">
            <v>Silvia Maria De Moraes Monteiro Pazello</v>
          </cell>
        </row>
        <row r="411">
          <cell r="B411" t="str">
            <v>Caue Kruger</v>
          </cell>
        </row>
        <row r="412">
          <cell r="B412" t="str">
            <v>Vinicius Godoy De Mendonca</v>
          </cell>
        </row>
        <row r="413">
          <cell r="B413" t="str">
            <v>Fabio Henrique Feltrin</v>
          </cell>
        </row>
        <row r="414">
          <cell r="B414" t="str">
            <v>Leo Peruzzo Junior</v>
          </cell>
        </row>
        <row r="415">
          <cell r="B415" t="str">
            <v>Marcio Luiz Fernandes</v>
          </cell>
        </row>
        <row r="416">
          <cell r="B416" t="str">
            <v>Daniele Saheb Pedroso</v>
          </cell>
        </row>
        <row r="417">
          <cell r="B417" t="str">
            <v>Gabriela Garcez Duarte</v>
          </cell>
        </row>
        <row r="418">
          <cell r="B418" t="str">
            <v>Selma Woycikiewizc</v>
          </cell>
        </row>
        <row r="419">
          <cell r="B419" t="str">
            <v>Cassia Messias Pons Ayres</v>
          </cell>
        </row>
        <row r="420">
          <cell r="B420" t="str">
            <v>Altair Rosa</v>
          </cell>
        </row>
        <row r="421">
          <cell r="B421" t="str">
            <v>Gezelda Christiane Moraes</v>
          </cell>
        </row>
        <row r="422">
          <cell r="B422" t="str">
            <v>Emerson Gabardo</v>
          </cell>
        </row>
        <row r="423">
          <cell r="B423" t="str">
            <v>Maicris Fernandes</v>
          </cell>
        </row>
        <row r="424">
          <cell r="B424" t="str">
            <v>Rafaela Da Silva Limons Da Cunha</v>
          </cell>
        </row>
        <row r="425">
          <cell r="B425" t="str">
            <v>Karina Da Silva Magatao</v>
          </cell>
        </row>
        <row r="426">
          <cell r="B426" t="str">
            <v>Angela Cristina Cararo</v>
          </cell>
        </row>
        <row r="427">
          <cell r="B427" t="str">
            <v>Ernesto Lazaro Sienna</v>
          </cell>
        </row>
        <row r="428">
          <cell r="B428" t="str">
            <v>Adalgisa Aparecida De Oliveira Goncalves</v>
          </cell>
        </row>
        <row r="429">
          <cell r="B429" t="str">
            <v>Michelle Sostag Meruvia</v>
          </cell>
        </row>
        <row r="430">
          <cell r="B430" t="str">
            <v>Michelle Fernanda Susin</v>
          </cell>
        </row>
        <row r="431">
          <cell r="B431" t="str">
            <v>Saulo Henrique Weber</v>
          </cell>
        </row>
        <row r="432">
          <cell r="B432" t="str">
            <v>Hsu Yang Shang</v>
          </cell>
        </row>
        <row r="433">
          <cell r="B433" t="str">
            <v>Daiane Cristina Pazin</v>
          </cell>
        </row>
        <row r="434">
          <cell r="B434" t="str">
            <v>Tatiana Lorena Da Luz Kaestner</v>
          </cell>
        </row>
        <row r="435">
          <cell r="B435" t="str">
            <v>Maria Ester Contin De Oliveira Kloss</v>
          </cell>
        </row>
        <row r="436">
          <cell r="B436" t="str">
            <v>Cassio Preis</v>
          </cell>
        </row>
        <row r="437">
          <cell r="B437" t="str">
            <v>Paulo De Paula Baptista</v>
          </cell>
        </row>
        <row r="438">
          <cell r="B438" t="str">
            <v>Pablo Georgio De Souza</v>
          </cell>
        </row>
        <row r="439">
          <cell r="B439" t="str">
            <v>Kelly Christine Landolfi Bettio</v>
          </cell>
        </row>
        <row r="440">
          <cell r="B440" t="str">
            <v>Glauco Vinicius De Franca Furstenberger</v>
          </cell>
        </row>
        <row r="441">
          <cell r="B441" t="str">
            <v>Cleber Machado De Souza</v>
          </cell>
        </row>
        <row r="442">
          <cell r="B442" t="str">
            <v>Karoline Moreira Bastos De Souza</v>
          </cell>
        </row>
        <row r="443">
          <cell r="B443" t="str">
            <v>Ricardo Kureski</v>
          </cell>
        </row>
        <row r="444">
          <cell r="B444" t="str">
            <v>Dewey Moreto Wollmann</v>
          </cell>
        </row>
        <row r="445">
          <cell r="B445" t="str">
            <v>Guilherme Nunes Nogueira Neto</v>
          </cell>
        </row>
        <row r="446">
          <cell r="B446" t="str">
            <v>Rodrigo Otavio Schneider Ribeiro</v>
          </cell>
        </row>
        <row r="447">
          <cell r="B447" t="str">
            <v>Heline Sivini Ferreira</v>
          </cell>
        </row>
        <row r="448">
          <cell r="B448" t="str">
            <v>Rodrigo Moraes Da Silveira</v>
          </cell>
        </row>
        <row r="449">
          <cell r="B449" t="str">
            <v>Nice Mika Sakamoto Kaminari</v>
          </cell>
        </row>
        <row r="450">
          <cell r="B450" t="str">
            <v>Talita Cristina Fidelis Pereira Biagi</v>
          </cell>
        </row>
        <row r="451">
          <cell r="B451" t="str">
            <v>Humberto Maciel Franca Madeira</v>
          </cell>
        </row>
        <row r="452">
          <cell r="B452" t="str">
            <v>Artur De Franca Mittelbach</v>
          </cell>
        </row>
        <row r="453">
          <cell r="B453" t="str">
            <v>Kelly Mazutti Monteiro</v>
          </cell>
        </row>
        <row r="454">
          <cell r="B454" t="str">
            <v>Keith Mary De Souza Sato Urbinati</v>
          </cell>
        </row>
        <row r="455">
          <cell r="B455" t="str">
            <v>Eliane Cristine Francisco Maffezzolli</v>
          </cell>
        </row>
        <row r="456">
          <cell r="B456" t="str">
            <v>Fabio Teodoro De Souza</v>
          </cell>
        </row>
        <row r="457">
          <cell r="B457" t="str">
            <v>Miriam Izolina Padoin Dalla Rosa</v>
          </cell>
        </row>
        <row r="458">
          <cell r="B458" t="str">
            <v>Rodrigo Freese Gonzatto</v>
          </cell>
        </row>
        <row r="459">
          <cell r="B459" t="str">
            <v>Osny De Barros Junior</v>
          </cell>
        </row>
        <row r="460">
          <cell r="B460" t="str">
            <v>Fabio Rocha Farias</v>
          </cell>
        </row>
        <row r="461">
          <cell r="B461" t="str">
            <v>Marco Antonio Gonzalez Moraes</v>
          </cell>
        </row>
        <row r="462">
          <cell r="B462" t="str">
            <v>Carlos Augusto Henning Laurindo</v>
          </cell>
        </row>
        <row r="463">
          <cell r="B463" t="str">
            <v>Henrique Ceciliato De Carvalho</v>
          </cell>
        </row>
        <row r="464">
          <cell r="B464" t="str">
            <v>Lucimary De Castro Sylvestre</v>
          </cell>
        </row>
        <row r="465">
          <cell r="B465" t="str">
            <v>Idiana Marina Dalastra</v>
          </cell>
        </row>
        <row r="466">
          <cell r="B466" t="str">
            <v>Geovani Viola Moretto</v>
          </cell>
        </row>
        <row r="467">
          <cell r="B467" t="str">
            <v>Raquel Pasternak Glitz Kowalski</v>
          </cell>
        </row>
        <row r="468">
          <cell r="B468" t="str">
            <v>Alexandre Luis Muller</v>
          </cell>
        </row>
        <row r="469">
          <cell r="B469" t="str">
            <v>Thyago Proenca De Moraes</v>
          </cell>
        </row>
        <row r="470">
          <cell r="B470" t="str">
            <v>Patricia Longhi Buso</v>
          </cell>
        </row>
        <row r="471">
          <cell r="B471" t="str">
            <v>Fluvio Cardinelle Oliveira Garcia</v>
          </cell>
        </row>
        <row r="472">
          <cell r="B472" t="str">
            <v>Paulo Gustavo Kotze</v>
          </cell>
        </row>
        <row r="473">
          <cell r="B473" t="str">
            <v>Joao Juliani</v>
          </cell>
        </row>
        <row r="474">
          <cell r="B474" t="str">
            <v>Darli De Fatima Sampaio</v>
          </cell>
        </row>
        <row r="475">
          <cell r="B475" t="str">
            <v>Luis Dario Sepulveda</v>
          </cell>
        </row>
        <row r="476">
          <cell r="B476" t="str">
            <v>Flavia Maria De Paula Soares</v>
          </cell>
        </row>
        <row r="477">
          <cell r="B477" t="str">
            <v>Carlos Alberto Fernandes Baltar</v>
          </cell>
        </row>
        <row r="478">
          <cell r="B478" t="str">
            <v>Mauren Abreu De Souza</v>
          </cell>
        </row>
        <row r="479">
          <cell r="B479" t="str">
            <v>Neoli Lucyszyn Suckow</v>
          </cell>
        </row>
        <row r="480">
          <cell r="B480" t="str">
            <v>Sheldon Rodrigo Botogoski</v>
          </cell>
        </row>
        <row r="481">
          <cell r="B481" t="str">
            <v>Renata Iani Werneck</v>
          </cell>
        </row>
        <row r="482">
          <cell r="B482" t="str">
            <v>Jean Rodrigo Tafarel</v>
          </cell>
        </row>
        <row r="483">
          <cell r="B483" t="str">
            <v>Gibran Avelino Frandoloso</v>
          </cell>
        </row>
        <row r="484">
          <cell r="B484" t="str">
            <v>Liz Ribeiro Wallim</v>
          </cell>
        </row>
        <row r="485">
          <cell r="B485" t="str">
            <v>Jose Augusto Ribas Fortes</v>
          </cell>
        </row>
        <row r="486">
          <cell r="B486" t="str">
            <v>Bruno Meneses Lorenzetto</v>
          </cell>
        </row>
        <row r="487">
          <cell r="B487" t="str">
            <v>Luiz Gustavo Pujol</v>
          </cell>
        </row>
        <row r="488">
          <cell r="B488" t="str">
            <v>Patricia Regina Piasecki Custodio</v>
          </cell>
        </row>
        <row r="489">
          <cell r="B489" t="str">
            <v>Renne Leonardo Sant Ana Gomiero</v>
          </cell>
        </row>
        <row r="490">
          <cell r="B490" t="str">
            <v>Margarete Winkler Marques Machado</v>
          </cell>
        </row>
        <row r="491">
          <cell r="B491" t="str">
            <v>Marcelo Daudt Von Der Heyde</v>
          </cell>
        </row>
        <row r="492">
          <cell r="B492" t="str">
            <v>Carlos Alexandre Twardowschy</v>
          </cell>
        </row>
        <row r="493">
          <cell r="B493" t="str">
            <v>Flavio Heuta Ivano</v>
          </cell>
        </row>
        <row r="494">
          <cell r="B494" t="str">
            <v>Marcos Roberto Garcia</v>
          </cell>
        </row>
        <row r="495">
          <cell r="B495" t="str">
            <v>Fernando Bittencourt Luciano</v>
          </cell>
        </row>
        <row r="496">
          <cell r="B496" t="str">
            <v>Hugo Dias Amaro</v>
          </cell>
        </row>
        <row r="497">
          <cell r="B497" t="str">
            <v>Eduardo Mendonca Scheeren</v>
          </cell>
        </row>
        <row r="498">
          <cell r="B498" t="str">
            <v>Francisco Bartosievicz Netto</v>
          </cell>
        </row>
        <row r="499">
          <cell r="B499" t="str">
            <v>Adriana Martello Valero</v>
          </cell>
        </row>
        <row r="500">
          <cell r="B500" t="str">
            <v>Mauro Pellissari</v>
          </cell>
        </row>
        <row r="501">
          <cell r="B501" t="str">
            <v>Linizai Lerika Santos</v>
          </cell>
        </row>
        <row r="502">
          <cell r="B502" t="str">
            <v>Claudete Maria Zaclikevic</v>
          </cell>
        </row>
        <row r="503">
          <cell r="B503" t="str">
            <v>Juliano Munik Bora</v>
          </cell>
        </row>
        <row r="504">
          <cell r="B504" t="str">
            <v>Raquel Cavalcante Cabral</v>
          </cell>
        </row>
        <row r="505">
          <cell r="B505" t="str">
            <v>Valdir Borges</v>
          </cell>
        </row>
        <row r="506">
          <cell r="B506" t="str">
            <v>Marco Antonio Paludo</v>
          </cell>
        </row>
        <row r="507">
          <cell r="B507" t="str">
            <v>Maisa Kelly Nodari</v>
          </cell>
        </row>
        <row r="508">
          <cell r="B508" t="str">
            <v>Valter Freitas</v>
          </cell>
        </row>
        <row r="509">
          <cell r="B509" t="str">
            <v>Fred Carlos Trevisan</v>
          </cell>
        </row>
        <row r="510">
          <cell r="B510" t="str">
            <v>Anderson Luis Szejka</v>
          </cell>
        </row>
        <row r="511">
          <cell r="B511" t="str">
            <v>Soraya De Azambuja Berti Couto</v>
          </cell>
        </row>
        <row r="512">
          <cell r="B512" t="str">
            <v>Joao Carlos Minozzo</v>
          </cell>
        </row>
        <row r="513">
          <cell r="B513" t="str">
            <v>Graziela Sapienza</v>
          </cell>
        </row>
        <row r="514">
          <cell r="B514" t="str">
            <v>Fernanda Pampuch De Faria</v>
          </cell>
        </row>
        <row r="515">
          <cell r="B515" t="str">
            <v>Eduardo Murilo Novak</v>
          </cell>
        </row>
        <row r="516">
          <cell r="B516" t="str">
            <v>Leonardo Goncalves Rodrigues Da Silva</v>
          </cell>
        </row>
        <row r="517">
          <cell r="B517" t="str">
            <v>Marina Rutz Muller Zipperer</v>
          </cell>
        </row>
        <row r="518">
          <cell r="B518" t="str">
            <v>Juliano Gasparetto</v>
          </cell>
        </row>
        <row r="519">
          <cell r="B519" t="str">
            <v>Joselaine Valaski</v>
          </cell>
        </row>
        <row r="520">
          <cell r="B520" t="str">
            <v>Bruno Augusto Hasenauer Zaitter</v>
          </cell>
        </row>
        <row r="521">
          <cell r="B521" t="str">
            <v>Carlos Alberto Mattozo</v>
          </cell>
        </row>
        <row r="522">
          <cell r="B522" t="str">
            <v>Angela Cristina Raimondi</v>
          </cell>
        </row>
        <row r="523">
          <cell r="B523" t="str">
            <v>Gustavo Gavazzoni Blume</v>
          </cell>
        </row>
        <row r="524">
          <cell r="B524" t="str">
            <v>Patricia Martin</v>
          </cell>
        </row>
        <row r="525">
          <cell r="B525" t="str">
            <v>Francine Valenga</v>
          </cell>
        </row>
        <row r="526">
          <cell r="B526" t="str">
            <v>Rafael Weissheimer</v>
          </cell>
        </row>
        <row r="527">
          <cell r="B527" t="str">
            <v>Paulo Ricardo Franciozi Gois</v>
          </cell>
        </row>
        <row r="528">
          <cell r="B528" t="str">
            <v>Susanne Cristine Pertschi Borges</v>
          </cell>
        </row>
        <row r="529">
          <cell r="B529" t="str">
            <v>Joao Gustavo Da Silva Freire Ritter</v>
          </cell>
        </row>
        <row r="530">
          <cell r="B530" t="str">
            <v>Mari Regina Anastacio</v>
          </cell>
        </row>
        <row r="531">
          <cell r="B531" t="str">
            <v>Solange De Lima Barbosa</v>
          </cell>
        </row>
        <row r="532">
          <cell r="B532" t="str">
            <v>Ubirata Tortato</v>
          </cell>
        </row>
        <row r="533">
          <cell r="B533" t="str">
            <v>Vilmar Rodrigues Moreira</v>
          </cell>
        </row>
        <row r="534">
          <cell r="B534" t="str">
            <v>Dani Juliano Czelusniak</v>
          </cell>
        </row>
        <row r="535">
          <cell r="B535" t="str">
            <v>Rosimeire Sedrez Bitencourt</v>
          </cell>
        </row>
        <row r="536">
          <cell r="B536" t="str">
            <v>Fulvy Antonella Venturi Pereira</v>
          </cell>
        </row>
        <row r="537">
          <cell r="B537" t="str">
            <v>Leana Carolina Ferreira</v>
          </cell>
        </row>
        <row r="538">
          <cell r="B538" t="str">
            <v>Jordao Violin</v>
          </cell>
        </row>
        <row r="539">
          <cell r="B539" t="str">
            <v>Paulo Roberto Bignardi</v>
          </cell>
        </row>
        <row r="540">
          <cell r="B540" t="str">
            <v>Eleonora Elisia Abra Blanco</v>
          </cell>
        </row>
        <row r="541">
          <cell r="B541" t="str">
            <v>Andre Luiz Braga Turbay</v>
          </cell>
        </row>
        <row r="542">
          <cell r="B542" t="str">
            <v>Sandra Joia Mizrahi Jakobson</v>
          </cell>
        </row>
        <row r="543">
          <cell r="B543" t="str">
            <v>Caroline Ehlke Gonzaga</v>
          </cell>
        </row>
        <row r="544">
          <cell r="B544" t="str">
            <v>Bernardo Strobel Guimaraes</v>
          </cell>
        </row>
        <row r="545">
          <cell r="B545" t="str">
            <v>Mario Prokopiuk</v>
          </cell>
        </row>
        <row r="546">
          <cell r="B546" t="str">
            <v>Francisco Eduardo Coral</v>
          </cell>
        </row>
        <row r="547">
          <cell r="B547" t="str">
            <v>Cassio Slompo Ramos</v>
          </cell>
        </row>
        <row r="548">
          <cell r="B548" t="str">
            <v>Sergio Alexandre Liblik</v>
          </cell>
        </row>
        <row r="549">
          <cell r="B549" t="str">
            <v>Ana Paula Biaobok</v>
          </cell>
        </row>
        <row r="550">
          <cell r="B550" t="str">
            <v>Marcelo Jose Marcolla</v>
          </cell>
        </row>
        <row r="551">
          <cell r="B551" t="str">
            <v>Marcelo Cichacz</v>
          </cell>
        </row>
        <row r="552">
          <cell r="B552" t="str">
            <v>Robson Ivan Stival</v>
          </cell>
        </row>
        <row r="553">
          <cell r="B553" t="str">
            <v>Wesley Marcos De Almeida</v>
          </cell>
        </row>
        <row r="554">
          <cell r="B554" t="str">
            <v>Luis Cesar De Carli Turco</v>
          </cell>
        </row>
        <row r="555">
          <cell r="B555" t="str">
            <v>Jorge Luiz Costa Castro</v>
          </cell>
        </row>
        <row r="556">
          <cell r="B556" t="str">
            <v>Fabiano Incerti</v>
          </cell>
        </row>
        <row r="557">
          <cell r="B557" t="str">
            <v>Otto Henrique Martins Da Silva</v>
          </cell>
        </row>
        <row r="558">
          <cell r="B558" t="str">
            <v>Cesar Leandro Ribeiro</v>
          </cell>
        </row>
        <row r="559">
          <cell r="B559" t="str">
            <v>Silvana Taschek Hastreiter</v>
          </cell>
        </row>
        <row r="560">
          <cell r="B560" t="str">
            <v>Henrique Ravanhol Frigeri</v>
          </cell>
        </row>
        <row r="561">
          <cell r="B561" t="str">
            <v>Alex Sandro Quadros Weymer</v>
          </cell>
        </row>
        <row r="562">
          <cell r="B562" t="str">
            <v>Rodrigo Tavora Mira</v>
          </cell>
        </row>
        <row r="563">
          <cell r="B563" t="str">
            <v>Jackson Teixeira Bittencourt</v>
          </cell>
        </row>
        <row r="564">
          <cell r="B564" t="str">
            <v>Joselia Ribeiro</v>
          </cell>
        </row>
        <row r="565">
          <cell r="B565" t="str">
            <v>Valter Klein Junior</v>
          </cell>
        </row>
        <row r="566">
          <cell r="B566" t="str">
            <v>Taisa Vieira Sena</v>
          </cell>
        </row>
        <row r="567">
          <cell r="B567" t="str">
            <v>Laercio Uemura</v>
          </cell>
        </row>
        <row r="568">
          <cell r="B568" t="str">
            <v>Luci Keiko Kuromoto De Castro</v>
          </cell>
        </row>
        <row r="569">
          <cell r="B569" t="str">
            <v>Cezar Augusto De Oliveira Franco</v>
          </cell>
        </row>
        <row r="570">
          <cell r="B570" t="str">
            <v>Fabiana Bartalini Von Der Osten</v>
          </cell>
        </row>
        <row r="571">
          <cell r="B571" t="str">
            <v>Priscilla Perez Russo</v>
          </cell>
        </row>
        <row r="572">
          <cell r="B572" t="str">
            <v>Rafael Torres Brum</v>
          </cell>
        </row>
        <row r="573">
          <cell r="B573" t="str">
            <v>Leandro Tadeu Catapam</v>
          </cell>
        </row>
        <row r="574">
          <cell r="B574" t="str">
            <v>Paulo Roberto Ferreira De Camargo</v>
          </cell>
        </row>
        <row r="575">
          <cell r="B575" t="str">
            <v>Paulo Cesar Porto Martins</v>
          </cell>
        </row>
        <row r="576">
          <cell r="B576" t="str">
            <v>Izabela Patricio Bastos</v>
          </cell>
        </row>
        <row r="577">
          <cell r="B577" t="str">
            <v>Leandro Zen Karam</v>
          </cell>
        </row>
        <row r="578">
          <cell r="B578" t="str">
            <v>Liliane Do Rocio Marconcin</v>
          </cell>
        </row>
        <row r="579">
          <cell r="B579" t="str">
            <v>Elias Wolff</v>
          </cell>
        </row>
        <row r="580">
          <cell r="B580" t="str">
            <v>Karlan Muller Muniz</v>
          </cell>
        </row>
        <row r="581">
          <cell r="B581" t="str">
            <v>Marlos Hardt</v>
          </cell>
        </row>
        <row r="582">
          <cell r="B582" t="str">
            <v>William Sade Junior</v>
          </cell>
        </row>
        <row r="583">
          <cell r="B583" t="str">
            <v>Humberto Luiz Fogaca De Medeiros</v>
          </cell>
        </row>
        <row r="584">
          <cell r="B584" t="str">
            <v>Camila Fukuda Gomes Santos</v>
          </cell>
        </row>
        <row r="585">
          <cell r="B585" t="str">
            <v>Alessandro Bertolino</v>
          </cell>
        </row>
        <row r="586">
          <cell r="B586" t="str">
            <v>Ana Priscilla Christiano</v>
          </cell>
        </row>
        <row r="587">
          <cell r="B587" t="str">
            <v>Juliana Fernandes Junges Cararo</v>
          </cell>
        </row>
        <row r="588">
          <cell r="B588" t="str">
            <v>Sandra Cristina Boufleur</v>
          </cell>
        </row>
        <row r="589">
          <cell r="B589" t="str">
            <v>Marcelo Do Carmo Camargo Gaiotto</v>
          </cell>
        </row>
        <row r="590">
          <cell r="B590" t="str">
            <v>Carolina Caires Motta</v>
          </cell>
        </row>
        <row r="591">
          <cell r="B591" t="str">
            <v>Maria Helena Camargo Peralta Del Valle</v>
          </cell>
        </row>
        <row r="592">
          <cell r="B592" t="str">
            <v>Clayton Fernandes De Souza</v>
          </cell>
        </row>
        <row r="593">
          <cell r="B593" t="str">
            <v>Caio Cesar Silva De Castro</v>
          </cell>
        </row>
        <row r="594">
          <cell r="B594" t="str">
            <v>Juliana Radaelli</v>
          </cell>
        </row>
        <row r="595">
          <cell r="B595" t="str">
            <v>Cristina Pellegrino Baena</v>
          </cell>
        </row>
        <row r="596">
          <cell r="B596" t="str">
            <v>Ana Cristina Da Silva De Lacerda</v>
          </cell>
        </row>
        <row r="597">
          <cell r="B597" t="str">
            <v>Mara Francieli Motin</v>
          </cell>
        </row>
        <row r="598">
          <cell r="B598" t="str">
            <v>Eduardo Ribeiro Da Fonseca</v>
          </cell>
        </row>
        <row r="599">
          <cell r="B599" t="str">
            <v>Leandro Batista Costa</v>
          </cell>
        </row>
        <row r="600">
          <cell r="B600" t="str">
            <v>Mark Eirik Scortegagna Joselli</v>
          </cell>
        </row>
        <row r="601">
          <cell r="B601" t="str">
            <v>Valcir Moraes</v>
          </cell>
        </row>
        <row r="602">
          <cell r="B602" t="str">
            <v>Marcus Vinicius Brudzinski</v>
          </cell>
        </row>
        <row r="603">
          <cell r="B603" t="str">
            <v>Rafael Augusto Camargo</v>
          </cell>
        </row>
        <row r="604">
          <cell r="B604" t="str">
            <v>Abel Ribeiro Dos Santos</v>
          </cell>
        </row>
        <row r="605">
          <cell r="B605" t="str">
            <v>Patricia Eliane Da Rosa Sardeto</v>
          </cell>
        </row>
        <row r="606">
          <cell r="B606" t="str">
            <v>Rafael Junior Soares</v>
          </cell>
        </row>
        <row r="607">
          <cell r="B607" t="str">
            <v>Vania Aparecida Terra</v>
          </cell>
        </row>
        <row r="608">
          <cell r="B608" t="str">
            <v>Aline Tancler Stipp</v>
          </cell>
        </row>
        <row r="609">
          <cell r="B609" t="str">
            <v>Cristiano Teodoro Russo</v>
          </cell>
        </row>
        <row r="610">
          <cell r="B610" t="str">
            <v>Raquel Cristina Silva Das Neves</v>
          </cell>
        </row>
        <row r="611">
          <cell r="B611" t="str">
            <v>Andre Bittencourt Lorusso</v>
          </cell>
        </row>
        <row r="612">
          <cell r="B612" t="str">
            <v>Priscila Brentan Praxedes Pereira</v>
          </cell>
        </row>
        <row r="613">
          <cell r="B613" t="str">
            <v>Carlos Eduardo Lunelli</v>
          </cell>
        </row>
        <row r="614">
          <cell r="B614" t="str">
            <v>Michella Yamamura Bardelli Da Silva</v>
          </cell>
        </row>
        <row r="615">
          <cell r="B615" t="str">
            <v>Lara Guerios</v>
          </cell>
        </row>
        <row r="616">
          <cell r="B616" t="str">
            <v>Patricia Andreia Dombrowski</v>
          </cell>
        </row>
        <row r="617">
          <cell r="B617" t="str">
            <v>Edile Maria Fracaro Rodrigues</v>
          </cell>
        </row>
        <row r="618">
          <cell r="B618" t="str">
            <v>Daniel Idel Bonganhi Feferman</v>
          </cell>
        </row>
        <row r="619">
          <cell r="B619" t="str">
            <v>Luiz Gustavo Thadeo Braga</v>
          </cell>
        </row>
        <row r="620">
          <cell r="B620" t="str">
            <v>Carlos Alberto Debiasi</v>
          </cell>
        </row>
        <row r="621">
          <cell r="B621" t="str">
            <v>Wylkys Weinhardt Goncalves</v>
          </cell>
        </row>
        <row r="622">
          <cell r="B622" t="str">
            <v>Eduardo Rodrigues Garcia</v>
          </cell>
        </row>
        <row r="623">
          <cell r="B623" t="str">
            <v>Silvia Helena Dos Santos Gajardoni Farges</v>
          </cell>
        </row>
        <row r="624">
          <cell r="B624" t="str">
            <v>Ricardo Lemes Da Rosa</v>
          </cell>
        </row>
        <row r="625">
          <cell r="B625" t="str">
            <v>Thais Pacievitch</v>
          </cell>
        </row>
        <row r="626">
          <cell r="B626" t="str">
            <v>Fernanda Brandalise Bogoni</v>
          </cell>
        </row>
        <row r="627">
          <cell r="B627" t="str">
            <v>Jair Rodini Engracia Filho</v>
          </cell>
        </row>
        <row r="628">
          <cell r="B628" t="str">
            <v>Camila Maia De Oliveira Borges Parana</v>
          </cell>
        </row>
        <row r="629">
          <cell r="B629" t="str">
            <v>Caroline Kretzmann</v>
          </cell>
        </row>
        <row r="630">
          <cell r="B630" t="str">
            <v>Kelly Rafaela Otemaier</v>
          </cell>
        </row>
        <row r="631">
          <cell r="B631" t="str">
            <v>Rafael De Oliveira Andrade</v>
          </cell>
        </row>
        <row r="632">
          <cell r="B632" t="str">
            <v>Adriane Reichert Faria</v>
          </cell>
        </row>
        <row r="633">
          <cell r="B633" t="str">
            <v>Viviane Bernardes De Oliveira Chaiben</v>
          </cell>
        </row>
        <row r="634">
          <cell r="B634" t="str">
            <v>Juan Jose Camou Viacava</v>
          </cell>
        </row>
        <row r="635">
          <cell r="B635" t="str">
            <v>Adriano Akira Ferreira Hino</v>
          </cell>
        </row>
        <row r="636">
          <cell r="B636" t="str">
            <v>Alberto Paulo Neto</v>
          </cell>
        </row>
        <row r="637">
          <cell r="B637" t="str">
            <v>Emanuel Gois Junior</v>
          </cell>
        </row>
        <row r="638">
          <cell r="B638" t="str">
            <v>Ricardo Bernardo Da Silva</v>
          </cell>
        </row>
        <row r="639">
          <cell r="B639" t="str">
            <v>Ana Cristina Da Silva Do Amaral Herrera</v>
          </cell>
        </row>
        <row r="640">
          <cell r="B640" t="str">
            <v>Emerson Pereira Gregorio</v>
          </cell>
        </row>
        <row r="641">
          <cell r="B641" t="str">
            <v>Luiz Guilherme Achcar Capriglione</v>
          </cell>
        </row>
        <row r="642">
          <cell r="B642" t="str">
            <v>Rafael Matta Carnasciali</v>
          </cell>
        </row>
        <row r="643">
          <cell r="B643" t="str">
            <v>Angela Cristiane Santos Povoa</v>
          </cell>
        </row>
        <row r="644">
          <cell r="B644" t="str">
            <v>Martios Ecco</v>
          </cell>
        </row>
        <row r="645">
          <cell r="B645" t="str">
            <v>Rodrigo Gomes De Oliveira</v>
          </cell>
        </row>
        <row r="646">
          <cell r="B646" t="str">
            <v>Lays Cherobim Parolin</v>
          </cell>
        </row>
        <row r="647">
          <cell r="B647" t="str">
            <v>Henrique Jose Polato Gomes</v>
          </cell>
        </row>
        <row r="648">
          <cell r="B648" t="str">
            <v>Homero Luis De Aquino Palma</v>
          </cell>
        </row>
        <row r="649">
          <cell r="B649" t="str">
            <v>Felipe Francisco Bondan Tuon</v>
          </cell>
        </row>
        <row r="650">
          <cell r="B650" t="str">
            <v>Juliano Geraldi</v>
          </cell>
        </row>
        <row r="651">
          <cell r="B651" t="str">
            <v>Celina Tie Nishimori Duque</v>
          </cell>
        </row>
        <row r="652">
          <cell r="B652" t="str">
            <v>Daniel Wunder Hachem</v>
          </cell>
        </row>
        <row r="653">
          <cell r="B653" t="str">
            <v>Jaime Luis Lopes Rocha</v>
          </cell>
        </row>
        <row r="654">
          <cell r="B654" t="str">
            <v>Karina Pacheco Dos Santos Vander Broock</v>
          </cell>
        </row>
        <row r="655">
          <cell r="B655" t="str">
            <v>William Franco Da Silva</v>
          </cell>
        </row>
        <row r="656">
          <cell r="B656" t="str">
            <v>Beatriz Luci Fernandes</v>
          </cell>
        </row>
        <row r="657">
          <cell r="B657" t="str">
            <v>Douglas Borges Candido</v>
          </cell>
        </row>
        <row r="658">
          <cell r="B658" t="str">
            <v>Dalton Alexandre Kai</v>
          </cell>
        </row>
        <row r="659">
          <cell r="B659" t="str">
            <v>Janio Denis Gabriel</v>
          </cell>
        </row>
        <row r="660">
          <cell r="B660" t="str">
            <v>Regina Fabia Lopes De Albuquerque</v>
          </cell>
        </row>
        <row r="661">
          <cell r="B661" t="str">
            <v>Renan Colombo</v>
          </cell>
        </row>
        <row r="662">
          <cell r="B662" t="str">
            <v>Thaise Lohr Tacla</v>
          </cell>
        </row>
        <row r="663">
          <cell r="B663" t="str">
            <v>Tatiany Honorio Porto Aoki</v>
          </cell>
        </row>
        <row r="664">
          <cell r="B664" t="str">
            <v>Marcelo Puppi Munhoz</v>
          </cell>
        </row>
        <row r="665">
          <cell r="B665" t="str">
            <v>Otto Leopoldo Winck</v>
          </cell>
        </row>
        <row r="666">
          <cell r="B666" t="str">
            <v>Clovis Massato Kuwahara</v>
          </cell>
        </row>
        <row r="667">
          <cell r="B667" t="str">
            <v>Sandra Regina Cabel</v>
          </cell>
        </row>
        <row r="668">
          <cell r="B668" t="str">
            <v>Abel Esteves Soares</v>
          </cell>
        </row>
        <row r="669">
          <cell r="B669" t="str">
            <v>Claudia Nascimento Montemor</v>
          </cell>
        </row>
        <row r="670">
          <cell r="B670" t="str">
            <v>Luiz Fernando Kunii</v>
          </cell>
        </row>
        <row r="671">
          <cell r="B671" t="str">
            <v>Karen Sumire Kubo</v>
          </cell>
        </row>
        <row r="672">
          <cell r="B672" t="str">
            <v>Henry Belchior Da Cunha</v>
          </cell>
        </row>
        <row r="673">
          <cell r="B673" t="str">
            <v>Regina Maria Martins De Araujo Klein</v>
          </cell>
        </row>
        <row r="674">
          <cell r="B674" t="str">
            <v>Ronaldo Adriano Alves Dos Santos</v>
          </cell>
        </row>
        <row r="675">
          <cell r="B675" t="str">
            <v>Monica Janke De Castro Prosdocimo</v>
          </cell>
        </row>
        <row r="676">
          <cell r="B676" t="str">
            <v>Federico Ferraguto</v>
          </cell>
        </row>
        <row r="677">
          <cell r="B677" t="str">
            <v>Renata Dinardi Borges Liboni</v>
          </cell>
        </row>
        <row r="678">
          <cell r="B678" t="str">
            <v>Silvia Turra Grechinski</v>
          </cell>
        </row>
        <row r="679">
          <cell r="B679" t="str">
            <v>David Queiroz De Sant Ana</v>
          </cell>
        </row>
        <row r="680">
          <cell r="B680" t="str">
            <v>Roberto Masahiko Aoki</v>
          </cell>
        </row>
        <row r="681">
          <cell r="B681" t="str">
            <v>Joao Anilson Carvalho De Lara Filho</v>
          </cell>
        </row>
        <row r="682">
          <cell r="B682" t="str">
            <v>Priscila Ximenes Souza Do Nascimento</v>
          </cell>
        </row>
        <row r="683">
          <cell r="B683" t="str">
            <v>Marcelo Ortega Massambani</v>
          </cell>
        </row>
        <row r="684">
          <cell r="B684" t="str">
            <v>Roberto Hirochi Herai</v>
          </cell>
        </row>
        <row r="685">
          <cell r="B685" t="str">
            <v>Eloize Augusta Da Cruz</v>
          </cell>
        </row>
        <row r="686">
          <cell r="B686" t="str">
            <v>Karina Aires Reinlein Fernandes Couto De Moraes</v>
          </cell>
        </row>
        <row r="687">
          <cell r="B687" t="str">
            <v>Iziquel Antonio Radvanskei</v>
          </cell>
        </row>
        <row r="688">
          <cell r="B688" t="str">
            <v>Sergio Luis Do Nascimento</v>
          </cell>
        </row>
        <row r="689">
          <cell r="B689" t="str">
            <v>Gabriela Lobo Veiga</v>
          </cell>
        </row>
        <row r="690">
          <cell r="B690" t="str">
            <v>Luciano Alves Leandro</v>
          </cell>
        </row>
        <row r="691">
          <cell r="B691" t="str">
            <v>Thiago Rocha Da Cunha</v>
          </cell>
        </row>
        <row r="692">
          <cell r="B692" t="str">
            <v>Adriano Morita Fernandes Da Silva</v>
          </cell>
        </row>
        <row r="693">
          <cell r="B693" t="str">
            <v>Tatiana Mayumi Veiga Iriyoda</v>
          </cell>
        </row>
        <row r="694">
          <cell r="B694" t="str">
            <v>Paulo Henrique Maravieski Brambilla</v>
          </cell>
        </row>
        <row r="695">
          <cell r="B695" t="str">
            <v>Cintia Miyuki Oda</v>
          </cell>
        </row>
        <row r="696">
          <cell r="B696" t="str">
            <v>Guilherme Bittencourt Teixeira</v>
          </cell>
        </row>
        <row r="697">
          <cell r="B697" t="str">
            <v>Anderson Vermonde Hamilko</v>
          </cell>
        </row>
        <row r="698">
          <cell r="B698" t="str">
            <v>Simone Do Amaral Cassilha</v>
          </cell>
        </row>
        <row r="699">
          <cell r="B699" t="str">
            <v>Fabiana Thiele Escudero</v>
          </cell>
        </row>
        <row r="700">
          <cell r="B700" t="str">
            <v>Doris Beraldo</v>
          </cell>
        </row>
        <row r="701">
          <cell r="B701" t="str">
            <v>Jeferson Jose Thauny</v>
          </cell>
        </row>
        <row r="702">
          <cell r="B702" t="str">
            <v>Laura Cinquini Franco</v>
          </cell>
        </row>
        <row r="703">
          <cell r="B703" t="str">
            <v>Janaina Braga Norte</v>
          </cell>
        </row>
        <row r="704">
          <cell r="B704" t="str">
            <v>Gustavo Ravaglio</v>
          </cell>
        </row>
        <row r="705">
          <cell r="B705" t="str">
            <v>Gabriela Unger Unruh</v>
          </cell>
        </row>
        <row r="706">
          <cell r="B706" t="str">
            <v>Mariana Corcao</v>
          </cell>
        </row>
        <row r="707">
          <cell r="B707" t="str">
            <v>Beatriz Polidori Zechlinski</v>
          </cell>
        </row>
        <row r="708">
          <cell r="B708" t="str">
            <v>Vinicius El Ghoz De Lara</v>
          </cell>
        </row>
        <row r="709">
          <cell r="B709" t="str">
            <v>Marcial Macaneiro</v>
          </cell>
        </row>
        <row r="710">
          <cell r="B710" t="str">
            <v>Anderson Luiz Chagas</v>
          </cell>
        </row>
        <row r="711">
          <cell r="B711" t="str">
            <v>Debora Cristina Ribeiro Miguel</v>
          </cell>
        </row>
        <row r="712">
          <cell r="B712" t="str">
            <v>Andrea Trovo Lopes</v>
          </cell>
        </row>
        <row r="713">
          <cell r="B713" t="str">
            <v>Paulo Nascimento Neto</v>
          </cell>
        </row>
        <row r="714">
          <cell r="B714" t="str">
            <v>Alexandre Kowalczuck</v>
          </cell>
        </row>
        <row r="715">
          <cell r="B715" t="str">
            <v>Denise Ratmann Arruda Colin</v>
          </cell>
        </row>
        <row r="716">
          <cell r="B716" t="str">
            <v>Elisangela Besko Luiz</v>
          </cell>
        </row>
        <row r="717">
          <cell r="B717" t="str">
            <v>Wellington Oliveira Do Amor Divino</v>
          </cell>
        </row>
        <row r="718">
          <cell r="B718" t="str">
            <v>Ivan Freitas Dos Santos</v>
          </cell>
        </row>
        <row r="719">
          <cell r="B719" t="str">
            <v>Paul Jurgen Kelter</v>
          </cell>
        </row>
        <row r="720">
          <cell r="B720" t="str">
            <v>Rui Barroso Schimiti</v>
          </cell>
        </row>
        <row r="721">
          <cell r="B721" t="str">
            <v>Fernanda Liboni Cavicchioli</v>
          </cell>
        </row>
        <row r="722">
          <cell r="B722" t="str">
            <v>Gislaine Aparecida Suzuki</v>
          </cell>
        </row>
        <row r="723">
          <cell r="B723" t="str">
            <v>Saulo Pfeffer Geber</v>
          </cell>
        </row>
        <row r="724">
          <cell r="B724" t="str">
            <v>Marco Aurelio Fornazieri</v>
          </cell>
        </row>
        <row r="725">
          <cell r="B725" t="str">
            <v>Gustavo Lenci Marques</v>
          </cell>
        </row>
        <row r="726">
          <cell r="B726" t="str">
            <v>Andressa Marianne Salles Engelmann</v>
          </cell>
        </row>
        <row r="727">
          <cell r="B727" t="str">
            <v>Maria Alice Witt</v>
          </cell>
        </row>
        <row r="728">
          <cell r="B728" t="str">
            <v>Kamila Colombo</v>
          </cell>
        </row>
        <row r="729">
          <cell r="B729" t="str">
            <v>Tania Cristina Silva Barbieri</v>
          </cell>
        </row>
        <row r="730">
          <cell r="B730" t="str">
            <v>Daniel Pala Abeche</v>
          </cell>
        </row>
        <row r="731">
          <cell r="B731" t="str">
            <v>Paulo Henrique Guilman Tanizawa</v>
          </cell>
        </row>
        <row r="732">
          <cell r="B732" t="str">
            <v>Erika Hoyama</v>
          </cell>
        </row>
        <row r="733">
          <cell r="B733" t="str">
            <v>Glaucio Henrique Matsushita Moro</v>
          </cell>
        </row>
        <row r="734">
          <cell r="B734" t="str">
            <v>Joice De Oliveira Petrecca Tomaschitz</v>
          </cell>
        </row>
        <row r="735">
          <cell r="B735" t="str">
            <v>Lindsey Mitie Nakakogue</v>
          </cell>
        </row>
        <row r="736">
          <cell r="B736" t="str">
            <v>Deborah Iuri Tazima</v>
          </cell>
        </row>
        <row r="737">
          <cell r="B737" t="str">
            <v>Ronaldo Silveira De Paiva</v>
          </cell>
        </row>
        <row r="738">
          <cell r="B738" t="str">
            <v>Francine Dutra Mattei</v>
          </cell>
        </row>
        <row r="739">
          <cell r="B739" t="str">
            <v>Carmen Lucia Kuniyoshi Rebelatto</v>
          </cell>
        </row>
        <row r="740">
          <cell r="B740" t="str">
            <v>Nadina Aparecida Moreno</v>
          </cell>
        </row>
        <row r="741">
          <cell r="B741" t="str">
            <v>Alisson Rocha Machado</v>
          </cell>
        </row>
        <row r="742">
          <cell r="B742" t="str">
            <v>Jose Antonio Miguel</v>
          </cell>
        </row>
        <row r="743">
          <cell r="B743" t="str">
            <v>Celso Apparecido Athayde Neto</v>
          </cell>
        </row>
        <row r="744">
          <cell r="B744" t="str">
            <v>Gislayne Carvalho Fragoso</v>
          </cell>
        </row>
        <row r="745">
          <cell r="B745" t="str">
            <v>Camila Arfelli Cabrera</v>
          </cell>
        </row>
        <row r="746">
          <cell r="B746" t="str">
            <v>Douglas Meguru Hiraga</v>
          </cell>
        </row>
        <row r="747">
          <cell r="B747" t="str">
            <v>Luiz Carlos Cantanhede Fernandes Junior</v>
          </cell>
        </row>
        <row r="748">
          <cell r="B748" t="str">
            <v>Regina Celia Poli Frederico</v>
          </cell>
        </row>
        <row r="749">
          <cell r="B749" t="str">
            <v>Clayton Santos Do Couto</v>
          </cell>
        </row>
        <row r="750">
          <cell r="B750" t="str">
            <v>Hudson Prestes Dos Santos</v>
          </cell>
        </row>
        <row r="751">
          <cell r="B751" t="str">
            <v>Michael Hiromi Zampronio Miyazaki</v>
          </cell>
        </row>
        <row r="752">
          <cell r="B752" t="str">
            <v>Ewerton De Sa Kaviski</v>
          </cell>
        </row>
        <row r="753">
          <cell r="B753" t="str">
            <v>Evary Elys Anghinoni</v>
          </cell>
        </row>
        <row r="754">
          <cell r="B754" t="str">
            <v>Cristina Maria De Aguiar Pastore</v>
          </cell>
        </row>
        <row r="755">
          <cell r="B755" t="str">
            <v>Luiz Alberto Vivan</v>
          </cell>
        </row>
        <row r="756">
          <cell r="B756" t="str">
            <v>Adriano Kulpa</v>
          </cell>
        </row>
        <row r="757">
          <cell r="B757" t="str">
            <v>Camila Monteiro Mazzarin Borges</v>
          </cell>
        </row>
        <row r="758">
          <cell r="B758" t="str">
            <v>Ivana Shizue Imayuki Duarte Mechailech</v>
          </cell>
        </row>
        <row r="759">
          <cell r="B759" t="str">
            <v>Leandro Feijo Sonnberger</v>
          </cell>
        </row>
        <row r="760">
          <cell r="B760" t="str">
            <v>Francine Milenkovich Belinetti</v>
          </cell>
        </row>
        <row r="761">
          <cell r="B761" t="str">
            <v>Maria Cristina Figueroa Magalhaes</v>
          </cell>
        </row>
        <row r="762">
          <cell r="B762" t="str">
            <v>Pedro Guilherme Ribeiro Piccoli</v>
          </cell>
        </row>
        <row r="763">
          <cell r="B763" t="str">
            <v>Joao Victor Pereira Da Silva</v>
          </cell>
        </row>
        <row r="764">
          <cell r="B764" t="str">
            <v>Jheniffer Lopes Pereira</v>
          </cell>
        </row>
        <row r="765">
          <cell r="B765" t="str">
            <v>Raphael Donadio Pitta</v>
          </cell>
        </row>
        <row r="766">
          <cell r="B766" t="str">
            <v>Gisele Rietow Bertotti</v>
          </cell>
        </row>
        <row r="767">
          <cell r="B767" t="str">
            <v>Vilmar Abreu Junior</v>
          </cell>
        </row>
        <row r="768">
          <cell r="B768" t="str">
            <v>Juliana Schaia Rocha Orsi</v>
          </cell>
        </row>
        <row r="769">
          <cell r="B769" t="str">
            <v>Sueli Almeida De Oliveira</v>
          </cell>
        </row>
        <row r="770">
          <cell r="B770" t="str">
            <v>Raphael Chrystopher Borguezan</v>
          </cell>
        </row>
        <row r="771">
          <cell r="B771" t="str">
            <v>Andrea Luiza Curralinho Braga</v>
          </cell>
        </row>
        <row r="772">
          <cell r="B772" t="str">
            <v>Luiz Fernando Bianchini</v>
          </cell>
        </row>
        <row r="773">
          <cell r="B773" t="str">
            <v>Cassia Regina Nogueira Guimaraes</v>
          </cell>
        </row>
        <row r="774">
          <cell r="B774" t="str">
            <v>Roberto Gomes Tarle</v>
          </cell>
        </row>
        <row r="775">
          <cell r="B775" t="str">
            <v>Emerson Ribeiro Palma</v>
          </cell>
        </row>
        <row r="776">
          <cell r="B776" t="str">
            <v>Carlos Eduardo Coral De Oliveira</v>
          </cell>
        </row>
        <row r="777">
          <cell r="B777" t="str">
            <v>Barbara Raquel Do Prado Gimenez Correa</v>
          </cell>
        </row>
        <row r="778">
          <cell r="B778" t="str">
            <v>Eros Luiz De Sousa</v>
          </cell>
        </row>
        <row r="779">
          <cell r="B779" t="str">
            <v>Emanuel Da Silveira Faleiros</v>
          </cell>
        </row>
        <row r="780">
          <cell r="B780" t="str">
            <v>Paulo Cesar Philippi</v>
          </cell>
        </row>
        <row r="781">
          <cell r="B781" t="str">
            <v>Mariana Grassi Noya</v>
          </cell>
        </row>
        <row r="782">
          <cell r="B782" t="str">
            <v>Erika Okuno</v>
          </cell>
        </row>
        <row r="783">
          <cell r="B783" t="str">
            <v>Beatriz Daou Verenhitach</v>
          </cell>
        </row>
        <row r="784">
          <cell r="B784" t="str">
            <v>Edineia Lopes Da Cruz Souza</v>
          </cell>
        </row>
        <row r="785">
          <cell r="B785" t="str">
            <v>Barbara Pick Ornaghi</v>
          </cell>
        </row>
        <row r="786">
          <cell r="B786" t="str">
            <v>Madalena De Faria Sampaio</v>
          </cell>
        </row>
        <row r="787">
          <cell r="B787" t="str">
            <v>Katia Alessandra Pastori Terrin</v>
          </cell>
        </row>
        <row r="788">
          <cell r="B788" t="str">
            <v>Jose Eduardo Nunes Lino</v>
          </cell>
        </row>
        <row r="789">
          <cell r="B789" t="str">
            <v>Maria Celia Nogueira Pinto E Borgo Bzuneck</v>
          </cell>
        </row>
        <row r="790">
          <cell r="B790" t="str">
            <v>Fatima Mitsie Chibana Soares</v>
          </cell>
        </row>
        <row r="791">
          <cell r="B791" t="str">
            <v>Leonardo Valente De Camargo</v>
          </cell>
        </row>
        <row r="792">
          <cell r="B792" t="str">
            <v>Silvia Carreira Ribeiro</v>
          </cell>
        </row>
        <row r="793">
          <cell r="B793" t="str">
            <v>Ana Magda Magnani</v>
          </cell>
        </row>
        <row r="794">
          <cell r="B794" t="str">
            <v>Carolina De Miranda Pineli Alves</v>
          </cell>
        </row>
        <row r="795">
          <cell r="B795" t="str">
            <v>Luiz Carlos Ribeiro Neduziak</v>
          </cell>
        </row>
        <row r="796">
          <cell r="B796" t="str">
            <v>Keliani Bordin</v>
          </cell>
        </row>
        <row r="797">
          <cell r="B797" t="str">
            <v>Joachim Andrade</v>
          </cell>
        </row>
        <row r="798">
          <cell r="B798" t="str">
            <v>Ana Claudia Da Silva Palomares</v>
          </cell>
        </row>
        <row r="799">
          <cell r="B799" t="str">
            <v>Sheyla Cristina Da Silva</v>
          </cell>
        </row>
        <row r="800">
          <cell r="B800" t="str">
            <v>Paulo Adilson Herrera</v>
          </cell>
        </row>
        <row r="801">
          <cell r="B801" t="str">
            <v>Guilherme Freire De Melo Barros</v>
          </cell>
        </row>
        <row r="802">
          <cell r="B802" t="str">
            <v>Pedro Augusto Gomes Achete</v>
          </cell>
        </row>
        <row r="803">
          <cell r="B803" t="str">
            <v>Adriana Oliveira Andrade Batistella</v>
          </cell>
        </row>
        <row r="804">
          <cell r="B804" t="str">
            <v>Eron Fabio Miranda</v>
          </cell>
        </row>
        <row r="805">
          <cell r="B805" t="str">
            <v>Gabriela Boschetti</v>
          </cell>
        </row>
        <row r="806">
          <cell r="B806" t="str">
            <v>Daniel Ferreira Fernandes Vieira</v>
          </cell>
        </row>
        <row r="807">
          <cell r="B807" t="str">
            <v>Silvia Paulino Ribeiro Albanese</v>
          </cell>
        </row>
        <row r="808">
          <cell r="B808" t="str">
            <v>Ruda Ryuiti Furukita Baptista</v>
          </cell>
        </row>
        <row r="809">
          <cell r="B809" t="str">
            <v>Joao Paulo Fernandes Guerreiro</v>
          </cell>
        </row>
        <row r="810">
          <cell r="B810" t="str">
            <v>Wilson Liuti Costa Junior</v>
          </cell>
        </row>
        <row r="811">
          <cell r="B811" t="str">
            <v>Jamile Da Costa Riechi</v>
          </cell>
        </row>
        <row r="812">
          <cell r="B812" t="str">
            <v>Cristian Schmidt</v>
          </cell>
        </row>
        <row r="813">
          <cell r="B813" t="str">
            <v>Roberto Nentwig</v>
          </cell>
        </row>
        <row r="814">
          <cell r="B814" t="str">
            <v>Camila Hartmann</v>
          </cell>
        </row>
        <row r="815">
          <cell r="B815" t="str">
            <v>Lenise Aubrift Klenk</v>
          </cell>
        </row>
        <row r="816">
          <cell r="B816" t="str">
            <v>Eric Grieger Banholzer</v>
          </cell>
        </row>
        <row r="817">
          <cell r="B817" t="str">
            <v>Guilherme Rodolfo Rittel</v>
          </cell>
        </row>
        <row r="818">
          <cell r="B818" t="str">
            <v>Rossana Amin Graciano De Resende</v>
          </cell>
        </row>
        <row r="819">
          <cell r="B819" t="str">
            <v>Thalita Folmann Da Silva</v>
          </cell>
        </row>
        <row r="820">
          <cell r="B820" t="str">
            <v>Ana Caroline Dariva Chula</v>
          </cell>
        </row>
        <row r="821">
          <cell r="B821" t="str">
            <v>Gilberto Reynoso Meza</v>
          </cell>
        </row>
        <row r="822">
          <cell r="B822" t="str">
            <v>Horacio Alvarenga Moreira</v>
          </cell>
        </row>
        <row r="823">
          <cell r="B823" t="str">
            <v>Isabela Mayumi Nakanishi Takaki</v>
          </cell>
        </row>
        <row r="824">
          <cell r="B824" t="str">
            <v>Murilo Karasinski</v>
          </cell>
        </row>
        <row r="825">
          <cell r="B825" t="str">
            <v>Daniele Farfus</v>
          </cell>
        </row>
        <row r="826">
          <cell r="B826" t="str">
            <v>Rafael Direito Teixeira</v>
          </cell>
        </row>
        <row r="827">
          <cell r="B827" t="str">
            <v>Marcio De Abreu Moreira</v>
          </cell>
        </row>
        <row r="828">
          <cell r="B828" t="str">
            <v>Jocemara Gurmini</v>
          </cell>
        </row>
        <row r="829">
          <cell r="B829" t="str">
            <v>Rogerio De Fraga</v>
          </cell>
        </row>
        <row r="830">
          <cell r="B830" t="str">
            <v>Juliano De Trotta</v>
          </cell>
        </row>
        <row r="831">
          <cell r="B831" t="str">
            <v>Priscila Daiane Pavezzi Di Rico</v>
          </cell>
        </row>
        <row r="832">
          <cell r="B832" t="str">
            <v>Graciliano Jose Franca</v>
          </cell>
        </row>
        <row r="833">
          <cell r="B833" t="str">
            <v>Leonardo Cavalheiro Martinez</v>
          </cell>
        </row>
        <row r="834">
          <cell r="B834" t="str">
            <v>Alysson Vitor Da Silva</v>
          </cell>
        </row>
        <row r="835">
          <cell r="B835" t="str">
            <v>Roberta Carolina De Afonseca E Silva</v>
          </cell>
        </row>
        <row r="836">
          <cell r="B836" t="str">
            <v>Fernanda Raquel Thomaz De Araujo</v>
          </cell>
        </row>
        <row r="837">
          <cell r="B837" t="str">
            <v>Khalil Gibran Martins Zeraik Abdalla</v>
          </cell>
        </row>
        <row r="838">
          <cell r="B838" t="str">
            <v>Ricardo Aurino De Pinho</v>
          </cell>
        </row>
        <row r="839">
          <cell r="B839" t="str">
            <v>Elizabeth Ribeiro Martins</v>
          </cell>
        </row>
        <row r="840">
          <cell r="B840" t="str">
            <v>Mariana Couto Siqueira</v>
          </cell>
        </row>
        <row r="841">
          <cell r="B841" t="str">
            <v>Sergio Luiz Manenti</v>
          </cell>
        </row>
        <row r="842">
          <cell r="B842" t="str">
            <v>Thabata Cristy Zermiani</v>
          </cell>
        </row>
        <row r="843">
          <cell r="B843" t="str">
            <v>Adonis Nasr</v>
          </cell>
        </row>
        <row r="844">
          <cell r="B844" t="str">
            <v>Mauricio Montemezzo</v>
          </cell>
        </row>
        <row r="845">
          <cell r="B845" t="str">
            <v>Barbara Stadler Kahlow</v>
          </cell>
        </row>
        <row r="846">
          <cell r="B846" t="str">
            <v>Rafaela Franco Claudino</v>
          </cell>
        </row>
        <row r="847">
          <cell r="B847" t="str">
            <v>Eduardo Antonio Andrade Dos Santos</v>
          </cell>
        </row>
        <row r="848">
          <cell r="B848" t="str">
            <v>Carlos Renato Cunha</v>
          </cell>
        </row>
        <row r="849">
          <cell r="B849" t="str">
            <v>Patricia Verlingue Ramires Monteiro</v>
          </cell>
        </row>
        <row r="850">
          <cell r="B850" t="str">
            <v>Caroline Busatta Vaz De Paula</v>
          </cell>
        </row>
        <row r="851">
          <cell r="B851" t="str">
            <v>Uiara Raiana Vargas De Castro Oliveira Ribeiro</v>
          </cell>
        </row>
        <row r="852">
          <cell r="B852" t="str">
            <v>Andrea Duarte Doetzer</v>
          </cell>
        </row>
        <row r="853">
          <cell r="B853" t="str">
            <v>Katia Ethienne Esteves Dos Santos</v>
          </cell>
        </row>
        <row r="854">
          <cell r="B854" t="str">
            <v>Jean Paul Barddal</v>
          </cell>
        </row>
        <row r="855">
          <cell r="B855" t="str">
            <v>Telma Blanca Lombardo Bedran</v>
          </cell>
        </row>
        <row r="856">
          <cell r="B856" t="str">
            <v>Itibere Piaia Bernardi</v>
          </cell>
        </row>
        <row r="857">
          <cell r="B857" t="str">
            <v>Marco Cesar Jorge Dos Santos</v>
          </cell>
        </row>
        <row r="858">
          <cell r="B858" t="str">
            <v>Marion Burger</v>
          </cell>
        </row>
        <row r="859">
          <cell r="B859" t="str">
            <v>Miguel Ibraim Abboud Hanna Sobrinho</v>
          </cell>
        </row>
        <row r="860">
          <cell r="B860" t="str">
            <v>Rogerio Goulart Da Costa</v>
          </cell>
        </row>
        <row r="861">
          <cell r="B861" t="str">
            <v>Fabrizio Zandonadi Catenassi</v>
          </cell>
        </row>
        <row r="862">
          <cell r="B862" t="str">
            <v>Sarah Fagundes Grobe</v>
          </cell>
        </row>
        <row r="863">
          <cell r="B863" t="str">
            <v>Edson Marcos Campos Lessa Junior</v>
          </cell>
        </row>
        <row r="864">
          <cell r="B864" t="str">
            <v>Adans Pablo Carvalho</v>
          </cell>
        </row>
        <row r="865">
          <cell r="B865" t="str">
            <v>Caio Augusto Camargo Da Silva</v>
          </cell>
        </row>
        <row r="866">
          <cell r="B866" t="str">
            <v>Vanessa Araujo Sales</v>
          </cell>
        </row>
        <row r="867">
          <cell r="B867" t="str">
            <v>Douglas Thayna Vieira De Souza</v>
          </cell>
        </row>
        <row r="868">
          <cell r="B868" t="str">
            <v>Flavia Costa Prevedello</v>
          </cell>
        </row>
        <row r="869">
          <cell r="B869" t="str">
            <v>Adailton Sergio Pupia</v>
          </cell>
        </row>
        <row r="870">
          <cell r="B870" t="str">
            <v>Cinthia Schimith Silva Coelho</v>
          </cell>
        </row>
        <row r="871">
          <cell r="B871" t="str">
            <v>Mariano De Almeida Menezes</v>
          </cell>
        </row>
        <row r="872">
          <cell r="B872" t="str">
            <v>Jan Pawel Andrade Pachnicki</v>
          </cell>
        </row>
        <row r="873">
          <cell r="B873" t="str">
            <v>Rudolf Eduard Von Sinner</v>
          </cell>
        </row>
        <row r="874">
          <cell r="B874" t="str">
            <v>Camila Bizarro Da Silva</v>
          </cell>
        </row>
        <row r="875">
          <cell r="B875" t="str">
            <v>Larissa Hermann De Souza Nunes</v>
          </cell>
        </row>
        <row r="876">
          <cell r="B876" t="str">
            <v>Aline Cristina Zanchettin</v>
          </cell>
        </row>
        <row r="877">
          <cell r="B877" t="str">
            <v>Cesar Ribeiro Zuccoli</v>
          </cell>
        </row>
        <row r="878">
          <cell r="B878" t="str">
            <v>Ricardo Lucatto Baida</v>
          </cell>
        </row>
        <row r="879">
          <cell r="B879" t="str">
            <v>Vitor Loureiro Dias</v>
          </cell>
        </row>
        <row r="880">
          <cell r="B880" t="str">
            <v>Luiz Fernando Veloso Borba Navolar</v>
          </cell>
        </row>
        <row r="881">
          <cell r="B881" t="str">
            <v>Andreia Ribeiro Da Luz</v>
          </cell>
        </row>
        <row r="882">
          <cell r="B882" t="str">
            <v>Sheyla Mara Coraiola</v>
          </cell>
        </row>
        <row r="883">
          <cell r="B883" t="str">
            <v>Denise Camarani Revelk</v>
          </cell>
        </row>
        <row r="884">
          <cell r="B884" t="str">
            <v>Flavia Obara Kai</v>
          </cell>
        </row>
        <row r="885">
          <cell r="B885" t="str">
            <v>Eduardo Kugler Viegas</v>
          </cell>
        </row>
        <row r="886">
          <cell r="B886" t="str">
            <v>Paulo Roberto Stoberl</v>
          </cell>
        </row>
        <row r="887">
          <cell r="B887" t="str">
            <v>Cleo Otaviano Mesa Junior</v>
          </cell>
        </row>
        <row r="888">
          <cell r="B888" t="str">
            <v>Silvia Midori Yanai Miyazaki</v>
          </cell>
        </row>
        <row r="889">
          <cell r="B889" t="str">
            <v>Yuri Alexandre Ferrete</v>
          </cell>
        </row>
        <row r="890">
          <cell r="B890" t="str">
            <v>Katherine Dambrowski</v>
          </cell>
        </row>
        <row r="891">
          <cell r="B891" t="str">
            <v>Eduardo Lopes Martins</v>
          </cell>
        </row>
        <row r="892">
          <cell r="B892" t="str">
            <v>Gustavo Wandresen</v>
          </cell>
        </row>
        <row r="893">
          <cell r="B893" t="str">
            <v>Juliana Conceicao Noschang Da Costa</v>
          </cell>
        </row>
        <row r="894">
          <cell r="B894" t="str">
            <v>Herbert De Proenca Lopes</v>
          </cell>
        </row>
        <row r="895">
          <cell r="B895" t="str">
            <v>Shimeny Michelato Yoshiy</v>
          </cell>
        </row>
        <row r="896">
          <cell r="B896" t="str">
            <v>Viviane De Souza Pinho Costa</v>
          </cell>
        </row>
        <row r="897">
          <cell r="B897" t="str">
            <v>Fernanda Paola Butarelli</v>
          </cell>
        </row>
        <row r="898">
          <cell r="B898" t="str">
            <v>Ana Beatriz Dias Pinto</v>
          </cell>
        </row>
        <row r="899">
          <cell r="B899" t="str">
            <v>Maria Clara Jaeger Godoy</v>
          </cell>
        </row>
        <row r="900">
          <cell r="B900" t="str">
            <v>Mauricio Orlando Wilmsen</v>
          </cell>
        </row>
        <row r="901">
          <cell r="B901" t="str">
            <v>Oswaldo Giacoia Junior</v>
          </cell>
        </row>
        <row r="902">
          <cell r="B902" t="str">
            <v>Rolnei Rua Daros</v>
          </cell>
        </row>
        <row r="903">
          <cell r="B903" t="str">
            <v>Lucas Emanuel Silva E Oliveira</v>
          </cell>
        </row>
        <row r="904">
          <cell r="B904" t="str">
            <v>Rodolfo Stancki Silva</v>
          </cell>
        </row>
        <row r="905">
          <cell r="B905" t="str">
            <v>Mauricio Perin Neves Da Silva</v>
          </cell>
        </row>
        <row r="906">
          <cell r="B906" t="str">
            <v>Fabiola Brenner Hilgenberg</v>
          </cell>
        </row>
        <row r="907">
          <cell r="B907" t="str">
            <v>Frank Coelho De Alcantara</v>
          </cell>
        </row>
        <row r="908">
          <cell r="B908" t="str">
            <v>Lucas Casonato Jacinto</v>
          </cell>
        </row>
        <row r="909">
          <cell r="B909" t="str">
            <v>Paulo Vinicius Prestia Custodio</v>
          </cell>
        </row>
        <row r="910">
          <cell r="B910" t="str">
            <v>Henrique Demeneck</v>
          </cell>
        </row>
        <row r="911">
          <cell r="B911" t="str">
            <v>Mariana Collete</v>
          </cell>
        </row>
        <row r="912">
          <cell r="B912" t="str">
            <v>Myenne Mieko Ayres Tsutsumi</v>
          </cell>
        </row>
        <row r="913">
          <cell r="B913" t="str">
            <v>Alexandre Camilotti Gasperin</v>
          </cell>
        </row>
        <row r="914">
          <cell r="B914" t="str">
            <v>Rebeca Fernandes Dias</v>
          </cell>
        </row>
        <row r="915">
          <cell r="B915" t="str">
            <v>Carlos Eduardo Pereira Dutra</v>
          </cell>
        </row>
        <row r="916">
          <cell r="B916" t="str">
            <v>Vinicius Basso Preti</v>
          </cell>
        </row>
        <row r="917">
          <cell r="B917" t="str">
            <v>Calue Papcke</v>
          </cell>
        </row>
        <row r="918">
          <cell r="B918" t="str">
            <v>Matheus Lenci Marques</v>
          </cell>
        </row>
        <row r="919">
          <cell r="B919" t="str">
            <v>Luiza Sviesk Sprung</v>
          </cell>
        </row>
        <row r="920">
          <cell r="B920" t="str">
            <v>Hewerton Fernandes Da Silva</v>
          </cell>
        </row>
        <row r="921">
          <cell r="B921" t="str">
            <v>Maxiliano Ribeiro</v>
          </cell>
        </row>
        <row r="922">
          <cell r="B922" t="str">
            <v>Tiago Morales Calve</v>
          </cell>
        </row>
        <row r="923">
          <cell r="B923" t="str">
            <v>Tiago Adelino Navarro</v>
          </cell>
        </row>
        <row r="924">
          <cell r="B924" t="str">
            <v>Nilza Teresinha Faoro</v>
          </cell>
        </row>
        <row r="925">
          <cell r="B925" t="str">
            <v>Anna Flavia Ribeiro Dos Santos Miggiolaro</v>
          </cell>
        </row>
        <row r="926">
          <cell r="B926" t="str">
            <v>Glaison Aurelio Pellanda</v>
          </cell>
        </row>
        <row r="927">
          <cell r="B927" t="str">
            <v>Carlos Frederico Oldenburg Neto</v>
          </cell>
        </row>
        <row r="928">
          <cell r="B928" t="str">
            <v>Fernanda Schier De Fraga</v>
          </cell>
        </row>
        <row r="929">
          <cell r="B929" t="str">
            <v>Joseane Maria Andrade Mouzinho De Oliveira</v>
          </cell>
        </row>
        <row r="930">
          <cell r="B930" t="str">
            <v>Roberto Franzini Tibaldeo</v>
          </cell>
        </row>
        <row r="931">
          <cell r="B931" t="str">
            <v>Diego Pereira De Meira</v>
          </cell>
        </row>
        <row r="932">
          <cell r="B932" t="str">
            <v>Edivane Valeria Alburnio</v>
          </cell>
        </row>
        <row r="933">
          <cell r="B933" t="str">
            <v>Ricardo De Amorim Cini</v>
          </cell>
        </row>
        <row r="934">
          <cell r="B934" t="str">
            <v>Viviana Raquel Zurro</v>
          </cell>
        </row>
        <row r="935">
          <cell r="B935" t="str">
            <v>Gilberto Gaertner</v>
          </cell>
        </row>
        <row r="936">
          <cell r="B936" t="str">
            <v>Debora Patricia Nemer Pinheiro</v>
          </cell>
        </row>
        <row r="937">
          <cell r="B937" t="str">
            <v>Matheus De Lima Goedert</v>
          </cell>
        </row>
        <row r="938">
          <cell r="B938" t="str">
            <v>Andre Gustavo Hochuli</v>
          </cell>
        </row>
        <row r="939">
          <cell r="B939" t="str">
            <v>Jessica Naihara Nunes Bueno</v>
          </cell>
        </row>
        <row r="940">
          <cell r="B940" t="str">
            <v>Vinicius Mourao Alves De Souza</v>
          </cell>
        </row>
        <row r="941">
          <cell r="B941" t="str">
            <v>Rodrigo Engelbert</v>
          </cell>
        </row>
        <row r="942">
          <cell r="B942" t="str">
            <v>Luciene Pimentel Da Silva</v>
          </cell>
        </row>
        <row r="943">
          <cell r="B943" t="str">
            <v>Audrey Tieko Tsunoda</v>
          </cell>
        </row>
        <row r="944">
          <cell r="B944" t="str">
            <v>Geisa Tamara Bugs</v>
          </cell>
        </row>
        <row r="945">
          <cell r="B945" t="str">
            <v>Andrea Roloff Lopes</v>
          </cell>
        </row>
        <row r="946">
          <cell r="B946" t="str">
            <v>Vinicius Oro Popp</v>
          </cell>
        </row>
        <row r="947">
          <cell r="B947" t="str">
            <v>Karen Fernandes De Moura Saab</v>
          </cell>
        </row>
        <row r="948">
          <cell r="B948" t="str">
            <v>Liliane Mayumi Swiech</v>
          </cell>
        </row>
        <row r="949">
          <cell r="B949" t="str">
            <v>Rafaella Stradiotto Bernardelli</v>
          </cell>
        </row>
        <row r="950">
          <cell r="B950" t="str">
            <v>Eduardo Moreira Thome</v>
          </cell>
        </row>
        <row r="951">
          <cell r="B951" t="str">
            <v>Raquel Jaqueline Farion</v>
          </cell>
        </row>
        <row r="952">
          <cell r="B952" t="str">
            <v>Luiz Gustavo Piccoli De Melo</v>
          </cell>
        </row>
        <row r="953">
          <cell r="B953" t="str">
            <v>Guilherme Siqueira Vieira</v>
          </cell>
        </row>
        <row r="954">
          <cell r="B954" t="str">
            <v>Marines Dos Santos</v>
          </cell>
        </row>
        <row r="955">
          <cell r="B955" t="str">
            <v>Kauana Vieira Da Rosa Kalache</v>
          </cell>
        </row>
        <row r="956">
          <cell r="B956" t="str">
            <v>Jessica Caroline Dos Santos</v>
          </cell>
        </row>
        <row r="957">
          <cell r="B957" t="str">
            <v>Luciana Bandeira Mendez Ribeiro</v>
          </cell>
        </row>
        <row r="958">
          <cell r="B958" t="str">
            <v>Gustavo Leite Franklin</v>
          </cell>
        </row>
        <row r="959">
          <cell r="B959" t="str">
            <v>Matheus Murmel Guimaraes</v>
          </cell>
        </row>
        <row r="960">
          <cell r="B960" t="str">
            <v>Renata Torri Saldanha Coelho</v>
          </cell>
        </row>
        <row r="961">
          <cell r="B961" t="str">
            <v>Eric Danilo Pauls Sotelo</v>
          </cell>
        </row>
        <row r="962">
          <cell r="B962" t="str">
            <v>Milene Leivas Vieira</v>
          </cell>
        </row>
        <row r="963">
          <cell r="B963" t="str">
            <v>Gracielly Terziotti De Oliveira</v>
          </cell>
        </row>
        <row r="964">
          <cell r="B964" t="str">
            <v>Inara Staub Prochnau</v>
          </cell>
        </row>
        <row r="965">
          <cell r="B965" t="str">
            <v>Karen Mayumi Nakaya</v>
          </cell>
        </row>
        <row r="966">
          <cell r="B966" t="str">
            <v>Hendrigo Bernardi Korndorfer</v>
          </cell>
        </row>
        <row r="967">
          <cell r="B967" t="str">
            <v>Eliandro Reis Tavares</v>
          </cell>
        </row>
        <row r="968">
          <cell r="B968" t="str">
            <v>Cintia Cristina Sarnovski</v>
          </cell>
        </row>
        <row r="969">
          <cell r="B969" t="str">
            <v>Felipe Santos Pereira</v>
          </cell>
        </row>
        <row r="970">
          <cell r="B970" t="str">
            <v>Talita Quinsler Veloso</v>
          </cell>
        </row>
        <row r="971">
          <cell r="B971" t="str">
            <v>Rosilene Fernandes</v>
          </cell>
        </row>
        <row r="972">
          <cell r="B972" t="str">
            <v>Mariana De Mello Gusso Espinola</v>
          </cell>
        </row>
        <row r="973">
          <cell r="B973" t="str">
            <v>Wallisten Passos Garcia</v>
          </cell>
        </row>
        <row r="974">
          <cell r="B974" t="str">
            <v>Thalita Alves Sejanes</v>
          </cell>
        </row>
        <row r="975">
          <cell r="B975" t="str">
            <v>Cleber Kiel Olivo</v>
          </cell>
        </row>
        <row r="976">
          <cell r="B976" t="str">
            <v>Cassia Aparecida Rodrigues</v>
          </cell>
        </row>
        <row r="977">
          <cell r="B977" t="str">
            <v>Simone Dos Reis Brandao Da Silveira</v>
          </cell>
        </row>
        <row r="978">
          <cell r="B978" t="str">
            <v>Guilherme Brittes Benitez</v>
          </cell>
        </row>
        <row r="979">
          <cell r="B979" t="str">
            <v>Marina De Lara</v>
          </cell>
        </row>
        <row r="980">
          <cell r="B980" t="str">
            <v>Sandro Ferreira</v>
          </cell>
        </row>
        <row r="981">
          <cell r="B981" t="str">
            <v>Cleverson Avelino Ferreira</v>
          </cell>
        </row>
        <row r="982">
          <cell r="B982" t="str">
            <v>Anderson Petrauskas</v>
          </cell>
        </row>
        <row r="983">
          <cell r="B983" t="str">
            <v>Jose Cristiano Bento Dos Santos</v>
          </cell>
        </row>
        <row r="984">
          <cell r="B984" t="str">
            <v>Samarah Perszel De Freitas</v>
          </cell>
        </row>
        <row r="985">
          <cell r="B985" t="str">
            <v>Renato Camassutti Bedore</v>
          </cell>
        </row>
        <row r="986">
          <cell r="B986" t="str">
            <v>Jair Henrique Junior</v>
          </cell>
        </row>
        <row r="987">
          <cell r="B987" t="str">
            <v>Edna Maria Vissoci Reiche</v>
          </cell>
        </row>
        <row r="988">
          <cell r="B988" t="str">
            <v>Karen Barros Parron Fernandes</v>
          </cell>
        </row>
        <row r="989">
          <cell r="B989" t="str">
            <v>Raissa Campos D Amico</v>
          </cell>
        </row>
        <row r="990">
          <cell r="B990" t="str">
            <v>Leticia De Pierri</v>
          </cell>
        </row>
        <row r="991">
          <cell r="B991" t="str">
            <v>Ariana Moura Gomes</v>
          </cell>
        </row>
        <row r="992">
          <cell r="B992" t="str">
            <v>Dalton Vinicius Kozak</v>
          </cell>
        </row>
        <row r="993">
          <cell r="B993" t="str">
            <v>Juliano Costa</v>
          </cell>
        </row>
        <row r="994">
          <cell r="B994" t="str">
            <v>Lucas Lautert Dezordi</v>
          </cell>
        </row>
        <row r="995">
          <cell r="B995" t="str">
            <v>Camilo Dallagnol</v>
          </cell>
        </row>
        <row r="996">
          <cell r="B996" t="str">
            <v>Gustavo Grander</v>
          </cell>
        </row>
        <row r="997">
          <cell r="B997" t="str">
            <v>Jossiani Augusta Honorio Dias</v>
          </cell>
        </row>
        <row r="998">
          <cell r="B998" t="str">
            <v>Aline Vaneli Pelizzoni</v>
          </cell>
        </row>
        <row r="999">
          <cell r="B999" t="str">
            <v>Marcio Rodrigues Da Fonseca</v>
          </cell>
        </row>
        <row r="1000">
          <cell r="B1000" t="str">
            <v>Simone Lopes Dos Santos</v>
          </cell>
        </row>
        <row r="1001">
          <cell r="B1001" t="str">
            <v>Gabriel Ernesto Barboza Pereira</v>
          </cell>
        </row>
        <row r="1002">
          <cell r="B1002" t="str">
            <v>Paulina Alejandra Santander Perez</v>
          </cell>
        </row>
        <row r="1003">
          <cell r="B1003" t="str">
            <v>Marilia Silva Malvezzi Karwowski</v>
          </cell>
        </row>
        <row r="1004">
          <cell r="B1004" t="str">
            <v>Otavio Augusto Barbosa Rufino</v>
          </cell>
        </row>
        <row r="1005">
          <cell r="B1005" t="str">
            <v>Felipe Shogo Hiruma</v>
          </cell>
        </row>
        <row r="1006">
          <cell r="B1006" t="str">
            <v>Maurilio Matos Da Silva</v>
          </cell>
        </row>
        <row r="1007">
          <cell r="B1007" t="str">
            <v>Agnes Silva De Araujo</v>
          </cell>
        </row>
        <row r="1008">
          <cell r="B1008" t="str">
            <v>Caroline Schultz Moreira</v>
          </cell>
        </row>
        <row r="1009">
          <cell r="B1009" t="str">
            <v>Rosana Aparecida De Andrade</v>
          </cell>
        </row>
        <row r="1010">
          <cell r="B1010" t="str">
            <v>Alan Rafael De Medeiros</v>
          </cell>
        </row>
        <row r="1011">
          <cell r="B1011" t="str">
            <v>Antonio David Viniski</v>
          </cell>
        </row>
        <row r="1012">
          <cell r="B1012" t="str">
            <v>Ingridhe De Morais Magalhaes</v>
          </cell>
        </row>
        <row r="1013">
          <cell r="B1013" t="str">
            <v>Jessica De Gang</v>
          </cell>
        </row>
        <row r="1014">
          <cell r="B1014" t="str">
            <v>Caina Alves</v>
          </cell>
        </row>
        <row r="1015">
          <cell r="B1015" t="str">
            <v>Luana Kava</v>
          </cell>
        </row>
        <row r="1016">
          <cell r="B1016" t="str">
            <v>Luiz Felipe De Oliveira Pereira</v>
          </cell>
        </row>
        <row r="1017">
          <cell r="B1017" t="str">
            <v>Brenda Giselle Sanchez Leyton</v>
          </cell>
        </row>
        <row r="1018">
          <cell r="B1018" t="str">
            <v>Jenifer Pavan De Paula</v>
          </cell>
        </row>
        <row r="1019">
          <cell r="B1019" t="str">
            <v>Andrea Tuchtenhagen Wendt</v>
          </cell>
        </row>
        <row r="1020">
          <cell r="B1020" t="str">
            <v>Bruna Martins Dzivielevski Da Camara</v>
          </cell>
        </row>
        <row r="1021">
          <cell r="B1021" t="str">
            <v>Aline Bampi</v>
          </cell>
        </row>
        <row r="1022">
          <cell r="B1022" t="str">
            <v>Charles Emmanuel Parchen</v>
          </cell>
        </row>
        <row r="1023">
          <cell r="B1023" t="str">
            <v>Leonardo Murilo Nepomuceno</v>
          </cell>
        </row>
        <row r="1024">
          <cell r="B1024" t="str">
            <v>Helio Emmendoerfer Junior</v>
          </cell>
        </row>
        <row r="1025">
          <cell r="B1025" t="str">
            <v>Gelson Luiz Carneiro</v>
          </cell>
        </row>
        <row r="1026">
          <cell r="B1026" t="str">
            <v>Helison Bertoli Alves Dias</v>
          </cell>
        </row>
        <row r="1027">
          <cell r="B1027" t="str">
            <v>Giulio Domenico Bordin</v>
          </cell>
        </row>
        <row r="1028">
          <cell r="B1028" t="str">
            <v>Bryan Luiz Pontarola</v>
          </cell>
        </row>
        <row r="1029">
          <cell r="B1029" t="str">
            <v>Josiane Regina Krupiniski</v>
          </cell>
        </row>
        <row r="1030">
          <cell r="B1030" t="str">
            <v>Fernando Dias Ferreira</v>
          </cell>
        </row>
        <row r="1031">
          <cell r="B1031" t="str">
            <v>Remom Matheus Bortolozzi</v>
          </cell>
        </row>
        <row r="1032">
          <cell r="B1032" t="str">
            <v>Flavio Freire Carvalho</v>
          </cell>
        </row>
        <row r="1033">
          <cell r="B1033" t="str">
            <v>Luis Gonzaga De Paulo</v>
          </cell>
        </row>
        <row r="1034">
          <cell r="B1034" t="str">
            <v>Andre Tavares Somma</v>
          </cell>
        </row>
        <row r="1035">
          <cell r="B1035" t="str">
            <v>Andreza De Sousa Vieira</v>
          </cell>
        </row>
        <row r="1036">
          <cell r="B1036" t="str">
            <v>Christian Silva Dos Reis</v>
          </cell>
        </row>
        <row r="1037">
          <cell r="B1037" t="str">
            <v>Carolina Rossetti Severo</v>
          </cell>
        </row>
        <row r="1038">
          <cell r="B1038" t="str">
            <v>Marco Antonio Simoes Teixeira</v>
          </cell>
        </row>
        <row r="1039">
          <cell r="B1039" t="str">
            <v>Philipe Quagliato Bellinati</v>
          </cell>
        </row>
        <row r="1040">
          <cell r="B1040" t="str">
            <v>Levino Bertochi Junior</v>
          </cell>
        </row>
        <row r="1041">
          <cell r="B1041" t="str">
            <v>Vanir Aparecida Trombetta</v>
          </cell>
        </row>
        <row r="1042">
          <cell r="B1042" t="str">
            <v>Gustavo David Dos Santos</v>
          </cell>
        </row>
        <row r="1043">
          <cell r="B1043" t="str">
            <v>Anderson Nitsche</v>
          </cell>
        </row>
        <row r="1044">
          <cell r="B1044" t="str">
            <v>Denner Pereira Da Silva</v>
          </cell>
        </row>
        <row r="1045">
          <cell r="B1045" t="str">
            <v>Daniel Emilio Dalledone Siqueira</v>
          </cell>
        </row>
        <row r="1046">
          <cell r="B1046" t="str">
            <v>Pedro Rocha Horchulhack</v>
          </cell>
        </row>
        <row r="1047">
          <cell r="B1047" t="str">
            <v>Andrey Cabral Meira</v>
          </cell>
        </row>
        <row r="1048">
          <cell r="B1048" t="str">
            <v>Ricardo Cesar Lopes</v>
          </cell>
        </row>
        <row r="1049">
          <cell r="B1049" t="str">
            <v>Guilherme Barreto Gameiro Silva</v>
          </cell>
        </row>
        <row r="1050">
          <cell r="B1050" t="str">
            <v>Solange Viaro Padilha</v>
          </cell>
        </row>
        <row r="1051">
          <cell r="B1051" t="str">
            <v>Alison Luis Lando</v>
          </cell>
        </row>
        <row r="1052">
          <cell r="B1052" t="str">
            <v>Jessica Pedrosa Mandelli</v>
          </cell>
        </row>
        <row r="1053">
          <cell r="B1053" t="str">
            <v>Manoel Valerio Da Silveira Neto</v>
          </cell>
        </row>
        <row r="1054">
          <cell r="B1054" t="str">
            <v>Isaque Dos Santos Neves Da Cruz</v>
          </cell>
        </row>
        <row r="1055">
          <cell r="B1055" t="str">
            <v>Ilton Santos Da Silva</v>
          </cell>
        </row>
        <row r="1056">
          <cell r="B1056" t="str">
            <v>Leandro Jose Grebogi Pampuch</v>
          </cell>
        </row>
        <row r="1057">
          <cell r="B1057" t="str">
            <v>Thalita Porto Henequim</v>
          </cell>
        </row>
        <row r="1058">
          <cell r="B1058" t="str">
            <v>Alessandra Brustolin</v>
          </cell>
        </row>
        <row r="1059">
          <cell r="B1059" t="str">
            <v>Joao Alfredo Lopes Nyegray</v>
          </cell>
        </row>
        <row r="1060">
          <cell r="B1060" t="str">
            <v>Patricia Carla Zanelatto Goncalves</v>
          </cell>
        </row>
        <row r="1061">
          <cell r="B1061" t="str">
            <v>Rodrigo Leite Souza Enoque</v>
          </cell>
        </row>
        <row r="1062">
          <cell r="B1062" t="str">
            <v>Ricardo Nunes</v>
          </cell>
        </row>
        <row r="1063">
          <cell r="B1063" t="str">
            <v>Carla Da Ros</v>
          </cell>
        </row>
        <row r="1064">
          <cell r="B1064" t="str">
            <v>Raquel Pereira Rodrigues Leite</v>
          </cell>
        </row>
        <row r="1065">
          <cell r="B1065" t="str">
            <v>Bianca Mendes Rati</v>
          </cell>
        </row>
        <row r="1066">
          <cell r="B1066" t="str">
            <v>Andrei Rafael Brongel</v>
          </cell>
        </row>
        <row r="1067">
          <cell r="B1067" t="str">
            <v>Kassia Renata Da Silva Zanao</v>
          </cell>
        </row>
        <row r="1068">
          <cell r="B1068" t="str">
            <v>Jeancarlo Ribas</v>
          </cell>
        </row>
        <row r="1069">
          <cell r="B1069" t="str">
            <v>Helon Vicente Hultmann Ayala</v>
          </cell>
        </row>
        <row r="1070">
          <cell r="B1070" t="str">
            <v>Michele Alessandra Hastreiter</v>
          </cell>
        </row>
        <row r="1071">
          <cell r="B1071" t="str">
            <v>Adair Jose Pereira Da Rocha</v>
          </cell>
        </row>
        <row r="1072">
          <cell r="B1072" t="str">
            <v>Caroline Hoscheid Werle</v>
          </cell>
        </row>
        <row r="1073">
          <cell r="B1073" t="str">
            <v>Solimar Dutra Da Silveira</v>
          </cell>
        </row>
        <row r="1074">
          <cell r="B1074" t="str">
            <v>Bruno Azzani Braga</v>
          </cell>
        </row>
        <row r="1075">
          <cell r="B1075" t="str">
            <v>Jones Luis Schaefer</v>
          </cell>
        </row>
        <row r="1076">
          <cell r="B1076" t="str">
            <v>Vitor Bertoli Nascimento</v>
          </cell>
        </row>
        <row r="1077">
          <cell r="B1077" t="str">
            <v>Bany Narondy Cabral Lima</v>
          </cell>
        </row>
        <row r="1078">
          <cell r="B1078" t="str">
            <v>Tailine Lisboa</v>
          </cell>
        </row>
        <row r="1079">
          <cell r="B1079" t="str">
            <v>Maria Augusta Nascimento Heim</v>
          </cell>
        </row>
        <row r="1080">
          <cell r="B1080" t="str">
            <v>Vanessa Daufenback Ramos</v>
          </cell>
        </row>
        <row r="1081">
          <cell r="B1081" t="str">
            <v>Rafael Carvalho Machado</v>
          </cell>
        </row>
        <row r="1082">
          <cell r="B1082" t="str">
            <v>Keanu Telles Da Costa</v>
          </cell>
        </row>
        <row r="1083">
          <cell r="B1083" t="str">
            <v>Luana Carla Falcao Reboucas</v>
          </cell>
        </row>
        <row r="1084">
          <cell r="B1084" t="str">
            <v>Anna Luisa Walter De Santana</v>
          </cell>
        </row>
        <row r="1085">
          <cell r="B1085" t="str">
            <v>Thais Fernanda Roberto Oliveira</v>
          </cell>
        </row>
        <row r="1086">
          <cell r="B1086" t="str">
            <v>Marcel Jaqueto</v>
          </cell>
        </row>
        <row r="1087">
          <cell r="B1087" t="str">
            <v>Thais Distefano Wiltenburg Dos Santos</v>
          </cell>
        </row>
        <row r="1088">
          <cell r="B1088" t="str">
            <v>Priscila Beatriz De Souza Medeiros</v>
          </cell>
        </row>
        <row r="1089">
          <cell r="B1089" t="str">
            <v>Vinicius Antonio Hiroaki Sato</v>
          </cell>
        </row>
        <row r="1090">
          <cell r="B1090" t="str">
            <v>Luciana Guidarini Dos Santos</v>
          </cell>
        </row>
        <row r="1091">
          <cell r="B1091" t="str">
            <v>Luana Tonin</v>
          </cell>
        </row>
        <row r="1092">
          <cell r="B1092" t="str">
            <v>Carla Freitas Silveira Netto</v>
          </cell>
        </row>
        <row r="1093">
          <cell r="B1093" t="str">
            <v>Fernanda Frankenberger Silva</v>
          </cell>
        </row>
        <row r="1094">
          <cell r="B1094" t="str">
            <v>Victor Henrique Bento</v>
          </cell>
        </row>
        <row r="1095">
          <cell r="B1095" t="str">
            <v>Marcos Roberto Almeida Dos Santos</v>
          </cell>
        </row>
        <row r="1096">
          <cell r="B1096" t="str">
            <v>Paulo Eduardo Pinheiro Rosa</v>
          </cell>
        </row>
        <row r="1097">
          <cell r="B1097" t="str">
            <v>Willian Mac Cormick Maron</v>
          </cell>
        </row>
        <row r="1098">
          <cell r="B1098" t="str">
            <v>Rodrigo Peixoto Campos</v>
          </cell>
        </row>
        <row r="1099">
          <cell r="B1099" t="str">
            <v>Felipe Ganzert Oliveira</v>
          </cell>
        </row>
        <row r="1100">
          <cell r="B1100" t="str">
            <v>Guilherme Gubert Muller</v>
          </cell>
        </row>
        <row r="1101">
          <cell r="B1101" t="str">
            <v>Ian Luna Parente Brasileiro</v>
          </cell>
        </row>
        <row r="1102">
          <cell r="B1102" t="str">
            <v>Gino Pigatto Filho</v>
          </cell>
        </row>
        <row r="1103">
          <cell r="B1103" t="str">
            <v>Lydia Varela Guerino</v>
          </cell>
        </row>
        <row r="1104">
          <cell r="B1104" t="str">
            <v>Alexandra Ramos Dos Santos</v>
          </cell>
        </row>
        <row r="1105">
          <cell r="B1105" t="str">
            <v>Ana Clara Simoes Florido Almeida</v>
          </cell>
        </row>
        <row r="1106">
          <cell r="B1106" t="str">
            <v>Rafael Lopes Lagos</v>
          </cell>
        </row>
        <row r="1107">
          <cell r="B1107" t="str">
            <v>Bruna Maria De Souza</v>
          </cell>
        </row>
        <row r="1108">
          <cell r="B1108" t="str">
            <v>Jaqueline Costa Castardo De Paula</v>
          </cell>
        </row>
        <row r="1109">
          <cell r="B1109" t="str">
            <v>Jaqueline De Jesus Aschenbrenner</v>
          </cell>
        </row>
        <row r="1110">
          <cell r="B1110" t="str">
            <v>Evandro Alberto Zatti</v>
          </cell>
        </row>
        <row r="1111">
          <cell r="B1111" t="str">
            <v>Paulo Poli Neto</v>
          </cell>
        </row>
        <row r="1112">
          <cell r="B1112" t="str">
            <v>Gisele Francini Devetak Casarotti</v>
          </cell>
        </row>
        <row r="1113">
          <cell r="B1113" t="str">
            <v>Flavio Luiz Von Der Osten</v>
          </cell>
        </row>
        <row r="1114">
          <cell r="B1114" t="str">
            <v>Paulo Eduardo Lopes Da Silva</v>
          </cell>
        </row>
        <row r="1115">
          <cell r="B1115" t="str">
            <v>Iara Lang Martins</v>
          </cell>
        </row>
        <row r="1116">
          <cell r="B1116" t="str">
            <v>Jeanine Marie Nardin</v>
          </cell>
        </row>
        <row r="1117">
          <cell r="B1117" t="str">
            <v>Fernanda Broering Gomes Torres</v>
          </cell>
        </row>
        <row r="1118">
          <cell r="B1118" t="str">
            <v>Demetria Kovelis Monteiro</v>
          </cell>
        </row>
        <row r="1119">
          <cell r="B1119" t="str">
            <v>Rafael Iglesias Menezes Da Silva</v>
          </cell>
        </row>
        <row r="1120">
          <cell r="B1120" t="str">
            <v>Marianna Seixas Greca</v>
          </cell>
        </row>
        <row r="1121">
          <cell r="B1121" t="str">
            <v>Giselle Aparecida Nobre Costa</v>
          </cell>
        </row>
        <row r="1122">
          <cell r="B1122" t="str">
            <v>Kenzo Hokazono</v>
          </cell>
        </row>
        <row r="1123">
          <cell r="B1123" t="str">
            <v>June Alisson Westarb Cruz</v>
          </cell>
        </row>
        <row r="1124">
          <cell r="B1124" t="str">
            <v>Matheus Beltrame Canciglieri</v>
          </cell>
        </row>
        <row r="1125">
          <cell r="B1125" t="str">
            <v>Rafaela Rodrigues Sampaio Nogueira</v>
          </cell>
        </row>
        <row r="1126">
          <cell r="B1126" t="str">
            <v>Joseth Antonia Oliveira Jardim</v>
          </cell>
        </row>
        <row r="1127">
          <cell r="B1127" t="str">
            <v>Daniele Coutinho</v>
          </cell>
        </row>
        <row r="1128">
          <cell r="B1128" t="str">
            <v>Felipe Rangel Da Silva</v>
          </cell>
        </row>
        <row r="1129">
          <cell r="B1129" t="str">
            <v>Lucas De Lima</v>
          </cell>
        </row>
        <row r="1130">
          <cell r="B1130" t="str">
            <v>Lucio Baena De Melo</v>
          </cell>
        </row>
        <row r="1131">
          <cell r="B1131" t="str">
            <v>Joao Felipe Rossival Preto</v>
          </cell>
        </row>
        <row r="1132">
          <cell r="B1132" t="str">
            <v>Maira Carvalho Gallucci</v>
          </cell>
        </row>
        <row r="1133">
          <cell r="B1133" t="str">
            <v>Patricia Tendolini Oliveira De Melo</v>
          </cell>
        </row>
        <row r="1134">
          <cell r="B1134" t="str">
            <v>Clara Nasser Scherer</v>
          </cell>
        </row>
        <row r="1135">
          <cell r="B1135" t="str">
            <v>Eduardo Alcantara Quidigno</v>
          </cell>
        </row>
        <row r="1136">
          <cell r="B1136" t="str">
            <v>Thais Scaglione</v>
          </cell>
        </row>
        <row r="1137">
          <cell r="B1137" t="str">
            <v>Marcia Maria Alves</v>
          </cell>
        </row>
        <row r="1138">
          <cell r="B1138" t="str">
            <v>Eliane Fatima Rocha Engelsing</v>
          </cell>
        </row>
        <row r="1139">
          <cell r="B1139" t="str">
            <v>Joelton Deonei Gotz</v>
          </cell>
        </row>
        <row r="1140">
          <cell r="B1140" t="str">
            <v>Marcos Batistella Lopes</v>
          </cell>
        </row>
        <row r="1141">
          <cell r="B1141" t="str">
            <v>Ana Paula De Almeida Rocha</v>
          </cell>
        </row>
        <row r="1142">
          <cell r="B1142" t="str">
            <v>Rodrigo Pasti</v>
          </cell>
        </row>
        <row r="1143">
          <cell r="B1143" t="str">
            <v>Demian Da Silveira Barcellos</v>
          </cell>
        </row>
        <row r="1144">
          <cell r="B1144" t="str">
            <v>Luciano Ayres De Mello</v>
          </cell>
        </row>
        <row r="1145">
          <cell r="B1145" t="str">
            <v>Danilo Arnaut Saraiva</v>
          </cell>
        </row>
        <row r="1146">
          <cell r="B1146" t="str">
            <v>Pedro Henrique Carvalho Da Costa</v>
          </cell>
        </row>
        <row r="1147">
          <cell r="B1147" t="str">
            <v>Holisses Bellon</v>
          </cell>
        </row>
        <row r="1148">
          <cell r="B1148" t="str">
            <v>Jose Ademar Kaefer</v>
          </cell>
        </row>
        <row r="1149">
          <cell r="B1149" t="str">
            <v>Silvia Karla Azevedo Vieira Andrade</v>
          </cell>
        </row>
        <row r="1150">
          <cell r="B1150" t="str">
            <v>Felipe De Oliveira Souza</v>
          </cell>
        </row>
        <row r="1151">
          <cell r="B1151" t="str">
            <v>Evelin Monique Ferreira Da Silva</v>
          </cell>
        </row>
        <row r="1152">
          <cell r="B1152" t="str">
            <v>Diego Barboza Pires</v>
          </cell>
        </row>
        <row r="1153">
          <cell r="B1153" t="str">
            <v>Leonardo Silva De Lima</v>
          </cell>
        </row>
        <row r="1154">
          <cell r="B1154" t="str">
            <v>Eduardo Augusto Da Silva Carvalho</v>
          </cell>
        </row>
        <row r="1155">
          <cell r="B1155" t="str">
            <v>Edson Jose Da Silva Rocha Filho</v>
          </cell>
        </row>
        <row r="1156">
          <cell r="B1156" t="str">
            <v>Victor Henrique Alves Ribeiro</v>
          </cell>
        </row>
        <row r="1157">
          <cell r="B1157" t="str">
            <v>Rayson Bartoski Laroca Dos Santos</v>
          </cell>
        </row>
        <row r="1158">
          <cell r="B1158" t="str">
            <v>Ivilyn Weigert</v>
          </cell>
        </row>
        <row r="1159">
          <cell r="B1159" t="str">
            <v>Francis Fregonesi Brinholi</v>
          </cell>
        </row>
        <row r="1160">
          <cell r="B1160" t="str">
            <v>Hugo Leonardo Martins Correa</v>
          </cell>
        </row>
        <row r="1161">
          <cell r="B1161" t="str">
            <v>Cristiane Senn</v>
          </cell>
        </row>
        <row r="1162">
          <cell r="B1162" t="str">
            <v>Dailson Regis Prati</v>
          </cell>
        </row>
        <row r="1163">
          <cell r="B1163" t="str">
            <v>Daniella Maito</v>
          </cell>
        </row>
        <row r="1164">
          <cell r="B1164" t="str">
            <v>Cynthia Gruendling Juruena</v>
          </cell>
        </row>
        <row r="1165">
          <cell r="B1165" t="str">
            <v>Juliana Lima Liconti</v>
          </cell>
        </row>
        <row r="1166">
          <cell r="B1166" t="str">
            <v>Halina Macedo Leal</v>
          </cell>
        </row>
        <row r="1167">
          <cell r="B1167" t="str">
            <v>Emmanuel Souza Da Rocha</v>
          </cell>
        </row>
        <row r="1168">
          <cell r="B1168" t="str">
            <v>Thatyanne Gradowski Farias Da Costa Do Nascimento</v>
          </cell>
        </row>
        <row r="1169">
          <cell r="B1169" t="str">
            <v>Denise Silveira Barbosa</v>
          </cell>
        </row>
        <row r="1170">
          <cell r="B1170" t="str">
            <v>Roberth Miniguine Tavanti</v>
          </cell>
        </row>
        <row r="1171">
          <cell r="B1171" t="str">
            <v>Patricia Rucker De Bassi</v>
          </cell>
        </row>
        <row r="1172">
          <cell r="B1172" t="str">
            <v>Marco Aurelio Cruciol Rodrigues</v>
          </cell>
        </row>
        <row r="1173">
          <cell r="B1173" t="str">
            <v>Luiz Eduardo De Paula</v>
          </cell>
        </row>
        <row r="1174">
          <cell r="B1174" t="str">
            <v>Paulo Cesar Busato</v>
          </cell>
        </row>
        <row r="1175">
          <cell r="B1175" t="str">
            <v>Henrique Furlan Pauna</v>
          </cell>
        </row>
        <row r="1176">
          <cell r="B1176" t="str">
            <v>Fabiana Dos Santos Monti</v>
          </cell>
        </row>
        <row r="1177">
          <cell r="B1177" t="str">
            <v>Edisom Paula Brum</v>
          </cell>
        </row>
        <row r="1178">
          <cell r="B1178" t="str">
            <v>Caroline De Paula Venezian Riccetto</v>
          </cell>
        </row>
        <row r="1179">
          <cell r="B1179" t="str">
            <v>Maycon Renan Da Silva Santos Boni</v>
          </cell>
        </row>
        <row r="1180">
          <cell r="B1180" t="str">
            <v>Danielle Denes Dos Santos</v>
          </cell>
        </row>
        <row r="1181">
          <cell r="B1181" t="str">
            <v>Abimael Alves De Oliveira Junior</v>
          </cell>
        </row>
        <row r="1182">
          <cell r="B1182" t="str">
            <v>Ludmila Andrzejewski Culpi</v>
          </cell>
        </row>
        <row r="1183">
          <cell r="B1183" t="str">
            <v>Newton Carvalhal Santos Junior</v>
          </cell>
        </row>
        <row r="1184">
          <cell r="B1184" t="str">
            <v>Bruno Bertoli Esmanhotto</v>
          </cell>
        </row>
        <row r="1185">
          <cell r="B1185" t="str">
            <v>Leticia Pascelli Sant Ana Santos</v>
          </cell>
        </row>
        <row r="1186">
          <cell r="B1186" t="str">
            <v>Lilian Pamela Tapia Carreno Dornbusch</v>
          </cell>
        </row>
        <row r="1187">
          <cell r="B1187" t="str">
            <v>Luka David Lechinewski</v>
          </cell>
        </row>
        <row r="1188">
          <cell r="B1188" t="str">
            <v>Aramis Hornung Moraes</v>
          </cell>
        </row>
        <row r="1189">
          <cell r="B1189" t="str">
            <v>Leonardo Campos Teixeira</v>
          </cell>
        </row>
        <row r="1190">
          <cell r="B1190" t="str">
            <v>Rodrigo Luis Vogt</v>
          </cell>
        </row>
        <row r="1191">
          <cell r="B1191" t="str">
            <v>Cesar Augusto Kuzma</v>
          </cell>
        </row>
        <row r="1192">
          <cell r="B1192" t="str">
            <v>Francine Fabiana Ozaki</v>
          </cell>
        </row>
        <row r="1193">
          <cell r="B1193" t="str">
            <v>Anna Catarina Gatzk De Arruda</v>
          </cell>
        </row>
        <row r="1194">
          <cell r="B1194" t="str">
            <v>Fernanda Dias De Moraes</v>
          </cell>
        </row>
        <row r="1195">
          <cell r="B1195" t="str">
            <v>Luana Aparecida Oliveira Da Silva</v>
          </cell>
        </row>
        <row r="1196">
          <cell r="B1196" t="str">
            <v>Laura Alves Santos</v>
          </cell>
        </row>
        <row r="1197">
          <cell r="B1197" t="str">
            <v>Antonio Carlos Mercer</v>
          </cell>
        </row>
        <row r="1198">
          <cell r="B1198" t="str">
            <v>Djeimi Angela Leonhardt Neske</v>
          </cell>
        </row>
        <row r="1199">
          <cell r="B1199" t="str">
            <v>Caio Henrique De Oliveira Carniatto</v>
          </cell>
        </row>
        <row r="1200">
          <cell r="B1200" t="str">
            <v>Tatiane Mary Gogola</v>
          </cell>
        </row>
        <row r="1201">
          <cell r="B1201" t="str">
            <v>Manuela Torrado Truiti</v>
          </cell>
        </row>
        <row r="1202">
          <cell r="B1202" t="str">
            <v>Leonardo Rafael De Souza</v>
          </cell>
        </row>
        <row r="1203">
          <cell r="B1203" t="str">
            <v>Natalia Cardoso Winter</v>
          </cell>
        </row>
        <row r="1204">
          <cell r="B1204" t="str">
            <v>Simone Pereira Silva</v>
          </cell>
        </row>
        <row r="1205">
          <cell r="B1205" t="str">
            <v>Rejane Ecker</v>
          </cell>
        </row>
        <row r="1206">
          <cell r="B1206" t="str">
            <v>Eliana Benatti</v>
          </cell>
        </row>
        <row r="1207">
          <cell r="B1207" t="str">
            <v>Ana Carolina De Souza Costa</v>
          </cell>
        </row>
        <row r="1208">
          <cell r="B1208" t="str">
            <v>Jefferson Jovelino Amaral Dos Santos</v>
          </cell>
        </row>
        <row r="1209">
          <cell r="B1209" t="str">
            <v>Fernando Roberto Roman</v>
          </cell>
        </row>
        <row r="1210">
          <cell r="B1210" t="str">
            <v>Lisiane Reips</v>
          </cell>
        </row>
        <row r="1211">
          <cell r="B1211" t="str">
            <v>Gustavo Luiz Olichevis Halila</v>
          </cell>
        </row>
        <row r="1212">
          <cell r="B1212" t="str">
            <v>Roberta Ferrari De Sa</v>
          </cell>
        </row>
        <row r="1213">
          <cell r="B1213" t="str">
            <v>Geucimar Briatore</v>
          </cell>
        </row>
        <row r="1214">
          <cell r="B1214" t="str">
            <v>Fabio Garcez Bettio</v>
          </cell>
        </row>
        <row r="1215">
          <cell r="B1215" t="str">
            <v>Everson Luiz Oliveira Motta</v>
          </cell>
        </row>
        <row r="1216">
          <cell r="B1216" t="str">
            <v>Patricia Fonseca Ferreira Fleury</v>
          </cell>
        </row>
        <row r="1217">
          <cell r="B1217" t="str">
            <v>Maristela Regina Weinfurter Teixeira</v>
          </cell>
        </row>
        <row r="1218">
          <cell r="B1218" t="str">
            <v>Mateus Nunes Da Silva</v>
          </cell>
        </row>
        <row r="1219">
          <cell r="B1219" t="str">
            <v>Juliana Carvalho Pavao</v>
          </cell>
        </row>
        <row r="1220">
          <cell r="B1220" t="str">
            <v>Leo Natan Paschoal</v>
          </cell>
        </row>
        <row r="1221">
          <cell r="B1221" t="str">
            <v>Josemar Batista</v>
          </cell>
        </row>
        <row r="1222">
          <cell r="B1222" t="str">
            <v>Camila Batista</v>
          </cell>
        </row>
        <row r="1223">
          <cell r="B1223" t="str">
            <v>Paula Cenira Senger De Castro</v>
          </cell>
        </row>
        <row r="1224">
          <cell r="B1224" t="str">
            <v>Everton Cardoso Leite</v>
          </cell>
        </row>
        <row r="1225">
          <cell r="B1225" t="str">
            <v>Karina De Guadalupe Bertoldi Girotto</v>
          </cell>
        </row>
        <row r="1226">
          <cell r="B1226" t="str">
            <v>Juliana Puka</v>
          </cell>
        </row>
        <row r="1227">
          <cell r="B1227" t="str">
            <v>Renan Battisti Archer</v>
          </cell>
        </row>
        <row r="1228">
          <cell r="B1228" t="str">
            <v>Francisco Santos Lima</v>
          </cell>
        </row>
        <row r="1229">
          <cell r="B1229" t="str">
            <v>Eduardo Roncatto</v>
          </cell>
        </row>
        <row r="1230">
          <cell r="B1230" t="str">
            <v>Rogerio Luiz Aires Lima</v>
          </cell>
        </row>
        <row r="1231">
          <cell r="B1231" t="str">
            <v>Felicio Aragao Savioli</v>
          </cell>
        </row>
        <row r="1232">
          <cell r="B1232" t="str">
            <v>Eloisa Cristina Goncalves</v>
          </cell>
        </row>
        <row r="1233">
          <cell r="B1233" t="str">
            <v>Nicole Chagas Lima</v>
          </cell>
        </row>
        <row r="1234">
          <cell r="B1234" t="str">
            <v>Carlos Arteaga Rodriguez</v>
          </cell>
        </row>
        <row r="1235">
          <cell r="B1235" t="str">
            <v>Paulo Henrique Reis Negreiros</v>
          </cell>
        </row>
        <row r="1236">
          <cell r="B1236" t="str">
            <v>Igor Barcellos</v>
          </cell>
        </row>
        <row r="1237">
          <cell r="B1237" t="str">
            <v>Tatiana Von Hertwig Fernandes De Oliveira Kumer</v>
          </cell>
        </row>
        <row r="1238">
          <cell r="B1238" t="str">
            <v>Mariana Malucelli</v>
          </cell>
        </row>
        <row r="1239">
          <cell r="B1239" t="str">
            <v>Carlos Humberto Guilman Tanizawa</v>
          </cell>
        </row>
        <row r="1240">
          <cell r="B1240" t="str">
            <v>Carlos Manoel Jacopetti Almeida</v>
          </cell>
        </row>
        <row r="1241">
          <cell r="B1241" t="str">
            <v>Daniel Constantino Cunha</v>
          </cell>
        </row>
        <row r="1242">
          <cell r="B1242" t="str">
            <v>Antonio Carlos Kovaleski</v>
          </cell>
        </row>
        <row r="1243">
          <cell r="B1243" t="str">
            <v>Sarah Sgavioli</v>
          </cell>
        </row>
        <row r="1244">
          <cell r="B1244" t="str">
            <v>Ana Vitoria Cassis Dos Santos Gasparine</v>
          </cell>
        </row>
        <row r="1245">
          <cell r="B1245" t="str">
            <v>Julia Izadora Da Silva Martins</v>
          </cell>
        </row>
        <row r="1246">
          <cell r="B1246" t="str">
            <v>Talles Bazeia Lima</v>
          </cell>
        </row>
        <row r="1247">
          <cell r="B1247" t="str">
            <v>Liz Yumi Saguti</v>
          </cell>
        </row>
        <row r="1248">
          <cell r="B1248" t="str">
            <v>Fabio Montagna Sekiyama</v>
          </cell>
        </row>
        <row r="1249">
          <cell r="B1249" t="str">
            <v>Anna Herminia Castro Gomes De Amorim</v>
          </cell>
        </row>
        <row r="1250">
          <cell r="B1250" t="str">
            <v>Francisco Inacio Da Silva Mallmann</v>
          </cell>
        </row>
        <row r="1251">
          <cell r="B1251" t="str">
            <v>Ana Valeria De Pieri Brancher Alvarez</v>
          </cell>
        </row>
        <row r="1252">
          <cell r="B1252" t="str">
            <v>Luiz Henrique Eloy Amado</v>
          </cell>
        </row>
        <row r="1253">
          <cell r="B1253" t="str">
            <v>Luiz Guilherme Nunes Cicotte</v>
          </cell>
        </row>
        <row r="1254">
          <cell r="B1254" t="str">
            <v>Paulo Augusto Cauchick Miguel</v>
          </cell>
        </row>
        <row r="1255">
          <cell r="B1255" t="str">
            <v>Carina Honorio Rotter</v>
          </cell>
        </row>
        <row r="1256">
          <cell r="B1256" t="str">
            <v>Jonas Krause</v>
          </cell>
        </row>
        <row r="1257">
          <cell r="B1257" t="str">
            <v>Walter Mazuroski</v>
          </cell>
        </row>
        <row r="1258">
          <cell r="B1258" t="str">
            <v>Leticia Nazzari</v>
          </cell>
        </row>
        <row r="1259">
          <cell r="B1259" t="str">
            <v>Alexandre Daronco</v>
          </cell>
        </row>
        <row r="1260">
          <cell r="B1260" t="str">
            <v>Willian Bosquette Rosa</v>
          </cell>
        </row>
        <row r="1261">
          <cell r="B1261" t="str">
            <v>Jessica Tomimitsu Rodrigues</v>
          </cell>
        </row>
        <row r="1262">
          <cell r="B1262" t="str">
            <v>Daniele Rosevics Oliveira</v>
          </cell>
        </row>
        <row r="1263">
          <cell r="B1263" t="str">
            <v>Cesar Augusto Capellari</v>
          </cell>
        </row>
        <row r="1264">
          <cell r="B1264" t="str">
            <v>Andrea Mora De Marco Novellino</v>
          </cell>
        </row>
        <row r="1265">
          <cell r="B1265" t="str">
            <v>Bruna Roberta Silveira Berbert</v>
          </cell>
        </row>
        <row r="1266">
          <cell r="B1266" t="str">
            <v>Leticia Fernandes Belo</v>
          </cell>
        </row>
        <row r="1267">
          <cell r="B1267" t="str">
            <v>Leticia De Oliveira Borba</v>
          </cell>
        </row>
        <row r="1268">
          <cell r="B1268" t="str">
            <v>Thais Sibioni Berti Bastos</v>
          </cell>
        </row>
        <row r="1269">
          <cell r="B1269" t="str">
            <v>Patricia Aparecida Bortolloti</v>
          </cell>
        </row>
        <row r="1270">
          <cell r="B1270" t="str">
            <v>Fernando Ferraz Faria</v>
          </cell>
        </row>
        <row r="1271">
          <cell r="B1271" t="str">
            <v>Lariane Mortean Ono</v>
          </cell>
        </row>
        <row r="1272">
          <cell r="B1272" t="str">
            <v>Marcelo Cardoso Ferrari</v>
          </cell>
        </row>
        <row r="1273">
          <cell r="B1273" t="str">
            <v>Bruno Raphael Da Cunha Dobicz</v>
          </cell>
        </row>
        <row r="1274">
          <cell r="B1274" t="str">
            <v>Luciana Gibbert</v>
          </cell>
        </row>
        <row r="1275">
          <cell r="B1275" t="str">
            <v>Ana Beatriz Francisco De Melo</v>
          </cell>
        </row>
        <row r="1276">
          <cell r="B1276" t="str">
            <v>Decio Zanoni Junior</v>
          </cell>
        </row>
        <row r="1277">
          <cell r="B1277" t="str">
            <v>Luciana Elisabete Savaris</v>
          </cell>
        </row>
        <row r="1278">
          <cell r="B1278" t="str">
            <v>Fernanda Mara Gibran Bauer</v>
          </cell>
        </row>
        <row r="1279">
          <cell r="B1279" t="str">
            <v>Miriam Olivia Knopik Ferraz</v>
          </cell>
        </row>
        <row r="1280">
          <cell r="B1280" t="str">
            <v>Anna Paula Zanoni Steinke</v>
          </cell>
        </row>
        <row r="1281">
          <cell r="B1281" t="str">
            <v>Maiara Silva Tramonte</v>
          </cell>
        </row>
        <row r="1282">
          <cell r="B1282" t="str">
            <v>Edna Torres Felicio</v>
          </cell>
        </row>
        <row r="1283">
          <cell r="B1283" t="str">
            <v>Bruno Leal Vianna</v>
          </cell>
        </row>
        <row r="1284">
          <cell r="B1284" t="str">
            <v>Michelle Silva Zeny</v>
          </cell>
        </row>
        <row r="1285">
          <cell r="B1285" t="str">
            <v>Saulo Vinicius Da Rosa</v>
          </cell>
        </row>
        <row r="1286">
          <cell r="B1286" t="str">
            <v>Rodrigo Lange</v>
          </cell>
        </row>
        <row r="1287">
          <cell r="B1287" t="str">
            <v>Tatiane Zahn Cardoso Rolim</v>
          </cell>
        </row>
        <row r="1288">
          <cell r="B1288" t="str">
            <v>Suzana Maria Menezes Guariente</v>
          </cell>
        </row>
        <row r="1289">
          <cell r="B1289" t="str">
            <v>Ramon Gomes Da Silva</v>
          </cell>
        </row>
        <row r="1290">
          <cell r="B1290" t="str">
            <v>Ana Carla Werneck</v>
          </cell>
        </row>
        <row r="1291">
          <cell r="B1291" t="str">
            <v>Patricia Zaganin Camilo Rosa</v>
          </cell>
        </row>
        <row r="1292">
          <cell r="B1292" t="str">
            <v>Fernando Cavazotti Coelho</v>
          </cell>
        </row>
        <row r="1293">
          <cell r="B1293" t="str">
            <v>Livia Sissi Goncalves Souza Piechnik</v>
          </cell>
        </row>
        <row r="1294">
          <cell r="B1294" t="str">
            <v>Manoela Massuchetto Jazar</v>
          </cell>
        </row>
        <row r="1295">
          <cell r="B1295" t="str">
            <v>Luan Gustavo Rodrigues</v>
          </cell>
        </row>
        <row r="1296">
          <cell r="B1296" t="str">
            <v>Leticia Pophal Cutisque</v>
          </cell>
        </row>
        <row r="1297">
          <cell r="B1297" t="str">
            <v>Felipe De Poli De Siqueira</v>
          </cell>
        </row>
        <row r="1298">
          <cell r="B1298" t="str">
            <v>Nairana Radtke Caneppele Bussler</v>
          </cell>
        </row>
        <row r="1299">
          <cell r="B1299" t="str">
            <v>Juan Edson Cabrera Quispe</v>
          </cell>
        </row>
        <row r="1300">
          <cell r="B1300" t="str">
            <v>Diogo Jose Varaschin De Oliveira</v>
          </cell>
        </row>
        <row r="1301">
          <cell r="B1301" t="str">
            <v>Jaqueline Coelho Visentin</v>
          </cell>
        </row>
        <row r="1302">
          <cell r="B1302" t="str">
            <v>Ligia Ziegler Samuel</v>
          </cell>
        </row>
        <row r="1303">
          <cell r="B1303" t="str">
            <v>Andre Rogerio Berto</v>
          </cell>
        </row>
        <row r="1304">
          <cell r="B1304" t="str">
            <v>Joao Antonio De Freitas Coelho</v>
          </cell>
        </row>
        <row r="1305">
          <cell r="B1305" t="str">
            <v>Ana Paula Sakr Hubie</v>
          </cell>
        </row>
        <row r="1306">
          <cell r="B1306" t="str">
            <v>Paula Hitomi Sakiyama Luconi</v>
          </cell>
        </row>
        <row r="1307">
          <cell r="B1307" t="str">
            <v>Andre Luiz Batista</v>
          </cell>
        </row>
        <row r="1308">
          <cell r="B1308" t="str">
            <v>Eduardo Zorzo Sartoretto</v>
          </cell>
        </row>
        <row r="1309">
          <cell r="B1309" t="str">
            <v>Jameson Borges Da Silva</v>
          </cell>
        </row>
        <row r="1310">
          <cell r="B1310" t="str">
            <v>Ana Carla Campos Hidalgo De Almeida</v>
          </cell>
        </row>
        <row r="1311">
          <cell r="B1311" t="str">
            <v>Mateus Justi Luvizotto</v>
          </cell>
        </row>
        <row r="1312">
          <cell r="B1312" t="str">
            <v>Julio Cesar Ferreira</v>
          </cell>
        </row>
        <row r="1313">
          <cell r="B1313" t="str">
            <v>Marcos Felipe Iparraguirre Nunovero</v>
          </cell>
        </row>
        <row r="1314">
          <cell r="B1314" t="str">
            <v>Thiago Henrique Roza</v>
          </cell>
        </row>
        <row r="1315">
          <cell r="B1315" t="str">
            <v>Fernanda Mattias Sartori</v>
          </cell>
        </row>
        <row r="1316">
          <cell r="B1316" t="str">
            <v>Graciana Lucia Grespan Victor</v>
          </cell>
        </row>
        <row r="1317">
          <cell r="B1317" t="str">
            <v>Dayane Moz</v>
          </cell>
        </row>
        <row r="1318">
          <cell r="B1318" t="str">
            <v>Fernanda Cristina Barros Neves</v>
          </cell>
        </row>
        <row r="1319">
          <cell r="B1319" t="str">
            <v>Leticia Kraft</v>
          </cell>
        </row>
        <row r="1320">
          <cell r="B1320" t="str">
            <v>Gustavo Yuho Endo</v>
          </cell>
        </row>
        <row r="1321">
          <cell r="B1321" t="str">
            <v>Gustavo Augusto Luzia Vizzotto</v>
          </cell>
        </row>
        <row r="1322">
          <cell r="B1322" t="str">
            <v>Airton Oliveira Silva Trento</v>
          </cell>
        </row>
        <row r="1323">
          <cell r="B1323" t="str">
            <v>Bruna Luiza Do Nascimento Gonchorosky</v>
          </cell>
        </row>
        <row r="1324">
          <cell r="B1324" t="str">
            <v>Kelly Cristina Bordignon Gomes</v>
          </cell>
        </row>
        <row r="1325">
          <cell r="B1325" t="str">
            <v>Mauro Buss</v>
          </cell>
        </row>
        <row r="1326">
          <cell r="B1326" t="str">
            <v>Amalia Ferronato</v>
          </cell>
        </row>
        <row r="1327">
          <cell r="B1327" t="str">
            <v>Mozart Marques Walz</v>
          </cell>
        </row>
        <row r="1328">
          <cell r="B1328" t="str">
            <v>Emmanuel Stessy Amoa Rodrigues Da Guia Nyamien</v>
          </cell>
        </row>
        <row r="1329">
          <cell r="B1329" t="str">
            <v>Fabiano De Lima Tykalowitz</v>
          </cell>
        </row>
        <row r="1330">
          <cell r="B1330" t="str">
            <v>Patricia Minatovicz Ferreira Doblinski</v>
          </cell>
        </row>
        <row r="1331">
          <cell r="B1331" t="str">
            <v>William Cesar Bispo Barreto</v>
          </cell>
        </row>
        <row r="1332">
          <cell r="B1332" t="str">
            <v>Denise Maria Cotoman</v>
          </cell>
        </row>
        <row r="1333">
          <cell r="B1333" t="str">
            <v>Renata Rodrigues Lawder</v>
          </cell>
        </row>
        <row r="1334">
          <cell r="B1334" t="str">
            <v>Cleyson Mathias Morais Delvoss</v>
          </cell>
        </row>
        <row r="1335">
          <cell r="B1335" t="str">
            <v>Claudia Veloso Mueller</v>
          </cell>
        </row>
        <row r="1336">
          <cell r="B1336" t="str">
            <v>Letycia Boechat Ferreira Gomes</v>
          </cell>
        </row>
        <row r="1337">
          <cell r="B1337" t="str">
            <v>Lucelia Maria Goncalves</v>
          </cell>
        </row>
        <row r="1338">
          <cell r="B1338" t="str">
            <v>Mariana Muzzolon</v>
          </cell>
        </row>
        <row r="1339">
          <cell r="B1339" t="str">
            <v>Matheus Takemi Muchon Nakatani</v>
          </cell>
        </row>
        <row r="1340">
          <cell r="B1340" t="str">
            <v>Rafaela Aparecida De Almeida</v>
          </cell>
        </row>
        <row r="1341">
          <cell r="B1341" t="str">
            <v>Beatriz Moreira Bezerra Vieira</v>
          </cell>
        </row>
        <row r="1342">
          <cell r="B1342" t="str">
            <v>Yan Pedro Lazarotto Goncalves</v>
          </cell>
        </row>
        <row r="1343">
          <cell r="B1343" t="str">
            <v>Natali Laise Zamboni Hoff</v>
          </cell>
        </row>
        <row r="1344">
          <cell r="B1344" t="str">
            <v>Javan Ataide De Oliveira Junior</v>
          </cell>
        </row>
        <row r="1345">
          <cell r="B1345" t="str">
            <v>Diego Luiz Krause</v>
          </cell>
        </row>
        <row r="1346">
          <cell r="B1346" t="str">
            <v>Sidnei Rinaldo Priolo Filho</v>
          </cell>
        </row>
        <row r="1347">
          <cell r="B1347" t="str">
            <v>Felipe Augusto Przysiada</v>
          </cell>
        </row>
        <row r="1348">
          <cell r="B1348" t="str">
            <v>Fernando Cavalheiro Krauzer</v>
          </cell>
        </row>
        <row r="1349">
          <cell r="B1349" t="str">
            <v>Marcelo Augusto Goncalves Bardi</v>
          </cell>
        </row>
        <row r="1350">
          <cell r="B1350" t="str">
            <v>Milena Da Silva Lorencete</v>
          </cell>
        </row>
        <row r="1351">
          <cell r="B1351" t="str">
            <v>Deoclecio Junior Cardoso Da Silva</v>
          </cell>
        </row>
        <row r="1352">
          <cell r="B1352" t="str">
            <v>Leila Scucato Marcal</v>
          </cell>
        </row>
        <row r="1353">
          <cell r="B1353" t="str">
            <v>Ana Luiza Chalusnhak</v>
          </cell>
        </row>
        <row r="1354">
          <cell r="B1354" t="str">
            <v>Luiz Osorio Moraes Panza</v>
          </cell>
        </row>
        <row r="1355">
          <cell r="B1355" t="str">
            <v>Debora Normanton Sombrio</v>
          </cell>
        </row>
        <row r="1356">
          <cell r="B1356" t="str">
            <v>Mariana Xavier De Lima</v>
          </cell>
        </row>
        <row r="1357">
          <cell r="B1357" t="str">
            <v>Andreza Cristina Baggio</v>
          </cell>
        </row>
        <row r="1358">
          <cell r="B1358" t="str">
            <v>Adriano Yoshio Shimbo</v>
          </cell>
        </row>
        <row r="1359">
          <cell r="B1359" t="str">
            <v>Fernanda Medeiros Assef</v>
          </cell>
        </row>
        <row r="1360">
          <cell r="B1360" t="str">
            <v>Yohanna Vieira Juk</v>
          </cell>
        </row>
        <row r="1361">
          <cell r="B1361" t="str">
            <v>Maria Isabel Lovo Martins Busch Pereira</v>
          </cell>
        </row>
        <row r="1362">
          <cell r="B1362" t="str">
            <v>Alexandre Ruiz Da Rosa</v>
          </cell>
        </row>
        <row r="1363">
          <cell r="B1363" t="str">
            <v>Andrieli Caroline Mehl</v>
          </cell>
        </row>
        <row r="1364">
          <cell r="B1364" t="str">
            <v>Eliane Bogo Cabeca</v>
          </cell>
        </row>
        <row r="1365">
          <cell r="B1365" t="str">
            <v>Gabriel Alexandre Bozza</v>
          </cell>
        </row>
        <row r="1366">
          <cell r="B1366" t="str">
            <v>Jackson Luis Schirigatti</v>
          </cell>
        </row>
        <row r="1367">
          <cell r="B1367" t="str">
            <v>Fabio Henrique Faria</v>
          </cell>
        </row>
        <row r="1368">
          <cell r="B1368" t="str">
            <v>Rhaquel Tessele</v>
          </cell>
        </row>
        <row r="1369">
          <cell r="B1369" t="str">
            <v>Gabriel Girardi</v>
          </cell>
        </row>
        <row r="1370">
          <cell r="B1370" t="str">
            <v>Carlos Henrique Kuretzki</v>
          </cell>
        </row>
        <row r="1371">
          <cell r="B1371" t="str">
            <v>Bruno Henrique Do Rosario Xavier</v>
          </cell>
        </row>
        <row r="1372">
          <cell r="B1372" t="str">
            <v>Denis Massatsugu Ueda</v>
          </cell>
        </row>
        <row r="1373">
          <cell r="B1373" t="str">
            <v>Nilton Cesar Monastier Kleina</v>
          </cell>
        </row>
        <row r="1374">
          <cell r="B1374" t="str">
            <v>Jean Gabriel Vieira Coutinho</v>
          </cell>
        </row>
        <row r="1375">
          <cell r="B1375" t="str">
            <v>Aryel Marlus Repula De Oliveira</v>
          </cell>
        </row>
        <row r="1376">
          <cell r="B1376" t="str">
            <v>Emile Fernandes Spinassi Teixeira</v>
          </cell>
        </row>
        <row r="1377">
          <cell r="B1377" t="str">
            <v>Alexandra Ferreira Martins Ribeiro</v>
          </cell>
        </row>
        <row r="1378">
          <cell r="B1378" t="str">
            <v>Jeferson Da Costa Vaz</v>
          </cell>
        </row>
        <row r="1379">
          <cell r="B1379" t="str">
            <v>Alanna Silva Huk Farias</v>
          </cell>
        </row>
        <row r="1380">
          <cell r="B1380" t="str">
            <v>Carlos Eduardo Alves Garcia</v>
          </cell>
        </row>
        <row r="1381">
          <cell r="B1381" t="str">
            <v>Felipe Napolitano Da Fonseca</v>
          </cell>
        </row>
        <row r="1382">
          <cell r="B1382" t="str">
            <v>Claudio Marlus Skora</v>
          </cell>
        </row>
        <row r="1383">
          <cell r="B1383" t="str">
            <v>David Xavier Assis</v>
          </cell>
        </row>
        <row r="1384">
          <cell r="B1384" t="str">
            <v>Devanir Avigo Junior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ª semana"/>
      <sheetName val="2ª semana"/>
      <sheetName val="3ª semana"/>
      <sheetName val="4ª semana"/>
      <sheetName val="5ª semana"/>
    </sheetNames>
    <sheetDataSet>
      <sheetData sheetId="0"/>
      <sheetData sheetId="1"/>
      <sheetData sheetId="2"/>
      <sheetData sheetId="3"/>
      <sheetData sheetId="4">
        <row r="1">
          <cell r="B1" t="str">
            <v>Docente</v>
          </cell>
          <cell r="E1" t="str">
            <v>Status 27/04</v>
          </cell>
          <cell r="F1" t="str">
            <v>Status 28/04</v>
          </cell>
          <cell r="G1" t="str">
            <v>Status 29/04</v>
          </cell>
          <cell r="H1" t="str">
            <v>Status 30/04</v>
          </cell>
        </row>
        <row r="2">
          <cell r="B2" t="str">
            <v>ABEL ESTEVES SOARES</v>
          </cell>
          <cell r="E2" t="str">
            <v>APROVADO</v>
          </cell>
          <cell r="F2" t="str">
            <v>APROVADO</v>
          </cell>
          <cell r="G2" t="str">
            <v>APROVADO</v>
          </cell>
          <cell r="H2" t="str">
            <v>APROVADO</v>
          </cell>
        </row>
        <row r="3">
          <cell r="B3" t="str">
            <v>ABIMAEL ALVES DE OLIVEIRA JUNIOR</v>
          </cell>
          <cell r="E3" t="str">
            <v>APROVADO</v>
          </cell>
          <cell r="F3" t="str">
            <v>APROVADO</v>
          </cell>
          <cell r="G3" t="str">
            <v>APROVADO</v>
          </cell>
          <cell r="H3" t="str">
            <v>APROVADO</v>
          </cell>
        </row>
        <row r="4">
          <cell r="B4" t="str">
            <v>ADAILTON SERGIO PUPIA</v>
          </cell>
          <cell r="E4" t="str">
            <v>APROVADO</v>
          </cell>
          <cell r="F4" t="str">
            <v>APROVADO</v>
          </cell>
          <cell r="G4" t="str">
            <v>APROVADO</v>
          </cell>
          <cell r="H4" t="str">
            <v>APROVADO</v>
          </cell>
        </row>
        <row r="5">
          <cell r="B5" t="str">
            <v>ADAIR JOSE PEREIRA DA ROCHA</v>
          </cell>
          <cell r="E5" t="str">
            <v>APROVADO</v>
          </cell>
          <cell r="F5" t="str">
            <v>APROVADO</v>
          </cell>
          <cell r="G5" t="str">
            <v>APROVADO</v>
          </cell>
          <cell r="H5" t="str">
            <v>APROVADO</v>
          </cell>
        </row>
        <row r="6">
          <cell r="B6" t="str">
            <v>ADALGISA APARECIDA DE OLIVEIRA GONCALVES</v>
          </cell>
          <cell r="E6" t="str">
            <v>APROVADO</v>
          </cell>
          <cell r="F6" t="str">
            <v>APROVADO</v>
          </cell>
          <cell r="G6" t="str">
            <v>APROVADO</v>
          </cell>
          <cell r="H6" t="str">
            <v>APROVADO</v>
          </cell>
        </row>
        <row r="7">
          <cell r="B7" t="str">
            <v>ADANS PABLO CARVALHO</v>
          </cell>
          <cell r="E7" t="str">
            <v>APROVADO</v>
          </cell>
          <cell r="F7" t="str">
            <v>APROVADO</v>
          </cell>
          <cell r="G7" t="str">
            <v>APROVADO</v>
          </cell>
          <cell r="H7" t="str">
            <v>APROVADO</v>
          </cell>
        </row>
        <row r="8">
          <cell r="B8" t="str">
            <v>ADONIS NASR</v>
          </cell>
          <cell r="E8" t="str">
            <v>APROVADO</v>
          </cell>
          <cell r="F8" t="str">
            <v>APROVADO</v>
          </cell>
          <cell r="G8" t="str">
            <v>APROVADO</v>
          </cell>
          <cell r="H8" t="str">
            <v>APROVADO</v>
          </cell>
        </row>
        <row r="9">
          <cell r="B9" t="str">
            <v>ADRIANA APARECIDA DAMBROS DA SILVA</v>
          </cell>
          <cell r="E9" t="str">
            <v>APROVADO</v>
          </cell>
          <cell r="F9" t="str">
            <v>APROVADO</v>
          </cell>
          <cell r="G9" t="str">
            <v>APROVADO</v>
          </cell>
          <cell r="H9" t="str">
            <v>APROVADO</v>
          </cell>
        </row>
        <row r="10">
          <cell r="B10" t="str">
            <v>ADRIANA CRISTINA CORSICO DITTMAR</v>
          </cell>
          <cell r="E10" t="str">
            <v>APROVADO</v>
          </cell>
          <cell r="F10" t="str">
            <v>APROVADO</v>
          </cell>
          <cell r="G10" t="str">
            <v>APROVADO</v>
          </cell>
          <cell r="H10" t="str">
            <v>APROVADO</v>
          </cell>
        </row>
        <row r="11">
          <cell r="B11" t="str">
            <v>ADRIANA DIAS BASSETO</v>
          </cell>
          <cell r="E11" t="str">
            <v>APROVADO</v>
          </cell>
          <cell r="F11" t="str">
            <v>APROVADO</v>
          </cell>
          <cell r="G11" t="str">
            <v>APROVADO</v>
          </cell>
          <cell r="H11" t="str">
            <v>APROVADO</v>
          </cell>
        </row>
        <row r="12">
          <cell r="B12" t="str">
            <v>ADRIANA MARTELLO VALERO</v>
          </cell>
          <cell r="E12" t="str">
            <v>APROVADO</v>
          </cell>
          <cell r="F12" t="str">
            <v>APROVADO</v>
          </cell>
          <cell r="G12" t="str">
            <v>APROVADO</v>
          </cell>
          <cell r="H12" t="str">
            <v>APROVADO</v>
          </cell>
        </row>
        <row r="13">
          <cell r="B13" t="str">
            <v>ADRIANA MOCELIM</v>
          </cell>
          <cell r="E13" t="str">
            <v>APROVADO</v>
          </cell>
          <cell r="F13" t="str">
            <v>APROVADO</v>
          </cell>
          <cell r="G13" t="str">
            <v>APROVADO</v>
          </cell>
          <cell r="H13" t="str">
            <v>APROVADO</v>
          </cell>
        </row>
        <row r="14">
          <cell r="B14" t="str">
            <v>ADRIANA OLIVEIRA ANDRADE BATISTELLA</v>
          </cell>
          <cell r="E14" t="str">
            <v>APROVADO</v>
          </cell>
          <cell r="F14" t="str">
            <v>APROVADO</v>
          </cell>
          <cell r="G14" t="str">
            <v>APROVADO</v>
          </cell>
          <cell r="H14" t="str">
            <v>APROVADO</v>
          </cell>
        </row>
        <row r="15">
          <cell r="B15" t="str">
            <v>ADRIANE REICHERT FARIA</v>
          </cell>
          <cell r="E15" t="str">
            <v>APROVADO</v>
          </cell>
          <cell r="F15" t="str">
            <v>APROVADO</v>
          </cell>
          <cell r="G15" t="str">
            <v>APROVADO</v>
          </cell>
          <cell r="H15" t="str">
            <v>APROVADO</v>
          </cell>
        </row>
        <row r="16">
          <cell r="B16" t="str">
            <v>ADRIANO AKIRA FERREIRA HINO</v>
          </cell>
          <cell r="E16" t="str">
            <v>APROVADO</v>
          </cell>
          <cell r="F16" t="str">
            <v>APROVADO</v>
          </cell>
          <cell r="G16" t="str">
            <v>APROVADO</v>
          </cell>
          <cell r="H16" t="str">
            <v>APROVADO</v>
          </cell>
        </row>
        <row r="17">
          <cell r="B17" t="str">
            <v>ADRIANO KULPA</v>
          </cell>
          <cell r="E17" t="str">
            <v>APROVADO</v>
          </cell>
          <cell r="F17" t="str">
            <v>APROVADO</v>
          </cell>
          <cell r="G17" t="str">
            <v>APROVADO</v>
          </cell>
          <cell r="H17" t="str">
            <v>APROVADO</v>
          </cell>
        </row>
        <row r="18">
          <cell r="B18" t="str">
            <v>ADRIANO MORITA FERNANDES DA SILVA</v>
          </cell>
          <cell r="E18" t="str">
            <v>APROVADO</v>
          </cell>
          <cell r="F18" t="str">
            <v>APROVADO</v>
          </cell>
          <cell r="G18" t="str">
            <v>APROVADO</v>
          </cell>
          <cell r="H18" t="str">
            <v>APROVADO</v>
          </cell>
        </row>
        <row r="19">
          <cell r="B19" t="str">
            <v>ADRIANO YOSHIO SHIMBO</v>
          </cell>
          <cell r="E19" t="str">
            <v>APROVADO</v>
          </cell>
          <cell r="F19" t="str">
            <v>APROVADO</v>
          </cell>
          <cell r="G19" t="str">
            <v>APROVADO</v>
          </cell>
          <cell r="H19" t="str">
            <v>APROVADO</v>
          </cell>
        </row>
        <row r="20">
          <cell r="B20" t="str">
            <v>AFONSO FERREIRA MIGUEL</v>
          </cell>
          <cell r="E20" t="str">
            <v>APROVADO</v>
          </cell>
          <cell r="F20" t="str">
            <v>APROVADO</v>
          </cell>
          <cell r="G20" t="str">
            <v>APROVADO</v>
          </cell>
          <cell r="H20" t="str">
            <v>APROVADO</v>
          </cell>
        </row>
        <row r="21">
          <cell r="B21" t="str">
            <v>AGNES SILVA DE ARAUJO</v>
          </cell>
          <cell r="E21" t="str">
            <v>APROVADO</v>
          </cell>
          <cell r="F21" t="str">
            <v>APROVADO</v>
          </cell>
          <cell r="G21" t="str">
            <v>APROVADO</v>
          </cell>
          <cell r="H21" t="str">
            <v>APROVADO</v>
          </cell>
        </row>
        <row r="22">
          <cell r="B22" t="str">
            <v>AGUILAR SELHORST JUNIOR</v>
          </cell>
          <cell r="E22" t="str">
            <v>APROVADO</v>
          </cell>
          <cell r="F22" t="str">
            <v>APROVADO</v>
          </cell>
          <cell r="G22" t="str">
            <v>APROVADO</v>
          </cell>
          <cell r="H22" t="str">
            <v>APROVADO</v>
          </cell>
        </row>
        <row r="23">
          <cell r="B23" t="str">
            <v>AIRTON OLIVEIRA SILVA TRENTO</v>
          </cell>
          <cell r="E23" t="str">
            <v>APROVADO</v>
          </cell>
          <cell r="F23" t="str">
            <v>APROVADO</v>
          </cell>
          <cell r="G23" t="str">
            <v>APROVADO</v>
          </cell>
          <cell r="H23" t="str">
            <v>APROVADO</v>
          </cell>
        </row>
        <row r="24">
          <cell r="B24" t="str">
            <v>AIRTON RODRIGUES PINTO JUNIOR</v>
          </cell>
          <cell r="E24" t="str">
            <v>APROVADO</v>
          </cell>
          <cell r="F24" t="str">
            <v>APROVADO</v>
          </cell>
          <cell r="G24" t="str">
            <v>APROVADO</v>
          </cell>
          <cell r="H24" t="str">
            <v>APROVADO</v>
          </cell>
        </row>
        <row r="25">
          <cell r="B25" t="str">
            <v>ALAN RAFAEL DE MEDEIROS</v>
          </cell>
          <cell r="E25" t="str">
            <v>APROVADO</v>
          </cell>
          <cell r="F25" t="str">
            <v>APROVADO</v>
          </cell>
          <cell r="G25" t="str">
            <v>APROVADO</v>
          </cell>
          <cell r="H25" t="str">
            <v>APROVADO</v>
          </cell>
        </row>
        <row r="26">
          <cell r="B26" t="str">
            <v>ALANNA SILVA HUK FARIAS</v>
          </cell>
          <cell r="E26" t="str">
            <v>APROVADO</v>
          </cell>
          <cell r="F26" t="str">
            <v>APROVADO</v>
          </cell>
          <cell r="G26" t="str">
            <v>APROVADO</v>
          </cell>
          <cell r="H26" t="str">
            <v>APROVADO</v>
          </cell>
        </row>
        <row r="27">
          <cell r="B27" t="str">
            <v>ALBERTO PAULO NETO</v>
          </cell>
          <cell r="E27" t="str">
            <v>APROVADO</v>
          </cell>
          <cell r="F27" t="str">
            <v>APROVADO</v>
          </cell>
          <cell r="G27" t="str">
            <v>APROVADO</v>
          </cell>
          <cell r="H27" t="str">
            <v>APROVADO</v>
          </cell>
        </row>
        <row r="28">
          <cell r="B28" t="str">
            <v>ALBONI MARISA DUDEQUE PIANOVSKI VIEIRA</v>
          </cell>
          <cell r="E28" t="str">
            <v>APROVADO</v>
          </cell>
          <cell r="F28" t="str">
            <v>APROVADO</v>
          </cell>
          <cell r="G28" t="str">
            <v>APROVADO</v>
          </cell>
          <cell r="H28" t="str">
            <v>APROVADO</v>
          </cell>
        </row>
        <row r="29">
          <cell r="B29" t="str">
            <v>ALCEU DE SOUZA BRITTO JUNIOR</v>
          </cell>
          <cell r="E29" t="str">
            <v>APROVADO</v>
          </cell>
          <cell r="F29" t="str">
            <v>APROVADO</v>
          </cell>
          <cell r="G29" t="str">
            <v>APROVADO</v>
          </cell>
          <cell r="H29" t="str">
            <v>APROVADO</v>
          </cell>
        </row>
        <row r="30">
          <cell r="B30" t="str">
            <v>ALCEU SOUZA</v>
          </cell>
          <cell r="E30" t="str">
            <v>APROVADO</v>
          </cell>
          <cell r="F30" t="str">
            <v>APROVADO</v>
          </cell>
          <cell r="G30" t="str">
            <v>APROVADO</v>
          </cell>
          <cell r="H30" t="str">
            <v>APROVADO</v>
          </cell>
        </row>
        <row r="31">
          <cell r="B31" t="str">
            <v>ALCIDES CALSAVARA</v>
          </cell>
          <cell r="E31" t="str">
            <v>APROVADO</v>
          </cell>
          <cell r="F31" t="str">
            <v>APROVADO</v>
          </cell>
          <cell r="G31" t="str">
            <v>APROVADO</v>
          </cell>
          <cell r="H31" t="str">
            <v>APROVADO</v>
          </cell>
        </row>
        <row r="32">
          <cell r="B32" t="str">
            <v>ALCINDO PISSAIA JUNIOR</v>
          </cell>
          <cell r="E32" t="str">
            <v>APROVADO</v>
          </cell>
          <cell r="F32" t="str">
            <v>APROVADO</v>
          </cell>
          <cell r="G32" t="str">
            <v>APROVADO</v>
          </cell>
          <cell r="H32" t="str">
            <v>APROVADO</v>
          </cell>
        </row>
        <row r="33">
          <cell r="B33" t="str">
            <v>ALESSANDRA BRUSTOLIN</v>
          </cell>
          <cell r="E33" t="str">
            <v>APROVADO</v>
          </cell>
          <cell r="F33" t="str">
            <v>APROVADO</v>
          </cell>
          <cell r="G33" t="str">
            <v>APROVADO</v>
          </cell>
          <cell r="H33" t="str">
            <v>APROVADO</v>
          </cell>
        </row>
        <row r="34">
          <cell r="B34" t="str">
            <v>ALESSANDRO BERTOLINO</v>
          </cell>
          <cell r="E34" t="str">
            <v>APROVADO</v>
          </cell>
          <cell r="F34" t="str">
            <v>APROVADO</v>
          </cell>
          <cell r="G34" t="str">
            <v>APROVADO</v>
          </cell>
          <cell r="H34" t="str">
            <v>APROVADO</v>
          </cell>
        </row>
        <row r="35">
          <cell r="B35" t="str">
            <v>ALEX ANTONIO FERRARESI</v>
          </cell>
          <cell r="E35" t="str">
            <v>APROVADO</v>
          </cell>
          <cell r="F35" t="str">
            <v>APROVADO</v>
          </cell>
          <cell r="G35" t="str">
            <v>APROVADO</v>
          </cell>
          <cell r="H35" t="str">
            <v>APROVADO</v>
          </cell>
        </row>
        <row r="36">
          <cell r="B36" t="str">
            <v>ALEX SANDRO QUADROS WEYMER</v>
          </cell>
          <cell r="E36" t="str">
            <v>APROVADO</v>
          </cell>
          <cell r="F36" t="str">
            <v>APROVADO</v>
          </cell>
          <cell r="G36" t="str">
            <v>APROVADO</v>
          </cell>
          <cell r="H36" t="str">
            <v>APROVADO</v>
          </cell>
        </row>
        <row r="37">
          <cell r="B37" t="str">
            <v>ALEXANDRA FERREIRA MARTINS RIBEIRO</v>
          </cell>
          <cell r="E37" t="str">
            <v>APROVADO</v>
          </cell>
          <cell r="F37" t="str">
            <v>APROVADO</v>
          </cell>
          <cell r="G37" t="str">
            <v>APROVADO</v>
          </cell>
          <cell r="H37" t="str">
            <v>APROVADO</v>
          </cell>
        </row>
        <row r="38">
          <cell r="B38" t="str">
            <v>ALEXANDRA RAMOS DOS SANTOS</v>
          </cell>
          <cell r="E38" t="str">
            <v>APROVADO</v>
          </cell>
          <cell r="F38" t="str">
            <v>APROVADO</v>
          </cell>
          <cell r="G38" t="str">
            <v>APROVADO</v>
          </cell>
          <cell r="H38" t="str">
            <v>APROVADO</v>
          </cell>
        </row>
        <row r="39">
          <cell r="B39" t="str">
            <v>ALEXANDRE CAMILOTTI GASPERIN</v>
          </cell>
          <cell r="E39" t="str">
            <v>APROVADO</v>
          </cell>
          <cell r="F39" t="str">
            <v>APROVADO</v>
          </cell>
          <cell r="G39" t="str">
            <v>APROVADO</v>
          </cell>
          <cell r="H39" t="str">
            <v>APROVADO</v>
          </cell>
        </row>
        <row r="40">
          <cell r="B40" t="str">
            <v>ALEXANDRE DARONCO</v>
          </cell>
          <cell r="E40" t="str">
            <v>APROVADO</v>
          </cell>
          <cell r="F40" t="str">
            <v>APROVADO</v>
          </cell>
          <cell r="G40" t="str">
            <v>APROVADO</v>
          </cell>
          <cell r="H40" t="str">
            <v>APROVADO</v>
          </cell>
        </row>
        <row r="41">
          <cell r="B41" t="str">
            <v>ALEXANDRE KOWALCZUCK</v>
          </cell>
          <cell r="E41" t="str">
            <v>APROVADO</v>
          </cell>
          <cell r="F41" t="str">
            <v>APROVADO</v>
          </cell>
          <cell r="G41" t="str">
            <v>APROVADO</v>
          </cell>
          <cell r="H41" t="str">
            <v>APROVADO</v>
          </cell>
        </row>
        <row r="42">
          <cell r="B42" t="str">
            <v>ALEXANDRE LUIS MULLER</v>
          </cell>
          <cell r="E42" t="str">
            <v>APROVADO</v>
          </cell>
          <cell r="F42" t="str">
            <v>APROVADO</v>
          </cell>
          <cell r="G42" t="str">
            <v>APROVADO</v>
          </cell>
          <cell r="H42" t="str">
            <v>APROVADO</v>
          </cell>
        </row>
        <row r="43">
          <cell r="B43" t="str">
            <v>ALEXANDRE RUIZ DA ROSA</v>
          </cell>
          <cell r="E43" t="str">
            <v>APROVADO</v>
          </cell>
          <cell r="F43" t="str">
            <v>APROVADO</v>
          </cell>
          <cell r="G43" t="str">
            <v>APROVADO</v>
          </cell>
          <cell r="H43" t="str">
            <v>APROVADO</v>
          </cell>
        </row>
        <row r="44">
          <cell r="B44" t="str">
            <v>ALEXEI VOLACO</v>
          </cell>
          <cell r="E44" t="str">
            <v>APROVADO</v>
          </cell>
          <cell r="F44" t="str">
            <v>APROVADO</v>
          </cell>
          <cell r="G44" t="str">
            <v>APROVADO</v>
          </cell>
          <cell r="H44" t="str">
            <v>APROVADO</v>
          </cell>
        </row>
        <row r="45">
          <cell r="B45" t="str">
            <v>ALINE BAMPI</v>
          </cell>
          <cell r="E45" t="str">
            <v>APROVADO</v>
          </cell>
          <cell r="F45" t="str">
            <v>APROVADO</v>
          </cell>
          <cell r="G45" t="str">
            <v>APROVADO</v>
          </cell>
          <cell r="H45" t="str">
            <v>APROVADO</v>
          </cell>
        </row>
        <row r="46">
          <cell r="B46" t="str">
            <v>ALINE CRISTINA BATISTA RODRIGUES</v>
          </cell>
          <cell r="E46" t="str">
            <v>APROVADO</v>
          </cell>
          <cell r="F46" t="str">
            <v>APROVADO</v>
          </cell>
          <cell r="G46" t="str">
            <v>APROVADO</v>
          </cell>
          <cell r="H46" t="str">
            <v>APROVADO</v>
          </cell>
        </row>
        <row r="47">
          <cell r="B47" t="str">
            <v>ALINE CRISTINA ZANCHETTIN</v>
          </cell>
          <cell r="E47" t="str">
            <v>APROVADO</v>
          </cell>
          <cell r="F47" t="str">
            <v>APROVADO</v>
          </cell>
          <cell r="G47" t="str">
            <v>APROVADO</v>
          </cell>
          <cell r="H47" t="str">
            <v>APROVADO</v>
          </cell>
        </row>
        <row r="48">
          <cell r="B48" t="str">
            <v>ALINE TANCLER STIPP</v>
          </cell>
          <cell r="E48" t="str">
            <v>APROVADO</v>
          </cell>
          <cell r="F48" t="str">
            <v>APROVADO</v>
          </cell>
          <cell r="G48" t="str">
            <v>APROVADO</v>
          </cell>
          <cell r="H48" t="str">
            <v>APROVADO</v>
          </cell>
        </row>
        <row r="49">
          <cell r="B49" t="str">
            <v>ALINE VANELI PELIZZONI</v>
          </cell>
          <cell r="E49" t="str">
            <v>APROVADO</v>
          </cell>
          <cell r="F49" t="str">
            <v>APROVADO</v>
          </cell>
          <cell r="G49" t="str">
            <v>APROVADO</v>
          </cell>
          <cell r="H49" t="str">
            <v>APROVADO</v>
          </cell>
        </row>
        <row r="50">
          <cell r="B50" t="str">
            <v>ALISON LUIS LANDO</v>
          </cell>
          <cell r="E50" t="str">
            <v>APROVADO</v>
          </cell>
          <cell r="F50" t="str">
            <v>APROVADO</v>
          </cell>
          <cell r="G50" t="str">
            <v>APROVADO</v>
          </cell>
          <cell r="H50" t="str">
            <v>APROVADO</v>
          </cell>
        </row>
        <row r="51">
          <cell r="B51" t="str">
            <v>ALISSON ROCHA MACHADO</v>
          </cell>
          <cell r="E51" t="str">
            <v>APROVADO</v>
          </cell>
          <cell r="F51" t="str">
            <v>APROVADO</v>
          </cell>
          <cell r="G51" t="str">
            <v>APROVADO</v>
          </cell>
          <cell r="H51" t="str">
            <v>APROVADO</v>
          </cell>
        </row>
        <row r="52">
          <cell r="B52" t="str">
            <v>ALMIR PETERSEN BARRETO</v>
          </cell>
          <cell r="E52" t="str">
            <v>APROVADO</v>
          </cell>
          <cell r="F52" t="str">
            <v>APROVADO</v>
          </cell>
          <cell r="G52" t="str">
            <v>APROVADO</v>
          </cell>
          <cell r="H52" t="str">
            <v>APROVADO</v>
          </cell>
        </row>
        <row r="53">
          <cell r="B53" t="str">
            <v>ALTAIR OLIVO SANTIN</v>
          </cell>
          <cell r="E53" t="str">
            <v>APROVADO</v>
          </cell>
          <cell r="F53" t="str">
            <v>APROVADO</v>
          </cell>
          <cell r="G53" t="str">
            <v>APROVADO</v>
          </cell>
          <cell r="H53" t="str">
            <v>APROVADO</v>
          </cell>
        </row>
        <row r="54">
          <cell r="B54" t="str">
            <v>ALTAIR ROSA</v>
          </cell>
          <cell r="E54" t="str">
            <v>APROVADO</v>
          </cell>
          <cell r="F54" t="str">
            <v>APROVADO</v>
          </cell>
          <cell r="G54" t="str">
            <v>APROVADO</v>
          </cell>
          <cell r="H54" t="str">
            <v>APROVADO</v>
          </cell>
        </row>
        <row r="55">
          <cell r="B55" t="str">
            <v>ALVARO CESAR CAMARGO DO AMARANTE</v>
          </cell>
          <cell r="E55" t="str">
            <v>APROVADO</v>
          </cell>
          <cell r="F55" t="str">
            <v>APROVADO</v>
          </cell>
          <cell r="G55" t="str">
            <v>APROVADO</v>
          </cell>
          <cell r="H55" t="str">
            <v>APROVADO</v>
          </cell>
        </row>
        <row r="56">
          <cell r="B56" t="str">
            <v>ALVARO CESAR KRIECK DOS SANTOS</v>
          </cell>
          <cell r="E56" t="str">
            <v>NÃO CRIADO</v>
          </cell>
          <cell r="F56" t="str">
            <v>NÃO CRIADO</v>
          </cell>
          <cell r="G56" t="str">
            <v>NÃO CRIADO</v>
          </cell>
          <cell r="H56" t="str">
            <v>NÃO CRIADO</v>
          </cell>
        </row>
        <row r="57">
          <cell r="B57" t="str">
            <v>ALYSSON VITOR DA SILVA</v>
          </cell>
          <cell r="E57" t="str">
            <v>APROVADO</v>
          </cell>
          <cell r="F57" t="str">
            <v>APROVADO</v>
          </cell>
          <cell r="G57" t="str">
            <v>APROVADO</v>
          </cell>
          <cell r="H57" t="str">
            <v>APROVADO</v>
          </cell>
        </row>
        <row r="58">
          <cell r="B58" t="str">
            <v>AMALIA FERRONATO</v>
          </cell>
          <cell r="E58" t="str">
            <v>APROVADO</v>
          </cell>
          <cell r="F58" t="str">
            <v>APROVADO</v>
          </cell>
          <cell r="G58" t="str">
            <v>APROVADO</v>
          </cell>
          <cell r="H58" t="str">
            <v>APROVADO</v>
          </cell>
        </row>
        <row r="59">
          <cell r="B59" t="str">
            <v>AMELIA DO CARMO SAMPAIO ROSSI</v>
          </cell>
          <cell r="E59" t="str">
            <v>APROVADO</v>
          </cell>
          <cell r="F59" t="str">
            <v>APROVADO</v>
          </cell>
          <cell r="G59" t="str">
            <v>APROVADO</v>
          </cell>
          <cell r="H59" t="str">
            <v>APROVADO</v>
          </cell>
        </row>
        <row r="60">
          <cell r="B60" t="str">
            <v>ANA BEATRIZ COSTA SILVA</v>
          </cell>
          <cell r="E60" t="str">
            <v>APROVADO</v>
          </cell>
          <cell r="F60" t="str">
            <v>APROVADO</v>
          </cell>
          <cell r="G60" t="str">
            <v>APROVADO</v>
          </cell>
          <cell r="H60" t="str">
            <v>APROVADO</v>
          </cell>
        </row>
        <row r="61">
          <cell r="B61" t="str">
            <v>ANA BEATRIZ DIAS PINTO</v>
          </cell>
          <cell r="E61" t="str">
            <v>APROVADO</v>
          </cell>
          <cell r="F61" t="str">
            <v>APROVADO</v>
          </cell>
          <cell r="G61" t="str">
            <v>APROVADO</v>
          </cell>
          <cell r="H61" t="str">
            <v>APROVADO</v>
          </cell>
        </row>
        <row r="62">
          <cell r="B62" t="str">
            <v>ANA BEATRIZ FRANCISCO DE MELO</v>
          </cell>
          <cell r="E62" t="str">
            <v>APROVADO</v>
          </cell>
          <cell r="F62" t="str">
            <v>APROVADO</v>
          </cell>
          <cell r="G62" t="str">
            <v>APROVADO</v>
          </cell>
          <cell r="H62" t="str">
            <v>APROVADO</v>
          </cell>
        </row>
        <row r="63">
          <cell r="B63" t="str">
            <v>ANA CARLA CAMPOS HIDALGO DE ALMEIDA</v>
          </cell>
          <cell r="E63" t="str">
            <v>APROVADO</v>
          </cell>
          <cell r="F63" t="str">
            <v>APROVADO</v>
          </cell>
          <cell r="G63" t="str">
            <v>APROVADO</v>
          </cell>
          <cell r="H63" t="str">
            <v>APROVADO</v>
          </cell>
        </row>
        <row r="64">
          <cell r="B64" t="str">
            <v>ANA CARLA EFING</v>
          </cell>
          <cell r="E64" t="str">
            <v>APROVADO</v>
          </cell>
          <cell r="F64" t="str">
            <v>APROVADO</v>
          </cell>
          <cell r="G64" t="str">
            <v>APROVADO</v>
          </cell>
          <cell r="H64" t="str">
            <v>APROVADO</v>
          </cell>
        </row>
        <row r="65">
          <cell r="B65" t="str">
            <v>ANA CARLA WERNECK</v>
          </cell>
          <cell r="E65" t="str">
            <v>APROVADO</v>
          </cell>
          <cell r="F65" t="str">
            <v>APROVADO</v>
          </cell>
          <cell r="G65" t="str">
            <v>APROVADO</v>
          </cell>
          <cell r="H65" t="str">
            <v>APROVADO</v>
          </cell>
        </row>
        <row r="66">
          <cell r="B66" t="str">
            <v>ANA CAROLINA DE SOUZA COSTA</v>
          </cell>
          <cell r="E66" t="str">
            <v>APROVADO</v>
          </cell>
          <cell r="F66" t="str">
            <v>APROVADO</v>
          </cell>
          <cell r="G66" t="str">
            <v>APROVADO</v>
          </cell>
          <cell r="H66" t="str">
            <v>APROVADO</v>
          </cell>
        </row>
        <row r="67">
          <cell r="B67" t="str">
            <v>ANA CAROLINE DARIVA CHULA</v>
          </cell>
          <cell r="E67" t="str">
            <v>APROVADO</v>
          </cell>
          <cell r="F67" t="str">
            <v>APROVADO</v>
          </cell>
          <cell r="G67" t="str">
            <v>APROVADO</v>
          </cell>
          <cell r="H67" t="str">
            <v>APROVADO</v>
          </cell>
        </row>
        <row r="68">
          <cell r="B68" t="str">
            <v>ANA CAROLINE DE PAULA</v>
          </cell>
          <cell r="E68" t="str">
            <v>FINALIZADO</v>
          </cell>
          <cell r="F68" t="str">
            <v>FINALIZADO</v>
          </cell>
          <cell r="G68" t="str">
            <v>FINALIZADO</v>
          </cell>
          <cell r="H68" t="str">
            <v>FINALIZADO</v>
          </cell>
        </row>
        <row r="69">
          <cell r="B69" t="str">
            <v>ANA CLARA SIMOES FLORIDO ALMEIDA</v>
          </cell>
          <cell r="E69" t="str">
            <v>APROVADO</v>
          </cell>
          <cell r="F69" t="str">
            <v>APROVADO</v>
          </cell>
          <cell r="G69" t="str">
            <v>APROVADO</v>
          </cell>
          <cell r="H69" t="str">
            <v>APROVADO</v>
          </cell>
        </row>
        <row r="70">
          <cell r="B70" t="str">
            <v>ANA CRISTINA DA SILVA DE LACERDA</v>
          </cell>
          <cell r="E70" t="str">
            <v>APROVADO</v>
          </cell>
          <cell r="F70" t="str">
            <v>APROVADO</v>
          </cell>
          <cell r="G70" t="str">
            <v>APROVADO</v>
          </cell>
          <cell r="H70" t="str">
            <v>APROVADO</v>
          </cell>
        </row>
        <row r="71">
          <cell r="B71" t="str">
            <v>ANA CRISTINA DA SILVA DO AMARAL HERRERA</v>
          </cell>
          <cell r="E71" t="str">
            <v>APROVADO</v>
          </cell>
          <cell r="F71" t="str">
            <v>APROVADO</v>
          </cell>
          <cell r="G71" t="str">
            <v>APROVADO</v>
          </cell>
          <cell r="H71" t="str">
            <v>APROVADO</v>
          </cell>
        </row>
        <row r="72">
          <cell r="B72" t="str">
            <v>ANA CRISTINA RAVAZZANI DE ALMEIDA FARIA</v>
          </cell>
          <cell r="E72" t="str">
            <v>APROVADO</v>
          </cell>
          <cell r="F72" t="str">
            <v>APROVADO</v>
          </cell>
          <cell r="G72" t="str">
            <v>APROVADO</v>
          </cell>
          <cell r="H72" t="str">
            <v>APROVADO</v>
          </cell>
        </row>
        <row r="73">
          <cell r="B73" t="str">
            <v>ANA CRISTINA SEIXAS GRECA</v>
          </cell>
          <cell r="E73" t="str">
            <v>APROVADO</v>
          </cell>
          <cell r="F73" t="str">
            <v>APROVADO</v>
          </cell>
          <cell r="G73" t="str">
            <v>APROVADO</v>
          </cell>
          <cell r="H73" t="str">
            <v>APROVADO</v>
          </cell>
        </row>
        <row r="74">
          <cell r="B74" t="str">
            <v>ANA LUCIA TOLAZZI</v>
          </cell>
          <cell r="E74" t="str">
            <v>APROVADO</v>
          </cell>
          <cell r="F74" t="str">
            <v>APROVADO</v>
          </cell>
          <cell r="G74" t="str">
            <v>APROVADO</v>
          </cell>
          <cell r="H74" t="str">
            <v>APROVADO</v>
          </cell>
        </row>
        <row r="75">
          <cell r="B75" t="str">
            <v>ANA LUIZA CHALUSNHAK</v>
          </cell>
          <cell r="E75" t="str">
            <v>FINALIZADO</v>
          </cell>
          <cell r="F75" t="str">
            <v>FINALIZADO</v>
          </cell>
          <cell r="G75" t="str">
            <v>FINALIZADO</v>
          </cell>
          <cell r="H75" t="str">
            <v>FINALIZADO</v>
          </cell>
        </row>
        <row r="76">
          <cell r="B76" t="str">
            <v>ANA LUIZA DIAS VALIENTE ENGELHORN</v>
          </cell>
          <cell r="E76" t="str">
            <v>APROVADO</v>
          </cell>
          <cell r="F76" t="str">
            <v>APROVADO</v>
          </cell>
          <cell r="G76" t="str">
            <v>APROVADO</v>
          </cell>
          <cell r="H76" t="str">
            <v>APROVADO</v>
          </cell>
        </row>
        <row r="77">
          <cell r="B77" t="str">
            <v>ANA MAGDA MAGNANI</v>
          </cell>
          <cell r="E77" t="str">
            <v>APROVADO</v>
          </cell>
          <cell r="F77" t="str">
            <v>APROVADO</v>
          </cell>
          <cell r="G77" t="str">
            <v>APROVADO</v>
          </cell>
          <cell r="H77" t="str">
            <v>APROVADO</v>
          </cell>
        </row>
        <row r="78">
          <cell r="B78" t="str">
            <v>ANA MARIA EYNG</v>
          </cell>
          <cell r="E78" t="str">
            <v>APROVADO</v>
          </cell>
          <cell r="F78" t="str">
            <v>APROVADO</v>
          </cell>
          <cell r="G78" t="str">
            <v>APROVADO</v>
          </cell>
          <cell r="H78" t="str">
            <v>APROVADO</v>
          </cell>
        </row>
        <row r="79">
          <cell r="B79" t="str">
            <v>ANA PAULA CUNHA LOUREIRO</v>
          </cell>
          <cell r="E79" t="str">
            <v>APROVADO</v>
          </cell>
          <cell r="F79" t="str">
            <v>APROVADO</v>
          </cell>
          <cell r="G79" t="str">
            <v>APROVADO</v>
          </cell>
          <cell r="H79" t="str">
            <v>APROVADO</v>
          </cell>
        </row>
        <row r="80">
          <cell r="B80" t="str">
            <v>ANA PAULA DE ALMEIDA ROCHA</v>
          </cell>
          <cell r="E80" t="str">
            <v>APROVADO</v>
          </cell>
          <cell r="F80" t="str">
            <v>APROVADO</v>
          </cell>
          <cell r="G80" t="str">
            <v>APROVADO</v>
          </cell>
          <cell r="H80" t="str">
            <v>APROVADO</v>
          </cell>
        </row>
        <row r="81">
          <cell r="B81" t="str">
            <v>ANA PAULA GULARTE LIBERATO</v>
          </cell>
          <cell r="E81" t="str">
            <v>APROVADO</v>
          </cell>
          <cell r="F81" t="str">
            <v>APROVADO</v>
          </cell>
          <cell r="G81" t="str">
            <v>APROVADO</v>
          </cell>
          <cell r="H81" t="str">
            <v>APROVADO</v>
          </cell>
        </row>
        <row r="82">
          <cell r="B82" t="str">
            <v>ANA PAULA KUCZYNSKI PEDRO BOM</v>
          </cell>
          <cell r="E82" t="str">
            <v>APROVADO</v>
          </cell>
          <cell r="F82" t="str">
            <v>APROVADO</v>
          </cell>
          <cell r="G82" t="str">
            <v>APROVADO</v>
          </cell>
          <cell r="H82" t="str">
            <v>APROVADO</v>
          </cell>
        </row>
        <row r="83">
          <cell r="B83" t="str">
            <v>ANA PAULA MODESTO</v>
          </cell>
          <cell r="E83" t="str">
            <v>APROVADO</v>
          </cell>
          <cell r="F83" t="str">
            <v>APROVADO</v>
          </cell>
          <cell r="G83" t="str">
            <v>APROVADO</v>
          </cell>
          <cell r="H83" t="str">
            <v>APROVADO</v>
          </cell>
        </row>
        <row r="84">
          <cell r="B84" t="str">
            <v>ANA PAULA SAKR HUBIE</v>
          </cell>
          <cell r="E84" t="str">
            <v>APROVADO</v>
          </cell>
          <cell r="F84" t="str">
            <v>APROVADO</v>
          </cell>
          <cell r="G84" t="str">
            <v>APROVADO</v>
          </cell>
          <cell r="H84" t="str">
            <v>APROVADO</v>
          </cell>
        </row>
        <row r="85">
          <cell r="B85" t="str">
            <v>ANA PRISCILLA CHRISTIANO</v>
          </cell>
          <cell r="E85" t="str">
            <v>APROVADO</v>
          </cell>
          <cell r="F85" t="str">
            <v>APROVADO</v>
          </cell>
          <cell r="G85" t="str">
            <v>APROVADO</v>
          </cell>
          <cell r="H85" t="str">
            <v>APROVADO</v>
          </cell>
        </row>
        <row r="86">
          <cell r="B86" t="str">
            <v>ANA VALERIA DE PIERI BRANCHER ALVAREZ</v>
          </cell>
          <cell r="E86" t="str">
            <v>FINALIZADO</v>
          </cell>
          <cell r="F86" t="str">
            <v>FINALIZADO</v>
          </cell>
          <cell r="G86" t="str">
            <v>FINALIZADO</v>
          </cell>
          <cell r="H86" t="str">
            <v>FINALIZADO</v>
          </cell>
        </row>
        <row r="87">
          <cell r="B87" t="str">
            <v>ANA VITORIA CASSIS DOS SANTOS GASPARINE</v>
          </cell>
          <cell r="E87" t="str">
            <v>APROVADO</v>
          </cell>
          <cell r="F87" t="str">
            <v>APROVADO</v>
          </cell>
          <cell r="G87" t="str">
            <v>APROVADO</v>
          </cell>
          <cell r="H87" t="str">
            <v>APROVADO</v>
          </cell>
        </row>
        <row r="88">
          <cell r="B88" t="str">
            <v>ANDERSON LUIS SZEJKA</v>
          </cell>
          <cell r="E88" t="str">
            <v>APROVADO</v>
          </cell>
          <cell r="F88" t="str">
            <v>APROVADO</v>
          </cell>
          <cell r="G88" t="str">
            <v>APROVADO</v>
          </cell>
          <cell r="H88" t="str">
            <v>APROVADO</v>
          </cell>
        </row>
        <row r="89">
          <cell r="B89" t="str">
            <v>ANDERSON LUIZ CHAGAS</v>
          </cell>
          <cell r="E89" t="str">
            <v>APROVADO</v>
          </cell>
          <cell r="F89" t="str">
            <v>APROVADO</v>
          </cell>
          <cell r="G89" t="str">
            <v>APROVADO</v>
          </cell>
          <cell r="H89" t="str">
            <v>APROVADO</v>
          </cell>
        </row>
        <row r="90">
          <cell r="B90" t="str">
            <v>ANDERSON NITSCHE</v>
          </cell>
          <cell r="E90" t="str">
            <v>RASCUNHO</v>
          </cell>
          <cell r="F90" t="str">
            <v>RASCUNHO</v>
          </cell>
          <cell r="G90" t="str">
            <v>RASCUNHO</v>
          </cell>
          <cell r="H90" t="str">
            <v>RASCUNHO</v>
          </cell>
        </row>
        <row r="91">
          <cell r="B91" t="str">
            <v>ANDERSON PETRAUSKAS</v>
          </cell>
          <cell r="E91" t="str">
            <v>APROVADO</v>
          </cell>
          <cell r="F91" t="str">
            <v>APROVADO</v>
          </cell>
          <cell r="G91" t="str">
            <v>APROVADO</v>
          </cell>
          <cell r="H91" t="str">
            <v>APROVADO</v>
          </cell>
        </row>
        <row r="92">
          <cell r="B92" t="str">
            <v>ANDERSON VERMONDE HAMILKO</v>
          </cell>
          <cell r="E92" t="str">
            <v>APROVADO</v>
          </cell>
          <cell r="F92" t="str">
            <v>APROVADO</v>
          </cell>
          <cell r="G92" t="str">
            <v>APROVADO</v>
          </cell>
          <cell r="H92" t="str">
            <v>APROVADO</v>
          </cell>
        </row>
        <row r="93">
          <cell r="B93" t="str">
            <v>ANDRE BITTENCOURT LORUSSO</v>
          </cell>
          <cell r="E93" t="str">
            <v>APROVADO</v>
          </cell>
          <cell r="F93" t="str">
            <v>APROVADO</v>
          </cell>
          <cell r="G93" t="str">
            <v>APROVADO</v>
          </cell>
          <cell r="H93" t="str">
            <v>APROVADO</v>
          </cell>
        </row>
        <row r="94">
          <cell r="B94" t="str">
            <v>ANDRE GUSTAVO HOCHULI</v>
          </cell>
          <cell r="E94" t="str">
            <v>APROVADO</v>
          </cell>
          <cell r="F94" t="str">
            <v>APROVADO</v>
          </cell>
          <cell r="G94" t="str">
            <v>APROVADO</v>
          </cell>
          <cell r="H94" t="str">
            <v>APROVADO</v>
          </cell>
        </row>
        <row r="95">
          <cell r="B95" t="str">
            <v>ANDRE LUIZ BATISTA</v>
          </cell>
          <cell r="E95" t="str">
            <v>APROVADO</v>
          </cell>
          <cell r="F95" t="str">
            <v>APROVADO</v>
          </cell>
          <cell r="G95" t="str">
            <v>APROVADO</v>
          </cell>
          <cell r="H95" t="str">
            <v>APROVADO</v>
          </cell>
        </row>
        <row r="96">
          <cell r="B96" t="str">
            <v>ANDRE LUIZ BRAGA TURBAY</v>
          </cell>
          <cell r="E96" t="str">
            <v>APROVADO</v>
          </cell>
          <cell r="F96" t="str">
            <v>APROVADO</v>
          </cell>
          <cell r="G96" t="str">
            <v>APROVADO</v>
          </cell>
          <cell r="H96" t="str">
            <v>APROVADO</v>
          </cell>
        </row>
        <row r="97">
          <cell r="B97" t="str">
            <v>ANDRE OSTRENSKY</v>
          </cell>
          <cell r="E97" t="str">
            <v>APROVADO</v>
          </cell>
          <cell r="F97" t="str">
            <v>APROVADO</v>
          </cell>
          <cell r="G97" t="str">
            <v>APROVADO</v>
          </cell>
          <cell r="H97" t="str">
            <v>APROVADO</v>
          </cell>
        </row>
        <row r="98">
          <cell r="B98" t="str">
            <v>ANDRE PARMO FOLLONI</v>
          </cell>
          <cell r="E98" t="str">
            <v>APROVADO</v>
          </cell>
          <cell r="F98" t="str">
            <v>APROVADO</v>
          </cell>
          <cell r="G98" t="str">
            <v>APROVADO</v>
          </cell>
          <cell r="H98" t="str">
            <v>APROVADO</v>
          </cell>
        </row>
        <row r="99">
          <cell r="B99" t="str">
            <v>ANDRE ROGERIO BERTO</v>
          </cell>
          <cell r="E99" t="str">
            <v>APROVADO</v>
          </cell>
          <cell r="F99" t="str">
            <v>APROVADO</v>
          </cell>
          <cell r="G99" t="str">
            <v>APROVADO</v>
          </cell>
          <cell r="H99" t="str">
            <v>APROVADO</v>
          </cell>
        </row>
        <row r="100">
          <cell r="B100" t="str">
            <v>ANDRE TAVARES SOMMA</v>
          </cell>
          <cell r="E100" t="str">
            <v>APROVADO</v>
          </cell>
          <cell r="F100" t="str">
            <v>APROVADO</v>
          </cell>
          <cell r="G100" t="str">
            <v>APROVADO</v>
          </cell>
          <cell r="H100" t="str">
            <v>APROVADO</v>
          </cell>
        </row>
        <row r="101">
          <cell r="B101" t="str">
            <v>ANDREA DUARTE DOETZER</v>
          </cell>
          <cell r="E101" t="str">
            <v>APROVADO</v>
          </cell>
          <cell r="F101" t="str">
            <v>APROVADO</v>
          </cell>
          <cell r="G101" t="str">
            <v>APROVADO</v>
          </cell>
          <cell r="H101" t="str">
            <v>APROVADO</v>
          </cell>
        </row>
        <row r="102">
          <cell r="B102" t="str">
            <v>ANDREA LUIZA CURRALINHO BRAGA</v>
          </cell>
          <cell r="E102" t="str">
            <v>APROVADO</v>
          </cell>
          <cell r="F102" t="str">
            <v>APROVADO</v>
          </cell>
          <cell r="G102" t="str">
            <v>APROVADO</v>
          </cell>
          <cell r="H102" t="str">
            <v>APROVADO</v>
          </cell>
        </row>
        <row r="103">
          <cell r="B103" t="str">
            <v>ANDREA MORA DE MARCO NOVELLINO</v>
          </cell>
          <cell r="E103" t="str">
            <v>APROVADO</v>
          </cell>
          <cell r="F103" t="str">
            <v>APROVADO</v>
          </cell>
          <cell r="G103" t="str">
            <v>APROVADO</v>
          </cell>
          <cell r="H103" t="str">
            <v>APROVADO</v>
          </cell>
        </row>
        <row r="104">
          <cell r="B104" t="str">
            <v>ANDREA NOVAIS MORENO AMARAL</v>
          </cell>
          <cell r="E104" t="str">
            <v>APROVADO</v>
          </cell>
          <cell r="F104" t="str">
            <v>APROVADO</v>
          </cell>
          <cell r="G104" t="str">
            <v>APROVADO</v>
          </cell>
          <cell r="H104" t="str">
            <v>APROVADO</v>
          </cell>
        </row>
        <row r="105">
          <cell r="B105" t="str">
            <v>ANDREA PAULA FREGONEZE</v>
          </cell>
          <cell r="E105" t="str">
            <v>APROVADO</v>
          </cell>
          <cell r="F105" t="str">
            <v>APROVADO</v>
          </cell>
          <cell r="G105" t="str">
            <v>APROVADO</v>
          </cell>
          <cell r="H105" t="str">
            <v>APROVADO</v>
          </cell>
        </row>
        <row r="106">
          <cell r="B106" t="str">
            <v>ANDREA ROLOFF LOPES</v>
          </cell>
          <cell r="E106" t="str">
            <v>APROVADO</v>
          </cell>
          <cell r="F106" t="str">
            <v>APROVADO</v>
          </cell>
          <cell r="G106" t="str">
            <v>APROVADO</v>
          </cell>
          <cell r="H106" t="str">
            <v>APROVADO</v>
          </cell>
        </row>
        <row r="107">
          <cell r="B107" t="str">
            <v>ANDREA TUCHTENHAGEN WENDT</v>
          </cell>
          <cell r="E107" t="str">
            <v>APROVADO</v>
          </cell>
          <cell r="F107" t="str">
            <v>APROVADO</v>
          </cell>
          <cell r="G107" t="str">
            <v>APROVADO</v>
          </cell>
          <cell r="H107" t="str">
            <v>APROVADO</v>
          </cell>
        </row>
        <row r="108">
          <cell r="B108" t="str">
            <v>ANDREI RAFAEL BRONGEL</v>
          </cell>
          <cell r="E108" t="str">
            <v>APROVADO</v>
          </cell>
          <cell r="F108" t="str">
            <v>APROVADO</v>
          </cell>
          <cell r="G108" t="str">
            <v>APROVADO</v>
          </cell>
          <cell r="H108" t="str">
            <v>APROVADO</v>
          </cell>
        </row>
        <row r="109">
          <cell r="B109" t="str">
            <v>ANDREIA CRISTINA SERRATO</v>
          </cell>
          <cell r="E109" t="str">
            <v>APROVADO</v>
          </cell>
          <cell r="F109" t="str">
            <v>APROVADO</v>
          </cell>
          <cell r="G109" t="str">
            <v>APROVADO</v>
          </cell>
          <cell r="H109" t="str">
            <v>APROVADO</v>
          </cell>
        </row>
        <row r="110">
          <cell r="B110" t="str">
            <v>ANDREIA CUNHA</v>
          </cell>
          <cell r="E110" t="str">
            <v>APROVADO</v>
          </cell>
          <cell r="F110" t="str">
            <v>APROVADO</v>
          </cell>
          <cell r="G110" t="str">
            <v>APROVADO</v>
          </cell>
          <cell r="H110" t="str">
            <v>APROVADO</v>
          </cell>
        </row>
        <row r="111">
          <cell r="B111" t="str">
            <v>ANDREIA MALUCELLI</v>
          </cell>
          <cell r="E111" t="str">
            <v>APROVADO</v>
          </cell>
          <cell r="F111" t="str">
            <v>APROVADO</v>
          </cell>
          <cell r="G111" t="str">
            <v>APROVADO</v>
          </cell>
          <cell r="H111" t="str">
            <v>APROVADO</v>
          </cell>
        </row>
        <row r="112">
          <cell r="B112" t="str">
            <v>ANDREIA RIBEIRO DA LUZ</v>
          </cell>
          <cell r="E112" t="str">
            <v>APROVADO</v>
          </cell>
          <cell r="F112" t="str">
            <v>APROVADO</v>
          </cell>
          <cell r="G112" t="str">
            <v>APROVADO</v>
          </cell>
          <cell r="H112" t="str">
            <v>APROVADO</v>
          </cell>
        </row>
        <row r="113">
          <cell r="B113" t="str">
            <v>ANDRESSA MARIANNE SALLES ENGELMANN</v>
          </cell>
          <cell r="E113" t="str">
            <v>APROVADO</v>
          </cell>
          <cell r="F113" t="str">
            <v>APROVADO</v>
          </cell>
          <cell r="G113" t="str">
            <v>APROVADO</v>
          </cell>
          <cell r="H113" t="str">
            <v>APROVADO</v>
          </cell>
        </row>
        <row r="114">
          <cell r="B114" t="str">
            <v>ANDREY CABRAL MEIRA</v>
          </cell>
          <cell r="E114" t="str">
            <v>APROVADO</v>
          </cell>
          <cell r="F114" t="str">
            <v>APROVADO</v>
          </cell>
          <cell r="G114" t="str">
            <v>APROVADO</v>
          </cell>
          <cell r="H114" t="str">
            <v>APROVADO</v>
          </cell>
        </row>
        <row r="115">
          <cell r="B115" t="str">
            <v>ANDREZA DE SOUSA VIEIRA</v>
          </cell>
          <cell r="E115" t="str">
            <v>APROVADO</v>
          </cell>
          <cell r="F115" t="str">
            <v>APROVADO</v>
          </cell>
          <cell r="G115" t="str">
            <v>APROVADO</v>
          </cell>
          <cell r="H115" t="str">
            <v>APROVADO</v>
          </cell>
        </row>
        <row r="116">
          <cell r="B116" t="str">
            <v>ANDRIELI CAROLINE MEHL</v>
          </cell>
          <cell r="E116" t="str">
            <v>APROVADO</v>
          </cell>
          <cell r="F116" t="str">
            <v>APROVADO</v>
          </cell>
          <cell r="G116" t="str">
            <v>APROVADO</v>
          </cell>
          <cell r="H116" t="str">
            <v>APROVADO</v>
          </cell>
        </row>
        <row r="117">
          <cell r="B117" t="str">
            <v>ANGELA BONJORNO ARANTES</v>
          </cell>
          <cell r="E117" t="str">
            <v>APROVADO</v>
          </cell>
          <cell r="F117" t="str">
            <v>APROVADO</v>
          </cell>
          <cell r="G117" t="str">
            <v>APROVADO</v>
          </cell>
          <cell r="H117" t="str">
            <v>APROVADO</v>
          </cell>
        </row>
        <row r="118">
          <cell r="B118" t="str">
            <v>ANGELA CRISTIANE SANTOS POVOA</v>
          </cell>
          <cell r="E118" t="str">
            <v>APROVADO</v>
          </cell>
          <cell r="F118" t="str">
            <v>APROVADO</v>
          </cell>
          <cell r="G118" t="str">
            <v>APROVADO</v>
          </cell>
          <cell r="H118" t="str">
            <v>APROVADO</v>
          </cell>
        </row>
        <row r="119">
          <cell r="B119" t="str">
            <v>ANGELA CRISTINA CARARO</v>
          </cell>
          <cell r="E119" t="str">
            <v>APROVADO</v>
          </cell>
          <cell r="F119" t="str">
            <v>APROVADO</v>
          </cell>
          <cell r="G119" t="str">
            <v>APROVADO</v>
          </cell>
          <cell r="H119" t="str">
            <v>APROVADO</v>
          </cell>
        </row>
        <row r="120">
          <cell r="B120" t="str">
            <v>ANGELA CRISTINA RAIMONDI</v>
          </cell>
          <cell r="E120" t="str">
            <v>APROVADO</v>
          </cell>
          <cell r="F120" t="str">
            <v>APROVADO</v>
          </cell>
          <cell r="G120" t="str">
            <v>APROVADO</v>
          </cell>
          <cell r="H120" t="str">
            <v>APROVADO</v>
          </cell>
        </row>
        <row r="121">
          <cell r="B121" t="str">
            <v>ANGELA LEITAO SALLEM</v>
          </cell>
          <cell r="E121" t="str">
            <v>APROVADO</v>
          </cell>
          <cell r="F121" t="str">
            <v>APROVADO</v>
          </cell>
          <cell r="G121" t="str">
            <v>APROVADO</v>
          </cell>
          <cell r="H121" t="str">
            <v>APROVADO</v>
          </cell>
        </row>
        <row r="122">
          <cell r="B122" t="str">
            <v>ANNA CATARINA GATZK DE ARRUDA</v>
          </cell>
          <cell r="E122" t="str">
            <v>APROVADO</v>
          </cell>
          <cell r="F122" t="str">
            <v>APROVADO</v>
          </cell>
          <cell r="G122" t="str">
            <v>APROVADO</v>
          </cell>
          <cell r="H122" t="str">
            <v>APROVADO</v>
          </cell>
        </row>
        <row r="123">
          <cell r="B123" t="str">
            <v>ANNA FLAVIA RIBEIRO DOS SANTOS MIGGIOLARO</v>
          </cell>
          <cell r="E123" t="str">
            <v>APROVADO</v>
          </cell>
          <cell r="F123" t="str">
            <v>APROVADO</v>
          </cell>
          <cell r="G123" t="str">
            <v>APROVADO</v>
          </cell>
          <cell r="H123" t="str">
            <v>APROVADO</v>
          </cell>
        </row>
        <row r="124">
          <cell r="B124" t="str">
            <v>ANNA HERMINIA CASTRO GOMES DE AMORIM</v>
          </cell>
          <cell r="E124" t="str">
            <v>APROVADO</v>
          </cell>
          <cell r="F124" t="str">
            <v>APROVADO</v>
          </cell>
          <cell r="G124" t="str">
            <v>APROVADO</v>
          </cell>
          <cell r="H124" t="str">
            <v>APROVADO</v>
          </cell>
        </row>
        <row r="125">
          <cell r="B125" t="str">
            <v>ANNA LUISA WALTER DE SANTANA</v>
          </cell>
          <cell r="E125" t="str">
            <v>APROVADO</v>
          </cell>
          <cell r="F125" t="str">
            <v>APROVADO</v>
          </cell>
          <cell r="G125" t="str">
            <v>APROVADO</v>
          </cell>
          <cell r="H125" t="str">
            <v>APROVADO</v>
          </cell>
        </row>
        <row r="126">
          <cell r="B126" t="str">
            <v>ANNA PAULA ZANONI STEINKE</v>
          </cell>
          <cell r="E126" t="str">
            <v>APROVADO</v>
          </cell>
          <cell r="F126" t="str">
            <v>APROVADO</v>
          </cell>
          <cell r="G126" t="str">
            <v>APROVADO</v>
          </cell>
          <cell r="H126" t="str">
            <v>APROVADO</v>
          </cell>
        </row>
        <row r="127">
          <cell r="B127" t="str">
            <v>ANOR SGANZERLA</v>
          </cell>
          <cell r="E127" t="str">
            <v>APROVADO</v>
          </cell>
          <cell r="F127" t="str">
            <v>APROVADO</v>
          </cell>
          <cell r="G127" t="str">
            <v>APROVADO</v>
          </cell>
          <cell r="H127" t="str">
            <v>APROVADO</v>
          </cell>
        </row>
        <row r="128">
          <cell r="B128" t="str">
            <v>ANTONIO CARLOS EFING</v>
          </cell>
          <cell r="E128" t="str">
            <v>APROVADO</v>
          </cell>
          <cell r="F128" t="str">
            <v>APROVADO</v>
          </cell>
          <cell r="G128" t="str">
            <v>APROVADO</v>
          </cell>
          <cell r="H128" t="str">
            <v>APROVADO</v>
          </cell>
        </row>
        <row r="129">
          <cell r="B129" t="str">
            <v>ANTONIO CARLOS KOVALESKI</v>
          </cell>
          <cell r="E129" t="str">
            <v>APROVADO</v>
          </cell>
          <cell r="F129" t="str">
            <v>APROVADO</v>
          </cell>
          <cell r="G129" t="str">
            <v>APROVADO</v>
          </cell>
          <cell r="H129" t="str">
            <v>APROVADO</v>
          </cell>
        </row>
        <row r="130">
          <cell r="B130" t="str">
            <v>ANTONIO CARLOS MERCER</v>
          </cell>
          <cell r="E130" t="str">
            <v>APROVADO</v>
          </cell>
          <cell r="F130" t="str">
            <v>APROVADO</v>
          </cell>
          <cell r="G130" t="str">
            <v>APROVADO</v>
          </cell>
          <cell r="H130" t="str">
            <v>APROVADO</v>
          </cell>
        </row>
        <row r="131">
          <cell r="B131" t="str">
            <v>ANTONIO CARLOS PINTO JACHINOSKI</v>
          </cell>
          <cell r="E131" t="str">
            <v>APROVADO</v>
          </cell>
          <cell r="F131" t="str">
            <v>APROVADO</v>
          </cell>
          <cell r="G131" t="str">
            <v>APROVADO</v>
          </cell>
          <cell r="H131" t="str">
            <v>APROVADO</v>
          </cell>
        </row>
        <row r="132">
          <cell r="B132" t="str">
            <v>ANTONIO CLAUDIO KOZIKOSKI JUNIOR</v>
          </cell>
          <cell r="E132" t="str">
            <v>APROVADO</v>
          </cell>
          <cell r="F132" t="str">
            <v>APROVADO</v>
          </cell>
          <cell r="G132" t="str">
            <v>APROVADO</v>
          </cell>
          <cell r="H132" t="str">
            <v>APROVADO</v>
          </cell>
        </row>
        <row r="133">
          <cell r="B133" t="str">
            <v>ANTONIO DAVID VINISKI</v>
          </cell>
          <cell r="E133" t="str">
            <v>APROVADO</v>
          </cell>
          <cell r="F133" t="str">
            <v>APROVADO</v>
          </cell>
          <cell r="G133" t="str">
            <v>APROVADO</v>
          </cell>
          <cell r="H133" t="str">
            <v>APROVADO</v>
          </cell>
        </row>
        <row r="134">
          <cell r="B134" t="str">
            <v>ARAMIS HORNUNG MORAES</v>
          </cell>
          <cell r="E134" t="str">
            <v>FINALIZADO</v>
          </cell>
          <cell r="F134" t="str">
            <v>FINALIZADO</v>
          </cell>
          <cell r="G134" t="str">
            <v>FINALIZADO</v>
          </cell>
          <cell r="H134" t="str">
            <v>FINALIZADO</v>
          </cell>
        </row>
        <row r="135">
          <cell r="B135" t="str">
            <v>ARIANA MOURA GOMES</v>
          </cell>
          <cell r="E135" t="str">
            <v>APROVADO</v>
          </cell>
          <cell r="F135" t="str">
            <v>APROVADO</v>
          </cell>
          <cell r="G135" t="str">
            <v>APROVADO</v>
          </cell>
          <cell r="H135" t="str">
            <v>APROVADO</v>
          </cell>
        </row>
        <row r="136">
          <cell r="B136" t="str">
            <v>ARLEY DE ALMEIDA</v>
          </cell>
          <cell r="E136" t="str">
            <v>APROVADO</v>
          </cell>
          <cell r="F136" t="str">
            <v>APROVADO</v>
          </cell>
          <cell r="G136" t="str">
            <v>APROVADO</v>
          </cell>
          <cell r="H136" t="str">
            <v>APROVADO</v>
          </cell>
        </row>
        <row r="137">
          <cell r="B137" t="str">
            <v>ARNALDO CARLOS MULLER JUNIOR</v>
          </cell>
          <cell r="E137" t="str">
            <v>APROVADO</v>
          </cell>
          <cell r="F137" t="str">
            <v>APROVADO</v>
          </cell>
          <cell r="G137" t="str">
            <v>APROVADO</v>
          </cell>
          <cell r="H137" t="str">
            <v>APROVADO</v>
          </cell>
        </row>
        <row r="138">
          <cell r="B138" t="str">
            <v>ARTUR DE FRANCA MITTELBACH</v>
          </cell>
          <cell r="E138" t="str">
            <v>APROVADO</v>
          </cell>
          <cell r="F138" t="str">
            <v>APROVADO</v>
          </cell>
          <cell r="G138" t="str">
            <v>APROVADO</v>
          </cell>
          <cell r="H138" t="str">
            <v>APROVADO</v>
          </cell>
        </row>
        <row r="139">
          <cell r="B139" t="str">
            <v>ARYEL MARLUS REPULA DE OLIVEIRA</v>
          </cell>
          <cell r="E139" t="str">
            <v>APROVADO</v>
          </cell>
          <cell r="F139" t="str">
            <v>APROVADO</v>
          </cell>
          <cell r="G139" t="str">
            <v>APROVADO</v>
          </cell>
          <cell r="H139" t="str">
            <v>APROVADO</v>
          </cell>
        </row>
        <row r="140">
          <cell r="B140" t="str">
            <v>AUDREY TIEKO TSUNODA</v>
          </cell>
          <cell r="E140" t="str">
            <v>APROVADO</v>
          </cell>
          <cell r="F140" t="str">
            <v>APROVADO</v>
          </cell>
          <cell r="G140" t="str">
            <v>APROVADO</v>
          </cell>
          <cell r="H140" t="str">
            <v>APROVADO</v>
          </cell>
        </row>
        <row r="141">
          <cell r="B141" t="str">
            <v>AURISTELA DUARTE DE LIMA MOSER</v>
          </cell>
          <cell r="E141" t="str">
            <v>APROVADO</v>
          </cell>
          <cell r="F141" t="str">
            <v>APROVADO</v>
          </cell>
          <cell r="G141" t="str">
            <v>APROVADO</v>
          </cell>
          <cell r="H141" t="str">
            <v>APROVADO</v>
          </cell>
        </row>
        <row r="142">
          <cell r="B142" t="str">
            <v>BANY NARONDY CABRAL LIMA</v>
          </cell>
          <cell r="E142" t="str">
            <v>APROVADO</v>
          </cell>
          <cell r="F142" t="str">
            <v>APROVADO</v>
          </cell>
          <cell r="G142" t="str">
            <v>APROVADO</v>
          </cell>
          <cell r="H142" t="str">
            <v>APROVADO</v>
          </cell>
        </row>
        <row r="143">
          <cell r="B143" t="str">
            <v>BARBARA PICK ORNAGHI</v>
          </cell>
          <cell r="E143" t="str">
            <v>APROVADO</v>
          </cell>
          <cell r="F143" t="str">
            <v>APROVADO</v>
          </cell>
          <cell r="G143" t="str">
            <v>APROVADO</v>
          </cell>
          <cell r="H143" t="str">
            <v>APROVADO</v>
          </cell>
        </row>
        <row r="144">
          <cell r="B144" t="str">
            <v>BARBARA RAQUEL DO PRADO GIMENEZ CORREA</v>
          </cell>
          <cell r="E144" t="str">
            <v>APROVADO</v>
          </cell>
          <cell r="F144" t="str">
            <v>APROVADO</v>
          </cell>
          <cell r="G144" t="str">
            <v>APROVADO</v>
          </cell>
          <cell r="H144" t="str">
            <v>APROVADO</v>
          </cell>
        </row>
        <row r="145">
          <cell r="B145" t="str">
            <v>BARBARA STADLER KAHLOW</v>
          </cell>
          <cell r="E145" t="str">
            <v>APROVADO</v>
          </cell>
          <cell r="F145" t="str">
            <v>APROVADO</v>
          </cell>
          <cell r="G145" t="str">
            <v>APROVADO</v>
          </cell>
          <cell r="H145" t="str">
            <v>APROVADO</v>
          </cell>
        </row>
        <row r="146">
          <cell r="B146" t="str">
            <v>BEATRIZ DAOU VERENHITACH</v>
          </cell>
          <cell r="E146" t="str">
            <v>APROVADO</v>
          </cell>
          <cell r="F146" t="str">
            <v>APROVADO</v>
          </cell>
          <cell r="G146" t="str">
            <v>APROVADO</v>
          </cell>
          <cell r="H146" t="str">
            <v>APROVADO</v>
          </cell>
        </row>
        <row r="147">
          <cell r="B147" t="str">
            <v>BEATRIZ LUCI FERNANDES</v>
          </cell>
          <cell r="E147" t="str">
            <v>APROVADO</v>
          </cell>
          <cell r="F147" t="str">
            <v>APROVADO</v>
          </cell>
          <cell r="G147" t="str">
            <v>APROVADO</v>
          </cell>
          <cell r="H147" t="str">
            <v>APROVADO</v>
          </cell>
        </row>
        <row r="148">
          <cell r="B148" t="str">
            <v>BEATRIZ MOREIRA BEZERRA VIEIRA</v>
          </cell>
          <cell r="E148" t="str">
            <v>APROVADO</v>
          </cell>
          <cell r="F148" t="str">
            <v>APROVADO</v>
          </cell>
          <cell r="G148" t="str">
            <v>APROVADO</v>
          </cell>
          <cell r="H148" t="str">
            <v>APROVADO</v>
          </cell>
        </row>
        <row r="149">
          <cell r="B149" t="str">
            <v>BEATRIZ POLIDORI ZECHLINSKI</v>
          </cell>
          <cell r="E149" t="str">
            <v>APROVADO</v>
          </cell>
          <cell r="F149" t="str">
            <v>APROVADO</v>
          </cell>
          <cell r="G149" t="str">
            <v>APROVADO</v>
          </cell>
          <cell r="H149" t="str">
            <v>APROVADO</v>
          </cell>
        </row>
        <row r="150">
          <cell r="B150" t="str">
            <v>BERNARDO STROBEL GUIMARAES</v>
          </cell>
          <cell r="E150" t="str">
            <v>APROVADO</v>
          </cell>
          <cell r="F150" t="str">
            <v>APROVADO</v>
          </cell>
          <cell r="G150" t="str">
            <v>APROVADO</v>
          </cell>
          <cell r="H150" t="str">
            <v>APROVADO</v>
          </cell>
        </row>
        <row r="151">
          <cell r="B151" t="str">
            <v>BIANCA MENDES RATI</v>
          </cell>
          <cell r="E151" t="str">
            <v>APROVADO</v>
          </cell>
          <cell r="F151" t="str">
            <v>APROVADO</v>
          </cell>
          <cell r="G151" t="str">
            <v>APROVADO</v>
          </cell>
          <cell r="H151" t="str">
            <v>APROVADO</v>
          </cell>
        </row>
        <row r="152">
          <cell r="B152" t="str">
            <v>BORTOLO VALLE</v>
          </cell>
          <cell r="E152" t="str">
            <v>APROVADO</v>
          </cell>
          <cell r="F152" t="str">
            <v>APROVADO</v>
          </cell>
          <cell r="G152" t="str">
            <v>APROVADO</v>
          </cell>
          <cell r="H152" t="str">
            <v>APROVADO</v>
          </cell>
        </row>
        <row r="153">
          <cell r="B153" t="str">
            <v>BRENDA GISELLE SANCHEZ LEYTON</v>
          </cell>
          <cell r="E153" t="str">
            <v>APROVADO</v>
          </cell>
          <cell r="F153" t="str">
            <v>APROVADO</v>
          </cell>
          <cell r="G153" t="str">
            <v>APROVADO</v>
          </cell>
          <cell r="H153" t="str">
            <v>APROVADO</v>
          </cell>
        </row>
        <row r="154">
          <cell r="B154" t="str">
            <v>BRUNA LUIZA DO NASCIMENTO GONCHOROSKY</v>
          </cell>
          <cell r="E154" t="str">
            <v>APROVADO</v>
          </cell>
          <cell r="F154" t="str">
            <v>APROVADO</v>
          </cell>
          <cell r="G154" t="str">
            <v>APROVADO</v>
          </cell>
          <cell r="H154" t="str">
            <v>APROVADO</v>
          </cell>
        </row>
        <row r="155">
          <cell r="B155" t="str">
            <v>BRUNA MARIA DE SOUZA</v>
          </cell>
          <cell r="E155" t="str">
            <v>APROVADO</v>
          </cell>
          <cell r="F155" t="str">
            <v>APROVADO</v>
          </cell>
          <cell r="G155" t="str">
            <v>APROVADO</v>
          </cell>
          <cell r="H155" t="str">
            <v>APROVADO</v>
          </cell>
        </row>
        <row r="156">
          <cell r="B156" t="str">
            <v>BRUNA MARTINS DZIVIELEVSKI DA CAMARA</v>
          </cell>
          <cell r="E156" t="str">
            <v>APROVADO</v>
          </cell>
          <cell r="F156" t="str">
            <v>APROVADO</v>
          </cell>
          <cell r="G156" t="str">
            <v>APROVADO</v>
          </cell>
          <cell r="H156" t="str">
            <v>APROVADO</v>
          </cell>
        </row>
        <row r="157">
          <cell r="B157" t="str">
            <v>BRUNA ROBERTA SILVEIRA BERBERT</v>
          </cell>
          <cell r="E157" t="str">
            <v>APROVADO</v>
          </cell>
          <cell r="F157" t="str">
            <v>APROVADO</v>
          </cell>
          <cell r="G157" t="str">
            <v>APROVADO</v>
          </cell>
          <cell r="H157" t="str">
            <v>APROVADO</v>
          </cell>
        </row>
        <row r="158">
          <cell r="B158" t="str">
            <v>BRUNO AUGUSTO HASENAUER ZAITTER</v>
          </cell>
          <cell r="E158" t="str">
            <v>APROVADO</v>
          </cell>
          <cell r="F158" t="str">
            <v>APROVADO</v>
          </cell>
          <cell r="G158" t="str">
            <v>APROVADO</v>
          </cell>
          <cell r="H158" t="str">
            <v>APROVADO</v>
          </cell>
        </row>
        <row r="159">
          <cell r="B159" t="str">
            <v>BRUNO AZZANI BRAGA</v>
          </cell>
          <cell r="E159" t="str">
            <v>APROVADO</v>
          </cell>
          <cell r="F159" t="str">
            <v>APROVADO</v>
          </cell>
          <cell r="G159" t="str">
            <v>APROVADO</v>
          </cell>
          <cell r="H159" t="str">
            <v>APROVADO</v>
          </cell>
        </row>
        <row r="160">
          <cell r="B160" t="str">
            <v>BRUNO BERTOLI ESMANHOTTO</v>
          </cell>
          <cell r="E160" t="str">
            <v>APROVADO</v>
          </cell>
          <cell r="F160" t="str">
            <v>APROVADO</v>
          </cell>
          <cell r="G160" t="str">
            <v>APROVADO</v>
          </cell>
          <cell r="H160" t="str">
            <v>APROVADO</v>
          </cell>
        </row>
        <row r="161">
          <cell r="B161" t="str">
            <v>BRUNO CAMPAGNOLO DE PAULA</v>
          </cell>
          <cell r="E161" t="str">
            <v>APROVADO</v>
          </cell>
          <cell r="F161" t="str">
            <v>APROVADO</v>
          </cell>
          <cell r="G161" t="str">
            <v>APROVADO</v>
          </cell>
          <cell r="H161" t="str">
            <v>APROVADO</v>
          </cell>
        </row>
        <row r="162">
          <cell r="B162" t="str">
            <v>BRUNO LEAL VIANNA</v>
          </cell>
          <cell r="E162" t="str">
            <v>APROVADO</v>
          </cell>
          <cell r="F162" t="str">
            <v>APROVADO</v>
          </cell>
          <cell r="G162" t="str">
            <v>APROVADO</v>
          </cell>
          <cell r="H162" t="str">
            <v>APROVADO</v>
          </cell>
        </row>
        <row r="163">
          <cell r="B163" t="str">
            <v>BRUNO MENESES LORENZETTO</v>
          </cell>
          <cell r="E163" t="str">
            <v>APROVADO</v>
          </cell>
          <cell r="F163" t="str">
            <v>APROVADO</v>
          </cell>
          <cell r="G163" t="str">
            <v>APROVADO</v>
          </cell>
          <cell r="H163" t="str">
            <v>APROVADO</v>
          </cell>
        </row>
        <row r="164">
          <cell r="B164" t="str">
            <v>BRUNO RAPHAEL DA CUNHA DOBICZ</v>
          </cell>
          <cell r="E164" t="str">
            <v>APROVADO</v>
          </cell>
          <cell r="F164" t="str">
            <v>APROVADO</v>
          </cell>
          <cell r="G164" t="str">
            <v>APROVADO</v>
          </cell>
          <cell r="H164" t="str">
            <v>APROVADO</v>
          </cell>
        </row>
        <row r="165">
          <cell r="B165" t="str">
            <v>BRUNO SPADONI</v>
          </cell>
          <cell r="E165" t="str">
            <v>APROVADO</v>
          </cell>
          <cell r="F165" t="str">
            <v>APROVADO</v>
          </cell>
          <cell r="G165" t="str">
            <v>APROVADO</v>
          </cell>
          <cell r="H165" t="str">
            <v>APROVADO</v>
          </cell>
        </row>
        <row r="166">
          <cell r="B166" t="str">
            <v>CAINA ALVES</v>
          </cell>
          <cell r="E166" t="str">
            <v>APROVADO</v>
          </cell>
          <cell r="F166" t="str">
            <v>APROVADO</v>
          </cell>
          <cell r="G166" t="str">
            <v>APROVADO</v>
          </cell>
          <cell r="H166" t="str">
            <v>APROVADO</v>
          </cell>
        </row>
        <row r="167">
          <cell r="B167" t="str">
            <v>CAIO AUGUSTO CAMARGO DA SILVA</v>
          </cell>
          <cell r="E167" t="str">
            <v>APROVADO</v>
          </cell>
          <cell r="F167" t="str">
            <v>APROVADO</v>
          </cell>
          <cell r="G167" t="str">
            <v>APROVADO</v>
          </cell>
          <cell r="H167" t="str">
            <v>APROVADO</v>
          </cell>
        </row>
        <row r="168">
          <cell r="B168" t="str">
            <v>CAIO CESAR SILVA DE CASTRO</v>
          </cell>
          <cell r="E168" t="str">
            <v>APROVADO</v>
          </cell>
          <cell r="F168" t="str">
            <v>APROVADO</v>
          </cell>
          <cell r="G168" t="str">
            <v>APROVADO</v>
          </cell>
          <cell r="H168" t="str">
            <v>APROVADO</v>
          </cell>
        </row>
        <row r="169">
          <cell r="B169" t="str">
            <v>CAIO HENRIQUE DE OLIVEIRA CARNIATTO</v>
          </cell>
          <cell r="E169" t="str">
            <v>APROVADO</v>
          </cell>
          <cell r="F169" t="str">
            <v>APROVADO</v>
          </cell>
          <cell r="G169" t="str">
            <v>APROVADO</v>
          </cell>
          <cell r="H169" t="str">
            <v>APROVADO</v>
          </cell>
        </row>
        <row r="170">
          <cell r="B170" t="str">
            <v>CALUE PAPCKE</v>
          </cell>
          <cell r="E170" t="str">
            <v>APROVADO</v>
          </cell>
          <cell r="F170" t="str">
            <v>APROVADO</v>
          </cell>
          <cell r="G170" t="str">
            <v>APROVADO</v>
          </cell>
          <cell r="H170" t="str">
            <v>APROVADO</v>
          </cell>
        </row>
        <row r="171">
          <cell r="B171" t="str">
            <v>CAMILA AMENT GIULIANI DOS SANTOS FRANCO</v>
          </cell>
          <cell r="E171" t="str">
            <v>APROVADO</v>
          </cell>
          <cell r="F171" t="str">
            <v>APROVADO</v>
          </cell>
          <cell r="G171" t="str">
            <v>APROVADO</v>
          </cell>
          <cell r="H171" t="str">
            <v>APROVADO</v>
          </cell>
        </row>
        <row r="172">
          <cell r="B172" t="str">
            <v>CAMILA ARFELLI CABRERA</v>
          </cell>
          <cell r="E172" t="str">
            <v>APROVADO</v>
          </cell>
          <cell r="F172" t="str">
            <v>APROVADO</v>
          </cell>
          <cell r="G172" t="str">
            <v>APROVADO</v>
          </cell>
          <cell r="H172" t="str">
            <v>APROVADO</v>
          </cell>
        </row>
        <row r="173">
          <cell r="B173" t="str">
            <v>CAMILA BATISTA</v>
          </cell>
          <cell r="E173" t="str">
            <v>FINALIZADO</v>
          </cell>
          <cell r="F173" t="str">
            <v>FINALIZADO</v>
          </cell>
          <cell r="G173" t="str">
            <v>FINALIZADO</v>
          </cell>
          <cell r="H173" t="str">
            <v>FINALIZADO</v>
          </cell>
        </row>
        <row r="174">
          <cell r="B174" t="str">
            <v>CAMILA BIZARRO DA SILVA</v>
          </cell>
          <cell r="E174" t="str">
            <v>APROVADO</v>
          </cell>
          <cell r="F174" t="str">
            <v>APROVADO</v>
          </cell>
          <cell r="G174" t="str">
            <v>APROVADO</v>
          </cell>
          <cell r="H174" t="str">
            <v>APROVADO</v>
          </cell>
        </row>
        <row r="175">
          <cell r="B175" t="str">
            <v>CAMILA FUKUDA GOMES SANTOS</v>
          </cell>
          <cell r="E175" t="str">
            <v>APROVADO</v>
          </cell>
          <cell r="F175" t="str">
            <v>APROVADO</v>
          </cell>
          <cell r="G175" t="str">
            <v>APROVADO</v>
          </cell>
          <cell r="H175" t="str">
            <v>APROVADO</v>
          </cell>
        </row>
        <row r="176">
          <cell r="B176" t="str">
            <v>CAMILA HARTMANN</v>
          </cell>
          <cell r="E176" t="str">
            <v>APROVADO</v>
          </cell>
          <cell r="F176" t="str">
            <v>APROVADO</v>
          </cell>
          <cell r="G176" t="str">
            <v>APROVADO</v>
          </cell>
          <cell r="H176" t="str">
            <v>APROVADO</v>
          </cell>
        </row>
        <row r="177">
          <cell r="B177" t="str">
            <v>CAMILA MAIA DE OLIVEIRA BORGES PARANA</v>
          </cell>
          <cell r="E177" t="str">
            <v>APROVADO</v>
          </cell>
          <cell r="F177" t="str">
            <v>APROVADO</v>
          </cell>
          <cell r="G177" t="str">
            <v>APROVADO</v>
          </cell>
          <cell r="H177" t="str">
            <v>APROVADO</v>
          </cell>
        </row>
        <row r="178">
          <cell r="B178" t="str">
            <v>CAMILA MONTEIRO MAZZARIN BORGES</v>
          </cell>
          <cell r="E178" t="str">
            <v>APROVADO</v>
          </cell>
          <cell r="F178" t="str">
            <v>APROVADO</v>
          </cell>
          <cell r="G178" t="str">
            <v>APROVADO</v>
          </cell>
          <cell r="H178" t="str">
            <v>APROVADO</v>
          </cell>
        </row>
        <row r="179">
          <cell r="B179" t="str">
            <v>CAMILO DALLAGNOL</v>
          </cell>
          <cell r="E179" t="str">
            <v>APROVADO</v>
          </cell>
          <cell r="F179" t="str">
            <v>APROVADO</v>
          </cell>
          <cell r="G179" t="str">
            <v>APROVADO</v>
          </cell>
          <cell r="H179" t="str">
            <v>APROVADO</v>
          </cell>
        </row>
        <row r="180">
          <cell r="B180" t="str">
            <v>CARINA HONORIO ROTTER</v>
          </cell>
          <cell r="E180" t="str">
            <v>APROVADO</v>
          </cell>
          <cell r="F180" t="str">
            <v>APROVADO</v>
          </cell>
          <cell r="G180" t="str">
            <v>APROVADO</v>
          </cell>
          <cell r="H180" t="str">
            <v>APROVADO</v>
          </cell>
        </row>
        <row r="181">
          <cell r="B181" t="str">
            <v>CARLA CORRADI PERINI</v>
          </cell>
          <cell r="E181" t="str">
            <v>APROVADO</v>
          </cell>
          <cell r="F181" t="str">
            <v>APROVADO</v>
          </cell>
          <cell r="G181" t="str">
            <v>APROVADO</v>
          </cell>
          <cell r="H181" t="str">
            <v>APROVADO</v>
          </cell>
        </row>
        <row r="182">
          <cell r="B182" t="str">
            <v>CARLA DA ROS</v>
          </cell>
          <cell r="E182" t="str">
            <v>APROVADO</v>
          </cell>
          <cell r="F182" t="str">
            <v>APROVADO</v>
          </cell>
          <cell r="G182" t="str">
            <v>APROVADO</v>
          </cell>
          <cell r="H182" t="str">
            <v>APROVADO</v>
          </cell>
        </row>
        <row r="183">
          <cell r="B183" t="str">
            <v>CARLA DE CASTRO FERREIRA</v>
          </cell>
          <cell r="E183" t="str">
            <v>APROVADO</v>
          </cell>
          <cell r="F183" t="str">
            <v>APROVADO</v>
          </cell>
          <cell r="G183" t="str">
            <v>APROVADO</v>
          </cell>
          <cell r="H183" t="str">
            <v>APROVADO</v>
          </cell>
        </row>
        <row r="184">
          <cell r="B184" t="str">
            <v>CARLA FREITAS SILVEIRA NETTO</v>
          </cell>
          <cell r="E184" t="str">
            <v>APROVADO</v>
          </cell>
          <cell r="F184" t="str">
            <v>APROVADO</v>
          </cell>
          <cell r="G184" t="str">
            <v>APROVADO</v>
          </cell>
          <cell r="H184" t="str">
            <v>APROVADO</v>
          </cell>
        </row>
        <row r="185">
          <cell r="B185" t="str">
            <v>CARLA MACHI PUCCI</v>
          </cell>
          <cell r="E185" t="str">
            <v>APROVADO</v>
          </cell>
          <cell r="F185" t="str">
            <v>APROVADO</v>
          </cell>
          <cell r="G185" t="str">
            <v>APROVADO</v>
          </cell>
          <cell r="H185" t="str">
            <v>APROVADO</v>
          </cell>
        </row>
        <row r="186">
          <cell r="B186" t="str">
            <v>CARLO RENATO BORGES</v>
          </cell>
          <cell r="E186" t="str">
            <v>APROVADO</v>
          </cell>
          <cell r="F186" t="str">
            <v>APROVADO</v>
          </cell>
          <cell r="G186" t="str">
            <v>APROVADO</v>
          </cell>
          <cell r="H186" t="str">
            <v>APROVADO</v>
          </cell>
        </row>
        <row r="187">
          <cell r="B187" t="str">
            <v>CARLOS ALBERTO DEBIASI</v>
          </cell>
          <cell r="E187" t="str">
            <v>APROVADO</v>
          </cell>
          <cell r="F187" t="str">
            <v>APROVADO</v>
          </cell>
          <cell r="G187" t="str">
            <v>APROVADO</v>
          </cell>
          <cell r="H187" t="str">
            <v>APROVADO</v>
          </cell>
        </row>
        <row r="188">
          <cell r="B188" t="str">
            <v>CARLOS ALBERTO ENGELHORN</v>
          </cell>
          <cell r="E188" t="str">
            <v>APROVADO</v>
          </cell>
          <cell r="F188" t="str">
            <v>APROVADO</v>
          </cell>
          <cell r="G188" t="str">
            <v>APROVADO</v>
          </cell>
          <cell r="H188" t="str">
            <v>APROVADO</v>
          </cell>
        </row>
        <row r="189">
          <cell r="B189" t="str">
            <v>CARLOS ALBERTO FERNANDES BALTAR</v>
          </cell>
          <cell r="E189" t="str">
            <v>APROVADO</v>
          </cell>
          <cell r="F189" t="str">
            <v>APROVADO</v>
          </cell>
          <cell r="G189" t="str">
            <v>APROVADO</v>
          </cell>
          <cell r="H189" t="str">
            <v>APROVADO</v>
          </cell>
        </row>
        <row r="190">
          <cell r="B190" t="str">
            <v>CARLOS ALBERTO MATTOZO</v>
          </cell>
          <cell r="E190" t="str">
            <v>APROVADO</v>
          </cell>
          <cell r="F190" t="str">
            <v>APROVADO</v>
          </cell>
          <cell r="G190" t="str">
            <v>APROVADO</v>
          </cell>
          <cell r="H190" t="str">
            <v>APROVADO</v>
          </cell>
        </row>
        <row r="191">
          <cell r="B191" t="str">
            <v>CARLOS ALEXANDRE TWARDOWSCHY</v>
          </cell>
          <cell r="E191" t="str">
            <v>APROVADO</v>
          </cell>
          <cell r="F191" t="str">
            <v>APROVADO</v>
          </cell>
          <cell r="G191" t="str">
            <v>APROVADO</v>
          </cell>
          <cell r="H191" t="str">
            <v>APROVADO</v>
          </cell>
        </row>
        <row r="192">
          <cell r="B192" t="str">
            <v>CARLOS ARTEAGA RODRIGUEZ</v>
          </cell>
          <cell r="E192" t="str">
            <v>APROVADO</v>
          </cell>
          <cell r="F192" t="str">
            <v>APROVADO</v>
          </cell>
          <cell r="G192" t="str">
            <v>APROVADO</v>
          </cell>
          <cell r="H192" t="str">
            <v>APROVADO</v>
          </cell>
        </row>
        <row r="193">
          <cell r="B193" t="str">
            <v>CARLOS AUGUSTO CANDEO FONTANINI</v>
          </cell>
          <cell r="E193" t="str">
            <v>APROVADO</v>
          </cell>
          <cell r="F193" t="str">
            <v>APROVADO</v>
          </cell>
          <cell r="G193" t="str">
            <v>APROVADO</v>
          </cell>
          <cell r="H193" t="str">
            <v>APROVADO</v>
          </cell>
        </row>
        <row r="194">
          <cell r="B194" t="str">
            <v>CARLOS AUGUSTO HENNING LAURINDO</v>
          </cell>
          <cell r="E194" t="str">
            <v>APROVADO</v>
          </cell>
          <cell r="F194" t="str">
            <v>APROVADO</v>
          </cell>
          <cell r="G194" t="str">
            <v>APROVADO</v>
          </cell>
          <cell r="H194" t="str">
            <v>APROVADO</v>
          </cell>
        </row>
        <row r="195">
          <cell r="B195" t="str">
            <v>CARLOS EDUARDO ALVES GARCIA</v>
          </cell>
          <cell r="E195" t="str">
            <v>APROVADO</v>
          </cell>
          <cell r="F195" t="str">
            <v>APROVADO</v>
          </cell>
          <cell r="G195" t="str">
            <v>APROVADO</v>
          </cell>
          <cell r="H195" t="str">
            <v>APROVADO</v>
          </cell>
        </row>
        <row r="196">
          <cell r="B196" t="str">
            <v>CARLOS EDUARDO CAMARGO</v>
          </cell>
          <cell r="E196" t="str">
            <v>APROVADO</v>
          </cell>
          <cell r="F196" t="str">
            <v>APROVADO</v>
          </cell>
          <cell r="G196" t="str">
            <v>APROVADO</v>
          </cell>
          <cell r="H196" t="str">
            <v>APROVADO</v>
          </cell>
        </row>
        <row r="197">
          <cell r="B197" t="str">
            <v>CARLOS EDUARDO CORAL DE OLIVEIRA</v>
          </cell>
          <cell r="E197" t="str">
            <v>APROVADO</v>
          </cell>
          <cell r="F197" t="str">
            <v>APROVADO</v>
          </cell>
          <cell r="G197" t="str">
            <v>APROVADO</v>
          </cell>
          <cell r="H197" t="str">
            <v>APROVADO</v>
          </cell>
        </row>
        <row r="198">
          <cell r="B198" t="str">
            <v>CARLOS EDUARDO LUNELLI</v>
          </cell>
          <cell r="E198" t="str">
            <v>APROVADO</v>
          </cell>
          <cell r="F198" t="str">
            <v>APROVADO</v>
          </cell>
          <cell r="G198" t="str">
            <v>APROVADO</v>
          </cell>
          <cell r="H198" t="str">
            <v>APROVADO</v>
          </cell>
        </row>
        <row r="199">
          <cell r="B199" t="str">
            <v>CARLOS EDUARDO PEREIRA DUTRA</v>
          </cell>
          <cell r="E199" t="str">
            <v>APROVADO</v>
          </cell>
          <cell r="F199" t="str">
            <v>APROVADO</v>
          </cell>
          <cell r="G199" t="str">
            <v>APROVADO</v>
          </cell>
          <cell r="H199" t="str">
            <v>APROVADO</v>
          </cell>
        </row>
        <row r="200">
          <cell r="B200" t="str">
            <v>CARLOS FREDERICO MARES DE SOUZA FILHO</v>
          </cell>
          <cell r="E200" t="str">
            <v>APROVADO</v>
          </cell>
          <cell r="F200" t="str">
            <v>APROVADO</v>
          </cell>
          <cell r="G200" t="str">
            <v>APROVADO</v>
          </cell>
          <cell r="H200" t="str">
            <v>APROVADO</v>
          </cell>
        </row>
        <row r="201">
          <cell r="B201" t="str">
            <v>CARLOS FREDERICO OLDENBURG NETO</v>
          </cell>
          <cell r="E201" t="str">
            <v>APROVADO</v>
          </cell>
          <cell r="F201" t="str">
            <v>APROVADO</v>
          </cell>
          <cell r="G201" t="str">
            <v>APROVADO</v>
          </cell>
          <cell r="H201" t="str">
            <v>APROVADO</v>
          </cell>
        </row>
        <row r="202">
          <cell r="B202" t="str">
            <v>CARLOS HARDT</v>
          </cell>
          <cell r="E202" t="str">
            <v>APROVADO</v>
          </cell>
          <cell r="F202" t="str">
            <v>APROVADO</v>
          </cell>
          <cell r="G202" t="str">
            <v>APROVADO</v>
          </cell>
          <cell r="H202" t="str">
            <v>APROVADO</v>
          </cell>
        </row>
        <row r="203">
          <cell r="B203" t="str">
            <v>CARLOS HUMBERTO GUILMAN TANIZAWA</v>
          </cell>
          <cell r="E203" t="str">
            <v>APROVADO</v>
          </cell>
          <cell r="F203" t="str">
            <v>APROVADO</v>
          </cell>
          <cell r="G203" t="str">
            <v>APROVADO</v>
          </cell>
          <cell r="H203" t="str">
            <v>APROVADO</v>
          </cell>
        </row>
        <row r="204">
          <cell r="B204" t="str">
            <v>CARLOS JOSE GOMES</v>
          </cell>
          <cell r="E204" t="str">
            <v>APROVADO</v>
          </cell>
          <cell r="F204" t="str">
            <v>APROVADO</v>
          </cell>
          <cell r="G204" t="str">
            <v>APROVADO</v>
          </cell>
          <cell r="H204" t="str">
            <v>APROVADO</v>
          </cell>
        </row>
        <row r="205">
          <cell r="B205" t="str">
            <v>CARLOS MANOEL JACOPETTI ALMEIDA</v>
          </cell>
          <cell r="E205" t="str">
            <v>APROVADO</v>
          </cell>
          <cell r="F205" t="str">
            <v>APROVADO</v>
          </cell>
          <cell r="G205" t="str">
            <v>APROVADO</v>
          </cell>
          <cell r="H205" t="str">
            <v>APROVADO</v>
          </cell>
        </row>
        <row r="206">
          <cell r="B206" t="str">
            <v>CARLOS RENATO CUNHA</v>
          </cell>
          <cell r="E206" t="str">
            <v>APROVADO</v>
          </cell>
          <cell r="F206" t="str">
            <v>APROVADO</v>
          </cell>
          <cell r="G206" t="str">
            <v>APROVADO</v>
          </cell>
          <cell r="H206" t="str">
            <v>APROVADO</v>
          </cell>
        </row>
        <row r="207">
          <cell r="B207" t="str">
            <v>CARLOS ROBERTO ROMANIELLO</v>
          </cell>
          <cell r="E207" t="str">
            <v>APROVADO</v>
          </cell>
          <cell r="F207" t="str">
            <v>APROVADO</v>
          </cell>
          <cell r="G207" t="str">
            <v>APROVADO</v>
          </cell>
          <cell r="H207" t="str">
            <v>APROVADO</v>
          </cell>
        </row>
        <row r="208">
          <cell r="B208" t="str">
            <v>CARMEN LUCIA KUNIYOSHI REBELATTO</v>
          </cell>
          <cell r="E208" t="str">
            <v>APROVADO</v>
          </cell>
          <cell r="F208" t="str">
            <v>APROVADO</v>
          </cell>
          <cell r="G208" t="str">
            <v>APROVADO</v>
          </cell>
          <cell r="H208" t="str">
            <v>APROVADO</v>
          </cell>
        </row>
        <row r="209">
          <cell r="B209" t="str">
            <v>CARMEN LUCIANE SANSON ABOURIHAN</v>
          </cell>
          <cell r="E209" t="str">
            <v>APROVADO</v>
          </cell>
          <cell r="F209" t="str">
            <v>APROVADO</v>
          </cell>
          <cell r="G209" t="str">
            <v>APROVADO</v>
          </cell>
          <cell r="H209" t="str">
            <v>APROVADO</v>
          </cell>
        </row>
        <row r="210">
          <cell r="B210" t="str">
            <v>CAROLINA CAIRES MOTTA</v>
          </cell>
          <cell r="E210" t="str">
            <v>APROVADO</v>
          </cell>
          <cell r="F210" t="str">
            <v>APROVADO</v>
          </cell>
          <cell r="G210" t="str">
            <v>APROVADO</v>
          </cell>
          <cell r="H210" t="str">
            <v>APROVADO</v>
          </cell>
        </row>
        <row r="211">
          <cell r="B211" t="str">
            <v>CAROLINA DE MIRANDA PINELI ALVES</v>
          </cell>
          <cell r="E211" t="str">
            <v>APROVADO</v>
          </cell>
          <cell r="F211" t="str">
            <v>APROVADO</v>
          </cell>
          <cell r="G211" t="str">
            <v>APROVADO</v>
          </cell>
          <cell r="H211" t="str">
            <v>APROVADO</v>
          </cell>
        </row>
        <row r="212">
          <cell r="B212" t="str">
            <v>CAROLINA KOSMA KRIEGER</v>
          </cell>
          <cell r="E212" t="str">
            <v>APROVADO</v>
          </cell>
          <cell r="F212" t="str">
            <v>APROVADO</v>
          </cell>
          <cell r="G212" t="str">
            <v>APROVADO</v>
          </cell>
          <cell r="H212" t="str">
            <v>APROVADO</v>
          </cell>
        </row>
        <row r="213">
          <cell r="B213" t="str">
            <v>CAROLINA ROSSETTI SEVERO</v>
          </cell>
          <cell r="E213" t="str">
            <v>APROVADO</v>
          </cell>
          <cell r="F213" t="str">
            <v>APROVADO</v>
          </cell>
          <cell r="G213" t="str">
            <v>APROVADO</v>
          </cell>
          <cell r="H213" t="str">
            <v>APROVADO</v>
          </cell>
        </row>
        <row r="214">
          <cell r="B214" t="str">
            <v>CAROLINA ZAGHI CAVALCANTE HENDGES</v>
          </cell>
          <cell r="E214" t="str">
            <v>APROVADO</v>
          </cell>
          <cell r="F214" t="str">
            <v>APROVADO</v>
          </cell>
          <cell r="G214" t="str">
            <v>APROVADO</v>
          </cell>
          <cell r="H214" t="str">
            <v>APROVADO</v>
          </cell>
        </row>
        <row r="215">
          <cell r="B215" t="str">
            <v>CAROLINE BUSATTA VAZ DE PAULA</v>
          </cell>
          <cell r="E215" t="str">
            <v>APROVADO</v>
          </cell>
          <cell r="F215" t="str">
            <v>APROVADO</v>
          </cell>
          <cell r="G215" t="str">
            <v>APROVADO</v>
          </cell>
          <cell r="H215" t="str">
            <v>APROVADO</v>
          </cell>
        </row>
        <row r="216">
          <cell r="B216" t="str">
            <v>CAROLINE DE PAULA VENEZIAN RICCETTO</v>
          </cell>
          <cell r="E216" t="str">
            <v>FINALIZADO</v>
          </cell>
          <cell r="F216" t="str">
            <v>FINALIZADO</v>
          </cell>
          <cell r="G216" t="str">
            <v>FINALIZADO</v>
          </cell>
          <cell r="H216" t="str">
            <v>FINALIZADO</v>
          </cell>
        </row>
        <row r="217">
          <cell r="B217" t="str">
            <v>CAROLINE EHLKE GONZAGA</v>
          </cell>
          <cell r="E217" t="str">
            <v>APROVADO</v>
          </cell>
          <cell r="F217" t="str">
            <v>APROVADO</v>
          </cell>
          <cell r="G217" t="str">
            <v>APROVADO</v>
          </cell>
          <cell r="H217" t="str">
            <v>APROVADO</v>
          </cell>
        </row>
        <row r="218">
          <cell r="B218" t="str">
            <v>CAROLINE FILLA ROSANELI</v>
          </cell>
          <cell r="E218" t="str">
            <v>APROVADO</v>
          </cell>
          <cell r="F218" t="str">
            <v>APROVADO</v>
          </cell>
          <cell r="G218" t="str">
            <v>APROVADO</v>
          </cell>
          <cell r="H218" t="str">
            <v>APROVADO</v>
          </cell>
        </row>
        <row r="219">
          <cell r="B219" t="str">
            <v>CAROLINE HOSCHEID WERLE</v>
          </cell>
          <cell r="E219" t="str">
            <v>APROVADO</v>
          </cell>
          <cell r="F219" t="str">
            <v>APROVADO</v>
          </cell>
          <cell r="G219" t="str">
            <v>APROVADO</v>
          </cell>
          <cell r="H219" t="str">
            <v>APROVADO</v>
          </cell>
        </row>
        <row r="220">
          <cell r="B220" t="str">
            <v>CAROLINE KRETZMANN</v>
          </cell>
          <cell r="E220" t="str">
            <v>APROVADO</v>
          </cell>
          <cell r="F220" t="str">
            <v>APROVADO</v>
          </cell>
          <cell r="G220" t="str">
            <v>APROVADO</v>
          </cell>
          <cell r="H220" t="str">
            <v>APROVADO</v>
          </cell>
        </row>
        <row r="221">
          <cell r="B221" t="str">
            <v>CASSIA APARECIDA RODRIGUES</v>
          </cell>
          <cell r="E221" t="str">
            <v>APROVADO</v>
          </cell>
          <cell r="F221" t="str">
            <v>APROVADO</v>
          </cell>
          <cell r="G221" t="str">
            <v>APROVADO</v>
          </cell>
          <cell r="H221" t="str">
            <v>APROVADO</v>
          </cell>
        </row>
        <row r="222">
          <cell r="B222" t="str">
            <v>CASSIA MESSIAS PONS AYRES</v>
          </cell>
          <cell r="E222" t="str">
            <v>APROVADO</v>
          </cell>
          <cell r="F222" t="str">
            <v>APROVADO</v>
          </cell>
          <cell r="G222" t="str">
            <v>APROVADO</v>
          </cell>
          <cell r="H222" t="str">
            <v>APROVADO</v>
          </cell>
        </row>
        <row r="223">
          <cell r="B223" t="str">
            <v>CASSIA REGINA NOGUEIRA GUIMARAES</v>
          </cell>
          <cell r="E223" t="str">
            <v>APROVADO</v>
          </cell>
          <cell r="F223" t="str">
            <v>APROVADO</v>
          </cell>
          <cell r="G223" t="str">
            <v>APROVADO</v>
          </cell>
          <cell r="H223" t="str">
            <v>APROVADO</v>
          </cell>
        </row>
        <row r="224">
          <cell r="B224" t="str">
            <v>CASSIO PREIS</v>
          </cell>
          <cell r="E224" t="str">
            <v>APROVADO</v>
          </cell>
          <cell r="F224" t="str">
            <v>APROVADO</v>
          </cell>
          <cell r="G224" t="str">
            <v>APROVADO</v>
          </cell>
          <cell r="H224" t="str">
            <v>APROVADO</v>
          </cell>
        </row>
        <row r="225">
          <cell r="B225" t="str">
            <v>CASSIO SLOMPO RAMOS</v>
          </cell>
          <cell r="E225" t="str">
            <v>APROVADO</v>
          </cell>
          <cell r="F225" t="str">
            <v>APROVADO</v>
          </cell>
          <cell r="G225" t="str">
            <v>APROVADO</v>
          </cell>
          <cell r="H225" t="str">
            <v>APROVADO</v>
          </cell>
        </row>
        <row r="226">
          <cell r="B226" t="str">
            <v>CAUE KRUGER</v>
          </cell>
          <cell r="E226" t="str">
            <v>AGUARDANDO APROVAÇÃO</v>
          </cell>
          <cell r="F226" t="str">
            <v>AGUARDANDO APROVAÇÃO</v>
          </cell>
          <cell r="G226" t="str">
            <v>AGUARDANDO APROVAÇÃO</v>
          </cell>
          <cell r="H226" t="str">
            <v>APROVADO</v>
          </cell>
        </row>
        <row r="227">
          <cell r="B227" t="str">
            <v>CELINA TIE NISHIMORI DUQUE</v>
          </cell>
          <cell r="E227" t="str">
            <v>APROVADO</v>
          </cell>
          <cell r="F227" t="str">
            <v>APROVADO</v>
          </cell>
          <cell r="G227" t="str">
            <v>APROVADO</v>
          </cell>
          <cell r="H227" t="str">
            <v>APROVADO</v>
          </cell>
        </row>
        <row r="228">
          <cell r="B228" t="str">
            <v>CELSO APPARECIDO ATHAYDE NETO</v>
          </cell>
          <cell r="E228" t="str">
            <v>APROVADO</v>
          </cell>
          <cell r="F228" t="str">
            <v>APROVADO</v>
          </cell>
          <cell r="G228" t="str">
            <v>APROVADO</v>
          </cell>
          <cell r="H228" t="str">
            <v>APROVADO</v>
          </cell>
        </row>
        <row r="229">
          <cell r="B229" t="str">
            <v>CESAR AUGUSTO KUZMA</v>
          </cell>
          <cell r="E229" t="str">
            <v>APROVADO</v>
          </cell>
          <cell r="F229" t="str">
            <v>APROVADO</v>
          </cell>
          <cell r="G229" t="str">
            <v>APROVADO</v>
          </cell>
          <cell r="H229" t="str">
            <v>APROVADO</v>
          </cell>
        </row>
        <row r="230">
          <cell r="B230" t="str">
            <v>CESAR AUGUSTO NEITZKE</v>
          </cell>
          <cell r="E230" t="str">
            <v>APROVADO</v>
          </cell>
          <cell r="F230" t="str">
            <v>APROVADO</v>
          </cell>
          <cell r="G230" t="str">
            <v>APROVADO</v>
          </cell>
          <cell r="H230" t="str">
            <v>APROVADO</v>
          </cell>
        </row>
        <row r="231">
          <cell r="B231" t="str">
            <v>CESAR CANDIOTTO</v>
          </cell>
          <cell r="E231" t="str">
            <v>APROVADO</v>
          </cell>
          <cell r="F231" t="str">
            <v>APROVADO</v>
          </cell>
          <cell r="G231" t="str">
            <v>APROVADO</v>
          </cell>
          <cell r="H231" t="str">
            <v>APROVADO</v>
          </cell>
        </row>
        <row r="232">
          <cell r="B232" t="str">
            <v>CESAR LEANDRO RIBEIRO</v>
          </cell>
          <cell r="E232" t="str">
            <v>APROVADO</v>
          </cell>
          <cell r="F232" t="str">
            <v>APROVADO</v>
          </cell>
          <cell r="G232" t="str">
            <v>APROVADO</v>
          </cell>
          <cell r="H232" t="str">
            <v>APROVADO</v>
          </cell>
        </row>
        <row r="233">
          <cell r="B233" t="str">
            <v>CEZAR AUGUSTO DE OLIVEIRA FRANCO</v>
          </cell>
          <cell r="E233" t="str">
            <v>APROVADO</v>
          </cell>
          <cell r="F233" t="str">
            <v>APROVADO</v>
          </cell>
          <cell r="G233" t="str">
            <v>APROVADO</v>
          </cell>
          <cell r="H233" t="str">
            <v>APROVADO</v>
          </cell>
        </row>
        <row r="234">
          <cell r="B234" t="str">
            <v>CEZAR BUENO DE LIMA</v>
          </cell>
          <cell r="E234" t="str">
            <v>APROVADO</v>
          </cell>
          <cell r="F234" t="str">
            <v>APROVADO</v>
          </cell>
          <cell r="G234" t="str">
            <v>APROVADO</v>
          </cell>
          <cell r="H234" t="str">
            <v>APROVADO</v>
          </cell>
        </row>
        <row r="235">
          <cell r="B235" t="str">
            <v>CHARLES EMMANUEL PARCHEN</v>
          </cell>
          <cell r="E235" t="str">
            <v>APROVADO</v>
          </cell>
          <cell r="F235" t="str">
            <v>APROVADO</v>
          </cell>
          <cell r="G235" t="str">
            <v>APROVADO</v>
          </cell>
          <cell r="H235" t="str">
            <v>APROVADO</v>
          </cell>
        </row>
        <row r="236">
          <cell r="B236" t="str">
            <v>CHRISTIAN SILVA DOS REIS</v>
          </cell>
          <cell r="E236" t="str">
            <v>APROVADO</v>
          </cell>
          <cell r="F236" t="str">
            <v>APROVADO</v>
          </cell>
          <cell r="G236" t="str">
            <v>APROVADO</v>
          </cell>
          <cell r="H236" t="str">
            <v>APROVADO</v>
          </cell>
        </row>
        <row r="237">
          <cell r="B237" t="str">
            <v>CHRISTIANO FRANCISCO DOS SANTOS</v>
          </cell>
          <cell r="E237" t="str">
            <v>APROVADO</v>
          </cell>
          <cell r="F237" t="str">
            <v>APROVADO</v>
          </cell>
          <cell r="G237" t="str">
            <v>APROVADO</v>
          </cell>
          <cell r="H237" t="str">
            <v>APROVADO</v>
          </cell>
        </row>
        <row r="238">
          <cell r="B238" t="str">
            <v>CILENE DA SILVA GOMES RIBEIRO</v>
          </cell>
          <cell r="E238" t="str">
            <v>APROVADO</v>
          </cell>
          <cell r="F238" t="str">
            <v>APROVADO</v>
          </cell>
          <cell r="G238" t="str">
            <v>APROVADO</v>
          </cell>
          <cell r="H238" t="str">
            <v>APROVADO</v>
          </cell>
        </row>
        <row r="239">
          <cell r="B239" t="str">
            <v>CINTHIA BITTENCOURT SPRICIGO</v>
          </cell>
          <cell r="E239" t="str">
            <v>APROVADO</v>
          </cell>
          <cell r="F239" t="str">
            <v>APROVADO</v>
          </cell>
          <cell r="G239" t="str">
            <v>APROVADO</v>
          </cell>
          <cell r="H239" t="str">
            <v>APROVADO</v>
          </cell>
        </row>
        <row r="240">
          <cell r="B240" t="str">
            <v>CINTHIA OBLADEN DE ALMENDRA FREITAS</v>
          </cell>
          <cell r="E240" t="str">
            <v>APROVADO</v>
          </cell>
          <cell r="F240" t="str">
            <v>APROVADO</v>
          </cell>
          <cell r="G240" t="str">
            <v>APROVADO</v>
          </cell>
          <cell r="H240" t="str">
            <v>APROVADO</v>
          </cell>
        </row>
        <row r="241">
          <cell r="B241" t="str">
            <v>CINTHIA SCHIMITH SILVA COELHO</v>
          </cell>
          <cell r="E241" t="str">
            <v>APROVADO</v>
          </cell>
          <cell r="F241" t="str">
            <v>APROVADO</v>
          </cell>
          <cell r="G241" t="str">
            <v>APROVADO</v>
          </cell>
          <cell r="H241" t="str">
            <v>APROVADO</v>
          </cell>
        </row>
        <row r="242">
          <cell r="B242" t="str">
            <v>CINTIA CRISTINA SARNOVSKI</v>
          </cell>
          <cell r="E242" t="str">
            <v>APROVADO</v>
          </cell>
          <cell r="F242" t="str">
            <v>APROVADO</v>
          </cell>
          <cell r="G242" t="str">
            <v>APROVADO</v>
          </cell>
          <cell r="H242" t="str">
            <v>APROVADO</v>
          </cell>
        </row>
        <row r="243">
          <cell r="B243" t="str">
            <v>CINTIA MIYUKI ODA</v>
          </cell>
          <cell r="E243" t="str">
            <v>APROVADO</v>
          </cell>
          <cell r="F243" t="str">
            <v>APROVADO</v>
          </cell>
          <cell r="G243" t="str">
            <v>APROVADO</v>
          </cell>
          <cell r="H243" t="str">
            <v>APROVADO</v>
          </cell>
        </row>
        <row r="244">
          <cell r="B244" t="str">
            <v>CLARA NASSER SCHERER</v>
          </cell>
          <cell r="E244" t="str">
            <v>APROVADO</v>
          </cell>
          <cell r="F244" t="str">
            <v>APROVADO</v>
          </cell>
          <cell r="G244" t="str">
            <v>APROVADO</v>
          </cell>
          <cell r="H244" t="str">
            <v>APROVADO</v>
          </cell>
        </row>
        <row r="245">
          <cell r="B245" t="str">
            <v>CLAUDETE MARIA ZACLIKEVIC</v>
          </cell>
          <cell r="E245" t="str">
            <v>APROVADO</v>
          </cell>
          <cell r="F245" t="str">
            <v>APROVADO</v>
          </cell>
          <cell r="G245" t="str">
            <v>APROVADO</v>
          </cell>
          <cell r="H245" t="str">
            <v>APROVADO</v>
          </cell>
        </row>
        <row r="246">
          <cell r="B246" t="str">
            <v>CLAUDIA BELLANDA PEGINI</v>
          </cell>
          <cell r="E246" t="str">
            <v>APROVADO</v>
          </cell>
          <cell r="F246" t="str">
            <v>APROVADO</v>
          </cell>
          <cell r="G246" t="str">
            <v>APROVADO</v>
          </cell>
          <cell r="H246" t="str">
            <v>APROVADO</v>
          </cell>
        </row>
        <row r="247">
          <cell r="B247" t="str">
            <v>CLAUDIA MARIA BARBOSA</v>
          </cell>
          <cell r="E247" t="str">
            <v>APROVADO</v>
          </cell>
          <cell r="F247" t="str">
            <v>APROVADO</v>
          </cell>
          <cell r="G247" t="str">
            <v>APROVADO</v>
          </cell>
          <cell r="H247" t="str">
            <v>APROVADO</v>
          </cell>
        </row>
        <row r="248">
          <cell r="B248" t="str">
            <v>CLAUDIA MARIA BORGES COSTA PINTO</v>
          </cell>
          <cell r="E248" t="str">
            <v>APROVADO</v>
          </cell>
          <cell r="F248" t="str">
            <v>APROVADO</v>
          </cell>
          <cell r="G248" t="str">
            <v>APROVADO</v>
          </cell>
          <cell r="H248" t="str">
            <v>APROVADO</v>
          </cell>
        </row>
        <row r="249">
          <cell r="B249" t="str">
            <v>CLAUDIA MARIA CABRAL MORO BARRA</v>
          </cell>
          <cell r="E249" t="str">
            <v>APROVADO</v>
          </cell>
          <cell r="F249" t="str">
            <v>APROVADO</v>
          </cell>
          <cell r="G249" t="str">
            <v>APROVADO</v>
          </cell>
          <cell r="H249" t="str">
            <v>APROVADO</v>
          </cell>
        </row>
        <row r="250">
          <cell r="B250" t="str">
            <v>CLAUDIA NASCIMENTO MONTEMOR</v>
          </cell>
          <cell r="E250" t="str">
            <v>APROVADO</v>
          </cell>
          <cell r="F250" t="str">
            <v>APROVADO</v>
          </cell>
          <cell r="G250" t="str">
            <v>APROVADO</v>
          </cell>
          <cell r="H250" t="str">
            <v>APROVADO</v>
          </cell>
        </row>
        <row r="251">
          <cell r="B251" t="str">
            <v>CLAUDIA TURRA PIMPAO</v>
          </cell>
          <cell r="E251" t="str">
            <v>APROVADO</v>
          </cell>
          <cell r="F251" t="str">
            <v>APROVADO</v>
          </cell>
          <cell r="G251" t="str">
            <v>APROVADO</v>
          </cell>
          <cell r="H251" t="str">
            <v>APROVADO</v>
          </cell>
        </row>
        <row r="252">
          <cell r="B252" t="str">
            <v>CLAUDIA VELOSO MUELLER</v>
          </cell>
          <cell r="E252" t="str">
            <v>APROVADO</v>
          </cell>
          <cell r="F252" t="str">
            <v>APROVADO</v>
          </cell>
          <cell r="G252" t="str">
            <v>APROVADO</v>
          </cell>
          <cell r="H252" t="str">
            <v>APROVADO</v>
          </cell>
        </row>
        <row r="253">
          <cell r="B253" t="str">
            <v>CLAUDINE APARECIDO TERRA</v>
          </cell>
          <cell r="E253" t="str">
            <v>APROVADO</v>
          </cell>
          <cell r="F253" t="str">
            <v>APROVADO</v>
          </cell>
          <cell r="G253" t="str">
            <v>APROVADO</v>
          </cell>
          <cell r="H253" t="str">
            <v>APROVADO</v>
          </cell>
        </row>
        <row r="254">
          <cell r="B254" t="str">
            <v>CLAUDIO JOSE BELTRAO</v>
          </cell>
          <cell r="E254" t="str">
            <v>APROVADO</v>
          </cell>
          <cell r="F254" t="str">
            <v>APROVADO</v>
          </cell>
          <cell r="G254" t="str">
            <v>APROVADO</v>
          </cell>
          <cell r="H254" t="str">
            <v>APROVADO</v>
          </cell>
        </row>
        <row r="255">
          <cell r="B255" t="str">
            <v>CLAUDIO MARCELO TKAC</v>
          </cell>
          <cell r="E255" t="str">
            <v>APROVADO</v>
          </cell>
          <cell r="F255" t="str">
            <v>APROVADO</v>
          </cell>
          <cell r="G255" t="str">
            <v>APROVADO</v>
          </cell>
          <cell r="H255" t="str">
            <v>APROVADO</v>
          </cell>
        </row>
        <row r="256">
          <cell r="B256" t="str">
            <v>CLAUDIO MARLUS SKORA</v>
          </cell>
          <cell r="E256" t="str">
            <v>AGUARDANDO APROVAÇÃO</v>
          </cell>
          <cell r="F256" t="str">
            <v>AGUARDANDO APROVAÇÃO</v>
          </cell>
          <cell r="G256" t="str">
            <v>AGUARDANDO APROVAÇÃO</v>
          </cell>
          <cell r="H256" t="str">
            <v>AGUARDANDO APROVAÇÃO</v>
          </cell>
        </row>
        <row r="257">
          <cell r="B257" t="str">
            <v>CLAUDIO RICARDO VIEIRA CARVILHE</v>
          </cell>
          <cell r="E257" t="str">
            <v>APROVADO</v>
          </cell>
          <cell r="F257" t="str">
            <v>APROVADO</v>
          </cell>
          <cell r="G257" t="str">
            <v>APROVADO</v>
          </cell>
          <cell r="H257" t="str">
            <v>APROVADO</v>
          </cell>
        </row>
        <row r="258">
          <cell r="B258" t="str">
            <v>CLAYTON FERNANDES DE SOUZA</v>
          </cell>
          <cell r="E258" t="str">
            <v>APROVADO</v>
          </cell>
          <cell r="F258" t="str">
            <v>APROVADO</v>
          </cell>
          <cell r="G258" t="str">
            <v>APROVADO</v>
          </cell>
          <cell r="H258" t="str">
            <v>APROVADO</v>
          </cell>
        </row>
        <row r="259">
          <cell r="B259" t="str">
            <v>CLAYTON SANTOS DO COUTO</v>
          </cell>
          <cell r="E259" t="str">
            <v>APROVADO</v>
          </cell>
          <cell r="F259" t="str">
            <v>APROVADO</v>
          </cell>
          <cell r="G259" t="str">
            <v>APROVADO</v>
          </cell>
          <cell r="H259" t="str">
            <v>APROVADO</v>
          </cell>
        </row>
        <row r="260">
          <cell r="B260" t="str">
            <v>CLEBER KIEL OLIVO</v>
          </cell>
          <cell r="E260" t="str">
            <v>APROVADO</v>
          </cell>
          <cell r="F260" t="str">
            <v>APROVADO</v>
          </cell>
          <cell r="G260" t="str">
            <v>APROVADO</v>
          </cell>
          <cell r="H260" t="str">
            <v>APROVADO</v>
          </cell>
        </row>
        <row r="261">
          <cell r="B261" t="str">
            <v>CLEBER MACHADO DE SOUZA</v>
          </cell>
          <cell r="E261" t="str">
            <v>APROVADO</v>
          </cell>
          <cell r="F261" t="str">
            <v>APROVADO</v>
          </cell>
          <cell r="G261" t="str">
            <v>APROVADO</v>
          </cell>
          <cell r="H261" t="str">
            <v>APROVADO</v>
          </cell>
        </row>
        <row r="262">
          <cell r="B262" t="str">
            <v>CLEO OTAVIANO MESA JUNIOR</v>
          </cell>
          <cell r="E262" t="str">
            <v>APROVADO</v>
          </cell>
          <cell r="F262" t="str">
            <v>APROVADO</v>
          </cell>
          <cell r="G262" t="str">
            <v>APROVADO</v>
          </cell>
          <cell r="H262" t="str">
            <v>APROVADO</v>
          </cell>
        </row>
        <row r="263">
          <cell r="B263" t="str">
            <v>CLEUSA DE CASTRO</v>
          </cell>
          <cell r="E263" t="str">
            <v>APROVADO</v>
          </cell>
          <cell r="F263" t="str">
            <v>APROVADO</v>
          </cell>
          <cell r="G263" t="str">
            <v>APROVADO</v>
          </cell>
          <cell r="H263" t="str">
            <v>APROVADO</v>
          </cell>
        </row>
        <row r="264">
          <cell r="B264" t="str">
            <v>CLEVERSON AVELINO FERREIRA</v>
          </cell>
          <cell r="E264" t="str">
            <v>APROVADO</v>
          </cell>
          <cell r="F264" t="str">
            <v>APROVADO</v>
          </cell>
          <cell r="G264" t="str">
            <v>APROVADO</v>
          </cell>
          <cell r="H264" t="str">
            <v>APROVADO</v>
          </cell>
        </row>
        <row r="265">
          <cell r="B265" t="str">
            <v>CLEYSON MATHIAS MORAIS DELVOSS</v>
          </cell>
          <cell r="E265" t="str">
            <v>APROVADO</v>
          </cell>
          <cell r="F265" t="str">
            <v>APROVADO</v>
          </cell>
          <cell r="G265" t="str">
            <v>APROVADO</v>
          </cell>
          <cell r="H265" t="str">
            <v>APROVADO</v>
          </cell>
        </row>
        <row r="266">
          <cell r="B266" t="str">
            <v>CLOVES ANTONIO DE AMISSIS AMORIM</v>
          </cell>
          <cell r="E266" t="str">
            <v>APROVADO</v>
          </cell>
          <cell r="F266" t="str">
            <v>APROVADO</v>
          </cell>
          <cell r="G266" t="str">
            <v>APROVADO</v>
          </cell>
          <cell r="H266" t="str">
            <v>APROVADO</v>
          </cell>
        </row>
        <row r="267">
          <cell r="B267" t="str">
            <v>CLOVIS DOS SANTOS ANDRADE</v>
          </cell>
          <cell r="E267" t="str">
            <v>APROVADO</v>
          </cell>
          <cell r="F267" t="str">
            <v>APROVADO</v>
          </cell>
          <cell r="G267" t="str">
            <v>APROVADO</v>
          </cell>
          <cell r="H267" t="str">
            <v>APROVADO</v>
          </cell>
        </row>
        <row r="268">
          <cell r="B268" t="str">
            <v>CLOVIS MASSATO KUWAHARA</v>
          </cell>
          <cell r="E268" t="str">
            <v>APROVADO</v>
          </cell>
          <cell r="F268" t="str">
            <v>APROVADO</v>
          </cell>
          <cell r="G268" t="str">
            <v>APROVADO</v>
          </cell>
          <cell r="H268" t="str">
            <v>APROVADO</v>
          </cell>
        </row>
        <row r="269">
          <cell r="B269" t="str">
            <v>CLOVIS ULTRAMARI</v>
          </cell>
          <cell r="E269" t="str">
            <v>APROVADO</v>
          </cell>
          <cell r="F269" t="str">
            <v>APROVADO</v>
          </cell>
          <cell r="G269" t="str">
            <v>APROVADO</v>
          </cell>
          <cell r="H269" t="str">
            <v>APROVADO</v>
          </cell>
        </row>
        <row r="270">
          <cell r="B270" t="str">
            <v>CRISTIAN SCHMIDT</v>
          </cell>
          <cell r="E270" t="str">
            <v>APROVADO</v>
          </cell>
          <cell r="F270" t="str">
            <v>APROVADO</v>
          </cell>
          <cell r="G270" t="str">
            <v>APROVADO</v>
          </cell>
          <cell r="H270" t="str">
            <v>APROVADO</v>
          </cell>
        </row>
        <row r="271">
          <cell r="B271" t="str">
            <v>CRISTIANE GONCALVES RIBAS</v>
          </cell>
          <cell r="E271" t="str">
            <v>APROVADO</v>
          </cell>
          <cell r="F271" t="str">
            <v>APROVADO</v>
          </cell>
          <cell r="G271" t="str">
            <v>APROVADO</v>
          </cell>
          <cell r="H271" t="str">
            <v>APROVADO</v>
          </cell>
        </row>
        <row r="272">
          <cell r="B272" t="str">
            <v>CRISTIANE SENN</v>
          </cell>
          <cell r="E272" t="str">
            <v>APROVADO</v>
          </cell>
          <cell r="F272" t="str">
            <v>APROVADO</v>
          </cell>
          <cell r="G272" t="str">
            <v>APROVADO</v>
          </cell>
          <cell r="H272" t="str">
            <v>APROVADO</v>
          </cell>
        </row>
        <row r="273">
          <cell r="B273" t="str">
            <v>CRISTIANO TEODORO RUSSO</v>
          </cell>
          <cell r="E273" t="str">
            <v>APROVADO</v>
          </cell>
          <cell r="F273" t="str">
            <v>APROVADO</v>
          </cell>
          <cell r="G273" t="str">
            <v>APROVADO</v>
          </cell>
          <cell r="H273" t="str">
            <v>APROVADO</v>
          </cell>
        </row>
        <row r="274">
          <cell r="B274" t="str">
            <v>CRISTINA MARIA DE AGUIAR PASTORE</v>
          </cell>
          <cell r="E274" t="str">
            <v>APROVADO</v>
          </cell>
          <cell r="F274" t="str">
            <v>APROVADO</v>
          </cell>
          <cell r="G274" t="str">
            <v>APROVADO</v>
          </cell>
          <cell r="H274" t="str">
            <v>APROVADO</v>
          </cell>
        </row>
        <row r="275">
          <cell r="B275" t="str">
            <v>CRISTINA PELLEGRINO BAENA</v>
          </cell>
          <cell r="E275" t="str">
            <v>APROVADO</v>
          </cell>
          <cell r="F275" t="str">
            <v>APROVADO</v>
          </cell>
          <cell r="G275" t="str">
            <v>APROVADO</v>
          </cell>
          <cell r="H275" t="str">
            <v>APROVADO</v>
          </cell>
        </row>
        <row r="276">
          <cell r="B276" t="str">
            <v>CRISTINA SANTOS SOTOMAIOR</v>
          </cell>
          <cell r="E276" t="str">
            <v>APROVADO</v>
          </cell>
          <cell r="F276" t="str">
            <v>APROVADO</v>
          </cell>
          <cell r="G276" t="str">
            <v>APROVADO</v>
          </cell>
          <cell r="H276" t="str">
            <v>APROVADO</v>
          </cell>
        </row>
        <row r="277">
          <cell r="B277" t="str">
            <v>CRISTINA VERCOSA PEREZ BARRIOS DE SOUZA</v>
          </cell>
          <cell r="E277" t="str">
            <v>APROVADO</v>
          </cell>
          <cell r="F277" t="str">
            <v>APROVADO</v>
          </cell>
          <cell r="G277" t="str">
            <v>APROVADO</v>
          </cell>
          <cell r="H277" t="str">
            <v>APROVADO</v>
          </cell>
        </row>
        <row r="278">
          <cell r="B278" t="str">
            <v>CRISTINA YUKIE MIYAKI</v>
          </cell>
          <cell r="E278" t="str">
            <v>APROVADO</v>
          </cell>
          <cell r="F278" t="str">
            <v>APROVADO</v>
          </cell>
          <cell r="G278" t="str">
            <v>APROVADO</v>
          </cell>
          <cell r="H278" t="str">
            <v>APROVADO</v>
          </cell>
        </row>
        <row r="279">
          <cell r="B279" t="str">
            <v>CYNTHIA FRANCA WOLANSKI BORDIN</v>
          </cell>
          <cell r="E279" t="str">
            <v>APROVADO</v>
          </cell>
          <cell r="F279" t="str">
            <v>APROVADO</v>
          </cell>
          <cell r="G279" t="str">
            <v>APROVADO</v>
          </cell>
          <cell r="H279" t="str">
            <v>APROVADO</v>
          </cell>
        </row>
        <row r="280">
          <cell r="B280" t="str">
            <v>CYNTHIA GRUENDLING JURUENA</v>
          </cell>
          <cell r="E280" t="str">
            <v>APROVADO</v>
          </cell>
          <cell r="F280" t="str">
            <v>APROVADO</v>
          </cell>
          <cell r="G280" t="str">
            <v>APROVADO</v>
          </cell>
          <cell r="H280" t="str">
            <v>APROVADO</v>
          </cell>
        </row>
        <row r="281">
          <cell r="B281" t="str">
            <v>CYNTIA ERTHAL LEINIG</v>
          </cell>
          <cell r="E281" t="str">
            <v>APROVADO</v>
          </cell>
          <cell r="F281" t="str">
            <v>APROVADO</v>
          </cell>
          <cell r="G281" t="str">
            <v>APROVADO</v>
          </cell>
          <cell r="H281" t="str">
            <v>APROVADO</v>
          </cell>
        </row>
        <row r="282">
          <cell r="B282" t="str">
            <v>DAIANE CRISTINA PAZIN</v>
          </cell>
          <cell r="E282" t="str">
            <v>APROVADO</v>
          </cell>
          <cell r="F282" t="str">
            <v>APROVADO</v>
          </cell>
          <cell r="G282" t="str">
            <v>APROVADO</v>
          </cell>
          <cell r="H282" t="str">
            <v>APROVADO</v>
          </cell>
        </row>
        <row r="283">
          <cell r="B283" t="str">
            <v>DAILSON REGIS PRATI</v>
          </cell>
          <cell r="E283" t="str">
            <v>APROVADO</v>
          </cell>
          <cell r="F283" t="str">
            <v>APROVADO</v>
          </cell>
          <cell r="G283" t="str">
            <v>APROVADO</v>
          </cell>
          <cell r="H283" t="str">
            <v>APROVADO</v>
          </cell>
        </row>
        <row r="284">
          <cell r="B284" t="str">
            <v>DALTON ALEXANDRE KAI</v>
          </cell>
          <cell r="E284" t="str">
            <v>APROVADO</v>
          </cell>
          <cell r="F284" t="str">
            <v>APROVADO</v>
          </cell>
          <cell r="G284" t="str">
            <v>APROVADO</v>
          </cell>
          <cell r="H284" t="str">
            <v>APROVADO</v>
          </cell>
        </row>
        <row r="285">
          <cell r="B285" t="str">
            <v>DALTON VINICIUS KOZAK</v>
          </cell>
          <cell r="E285" t="str">
            <v>APROVADO</v>
          </cell>
          <cell r="F285" t="str">
            <v>APROVADO</v>
          </cell>
          <cell r="G285" t="str">
            <v>APROVADO</v>
          </cell>
          <cell r="H285" t="str">
            <v>APROVADO</v>
          </cell>
        </row>
        <row r="286">
          <cell r="B286" t="str">
            <v>DANI JULIANO CZELUSNIAK</v>
          </cell>
          <cell r="E286" t="str">
            <v>APROVADO</v>
          </cell>
          <cell r="F286" t="str">
            <v>APROVADO</v>
          </cell>
          <cell r="G286" t="str">
            <v>APROVADO</v>
          </cell>
          <cell r="H286" t="str">
            <v>APROVADO</v>
          </cell>
        </row>
        <row r="287">
          <cell r="B287" t="str">
            <v>DANIEL CONSTANTINO CUNHA</v>
          </cell>
          <cell r="E287" t="str">
            <v>APROVADO</v>
          </cell>
          <cell r="F287" t="str">
            <v>APROVADO</v>
          </cell>
          <cell r="G287" t="str">
            <v>APROVADO</v>
          </cell>
          <cell r="H287" t="str">
            <v>APROVADO</v>
          </cell>
        </row>
        <row r="288">
          <cell r="B288" t="str">
            <v>DANIEL EMILIO DALLEDONE SIQUEIRA</v>
          </cell>
          <cell r="E288" t="str">
            <v>APROVADO</v>
          </cell>
          <cell r="F288" t="str">
            <v>APROVADO</v>
          </cell>
          <cell r="G288" t="str">
            <v>APROVADO</v>
          </cell>
          <cell r="H288" t="str">
            <v>APROVADO</v>
          </cell>
        </row>
        <row r="289">
          <cell r="B289" t="str">
            <v>DANIEL FERREIRA FERNANDES VIEIRA</v>
          </cell>
          <cell r="E289" t="str">
            <v>APROVADO</v>
          </cell>
          <cell r="F289" t="str">
            <v>APROVADO</v>
          </cell>
          <cell r="G289" t="str">
            <v>APROVADO</v>
          </cell>
          <cell r="H289" t="str">
            <v>APROVADO</v>
          </cell>
        </row>
        <row r="290">
          <cell r="B290" t="str">
            <v>DANIEL IDEL BONGANHI FEFERMAN</v>
          </cell>
          <cell r="E290" t="str">
            <v>APROVADO</v>
          </cell>
          <cell r="F290" t="str">
            <v>APROVADO</v>
          </cell>
          <cell r="G290" t="str">
            <v>APROVADO</v>
          </cell>
          <cell r="H290" t="str">
            <v>APROVADO</v>
          </cell>
        </row>
        <row r="291">
          <cell r="B291" t="str">
            <v>DANIEL PALA ABECHE</v>
          </cell>
          <cell r="E291" t="str">
            <v>APROVADO</v>
          </cell>
          <cell r="F291" t="str">
            <v>APROVADO</v>
          </cell>
          <cell r="G291" t="str">
            <v>APROVADO</v>
          </cell>
          <cell r="H291" t="str">
            <v>APROVADO</v>
          </cell>
        </row>
        <row r="292">
          <cell r="B292" t="str">
            <v>DANIEL WUNDER HACHEM</v>
          </cell>
          <cell r="E292" t="str">
            <v>AGUARDANDO APROVAÇÃO</v>
          </cell>
          <cell r="F292" t="str">
            <v>AGUARDANDO APROVAÇÃO</v>
          </cell>
          <cell r="G292" t="str">
            <v>AGUARDANDO APROVAÇÃO</v>
          </cell>
          <cell r="H292" t="str">
            <v>AGUARDANDO APROVAÇÃO</v>
          </cell>
        </row>
        <row r="293">
          <cell r="B293" t="str">
            <v>DANIELE COUTINHO</v>
          </cell>
          <cell r="E293" t="str">
            <v>APROVADO</v>
          </cell>
          <cell r="F293" t="str">
            <v>APROVADO</v>
          </cell>
          <cell r="G293" t="str">
            <v>APROVADO</v>
          </cell>
          <cell r="H293" t="str">
            <v>APROVADO</v>
          </cell>
        </row>
        <row r="294">
          <cell r="B294" t="str">
            <v>DANIELE FARFUS</v>
          </cell>
          <cell r="E294" t="str">
            <v>APROVADO</v>
          </cell>
          <cell r="F294" t="str">
            <v>APROVADO</v>
          </cell>
          <cell r="G294" t="str">
            <v>APROVADO</v>
          </cell>
          <cell r="H294" t="str">
            <v>APROVADO</v>
          </cell>
        </row>
        <row r="295">
          <cell r="B295" t="str">
            <v>DANIELE LUCY LOPES DE SEHLI</v>
          </cell>
          <cell r="E295" t="str">
            <v>APROVADO</v>
          </cell>
          <cell r="F295" t="str">
            <v>APROVADO</v>
          </cell>
          <cell r="G295" t="str">
            <v>APROVADO</v>
          </cell>
          <cell r="H295" t="str">
            <v>APROVADO</v>
          </cell>
        </row>
        <row r="296">
          <cell r="B296" t="str">
            <v>DANIELE ROCHA SAUCEDO</v>
          </cell>
          <cell r="E296" t="str">
            <v>APROVADO</v>
          </cell>
          <cell r="F296" t="str">
            <v>APROVADO</v>
          </cell>
          <cell r="G296" t="str">
            <v>APROVADO</v>
          </cell>
          <cell r="H296" t="str">
            <v>APROVADO</v>
          </cell>
        </row>
        <row r="297">
          <cell r="B297" t="str">
            <v>DANIELE ROSEVICS OLIVEIRA</v>
          </cell>
          <cell r="E297" t="str">
            <v>APROVADO</v>
          </cell>
          <cell r="F297" t="str">
            <v>APROVADO</v>
          </cell>
          <cell r="G297" t="str">
            <v>APROVADO</v>
          </cell>
          <cell r="H297" t="str">
            <v>APROVADO</v>
          </cell>
        </row>
        <row r="298">
          <cell r="B298" t="str">
            <v>DANIELE SAHEB PEDROSO</v>
          </cell>
          <cell r="E298" t="str">
            <v>APROVADO</v>
          </cell>
          <cell r="F298" t="str">
            <v>APROVADO</v>
          </cell>
          <cell r="G298" t="str">
            <v>APROVADO</v>
          </cell>
          <cell r="H298" t="str">
            <v>APROVADO</v>
          </cell>
        </row>
        <row r="299">
          <cell r="B299" t="str">
            <v>DANIELLA MAITO</v>
          </cell>
          <cell r="E299" t="str">
            <v>APROVADO</v>
          </cell>
          <cell r="F299" t="str">
            <v>APROVADO</v>
          </cell>
          <cell r="G299" t="str">
            <v>APROVADO</v>
          </cell>
          <cell r="H299" t="str">
            <v>APROVADO</v>
          </cell>
        </row>
        <row r="300">
          <cell r="B300" t="str">
            <v>DANIELLE ANNE PAMPLONA</v>
          </cell>
          <cell r="E300" t="str">
            <v>APROVADO</v>
          </cell>
          <cell r="F300" t="str">
            <v>APROVADO</v>
          </cell>
          <cell r="G300" t="str">
            <v>APROVADO</v>
          </cell>
          <cell r="H300" t="str">
            <v>APROVADO</v>
          </cell>
        </row>
        <row r="301">
          <cell r="B301" t="str">
            <v>DANIELLE DENES DOS SANTOS</v>
          </cell>
          <cell r="E301" t="str">
            <v>APROVADO</v>
          </cell>
          <cell r="F301" t="str">
            <v>APROVADO</v>
          </cell>
          <cell r="G301" t="str">
            <v>APROVADO</v>
          </cell>
          <cell r="H301" t="str">
            <v>APROVADO</v>
          </cell>
        </row>
        <row r="302">
          <cell r="B302" t="str">
            <v>DANILO ARNAUT SARAIVA</v>
          </cell>
          <cell r="E302" t="str">
            <v>APROVADO</v>
          </cell>
          <cell r="F302" t="str">
            <v>APROVADO</v>
          </cell>
          <cell r="G302" t="str">
            <v>APROVADO</v>
          </cell>
          <cell r="H302" t="str">
            <v>APROVADO</v>
          </cell>
        </row>
        <row r="303">
          <cell r="B303" t="str">
            <v>DAVID QUEIROZ DE SANT ANA</v>
          </cell>
          <cell r="E303" t="str">
            <v>APROVADO</v>
          </cell>
          <cell r="F303" t="str">
            <v>APROVADO</v>
          </cell>
          <cell r="G303" t="str">
            <v>APROVADO</v>
          </cell>
          <cell r="H303" t="str">
            <v>APROVADO</v>
          </cell>
        </row>
        <row r="304">
          <cell r="B304" t="str">
            <v>DAYANE MOZ</v>
          </cell>
          <cell r="E304" t="str">
            <v>APROVADO</v>
          </cell>
          <cell r="F304" t="str">
            <v>APROVADO</v>
          </cell>
          <cell r="G304" t="str">
            <v>APROVADO</v>
          </cell>
          <cell r="H304" t="str">
            <v>APROVADO</v>
          </cell>
        </row>
        <row r="305">
          <cell r="B305" t="str">
            <v>DEAN FABIO BUENO DE ALMEIDA</v>
          </cell>
          <cell r="E305" t="str">
            <v>APROVADO</v>
          </cell>
          <cell r="F305" t="str">
            <v>APROVADO</v>
          </cell>
          <cell r="G305" t="str">
            <v>APROVADO</v>
          </cell>
          <cell r="H305" t="str">
            <v>APROVADO</v>
          </cell>
        </row>
        <row r="306">
          <cell r="B306" t="str">
            <v>DEBORA PATRICIA NEMER PINHEIRO</v>
          </cell>
          <cell r="E306" t="str">
            <v>APROVADO</v>
          </cell>
          <cell r="F306" t="str">
            <v>APROVADO</v>
          </cell>
          <cell r="G306" t="str">
            <v>APROVADO</v>
          </cell>
          <cell r="H306" t="str">
            <v>APROVADO</v>
          </cell>
        </row>
        <row r="307">
          <cell r="B307" t="str">
            <v>DEBORAH IURI TAZIMA</v>
          </cell>
          <cell r="E307" t="str">
            <v>APROVADO</v>
          </cell>
          <cell r="F307" t="str">
            <v>APROVADO</v>
          </cell>
          <cell r="G307" t="str">
            <v>APROVADO</v>
          </cell>
          <cell r="H307" t="str">
            <v>APROVADO</v>
          </cell>
        </row>
        <row r="308">
          <cell r="B308" t="str">
            <v>DECIO ZANONI JUNIOR</v>
          </cell>
          <cell r="E308" t="str">
            <v>APROVADO</v>
          </cell>
          <cell r="F308" t="str">
            <v>APROVADO</v>
          </cell>
          <cell r="G308" t="str">
            <v>APROVADO</v>
          </cell>
          <cell r="H308" t="str">
            <v>APROVADO</v>
          </cell>
        </row>
        <row r="309">
          <cell r="B309" t="str">
            <v>DEMETRIA KOVELIS MONTEIRO</v>
          </cell>
          <cell r="E309" t="str">
            <v>APROVADO</v>
          </cell>
          <cell r="F309" t="str">
            <v>APROVADO</v>
          </cell>
          <cell r="G309" t="str">
            <v>APROVADO</v>
          </cell>
          <cell r="H309" t="str">
            <v>APROVADO</v>
          </cell>
        </row>
        <row r="310">
          <cell r="B310" t="str">
            <v>DEMETRIUS COELHO SOUZA</v>
          </cell>
          <cell r="E310" t="str">
            <v>APROVADO</v>
          </cell>
          <cell r="F310" t="str">
            <v>APROVADO</v>
          </cell>
          <cell r="G310" t="str">
            <v>APROVADO</v>
          </cell>
          <cell r="H310" t="str">
            <v>APROVADO</v>
          </cell>
        </row>
        <row r="311">
          <cell r="B311" t="str">
            <v>DEMIAN DA SILVEIRA BARCELLOS</v>
          </cell>
          <cell r="E311" t="str">
            <v>APROVADO</v>
          </cell>
          <cell r="F311" t="str">
            <v>APROVADO</v>
          </cell>
          <cell r="G311" t="str">
            <v>APROVADO</v>
          </cell>
          <cell r="H311" t="str">
            <v>APROVADO</v>
          </cell>
        </row>
        <row r="312">
          <cell r="B312" t="str">
            <v>DENIS ALCIDES REZENDE</v>
          </cell>
          <cell r="E312" t="str">
            <v>APROVADO</v>
          </cell>
          <cell r="F312" t="str">
            <v>APROVADO</v>
          </cell>
          <cell r="G312" t="str">
            <v>APROVADO</v>
          </cell>
          <cell r="H312" t="str">
            <v>APROVADO</v>
          </cell>
        </row>
        <row r="313">
          <cell r="B313" t="str">
            <v>DENIS MASSATSUGU UEDA</v>
          </cell>
          <cell r="E313" t="str">
            <v>APROVADO</v>
          </cell>
          <cell r="F313" t="str">
            <v>APROVADO</v>
          </cell>
          <cell r="G313" t="str">
            <v>APROVADO</v>
          </cell>
          <cell r="H313" t="str">
            <v>APROVADO</v>
          </cell>
        </row>
        <row r="314">
          <cell r="B314" t="str">
            <v>DENISE ADAMCZYK KOZEMJAKIN</v>
          </cell>
          <cell r="E314" t="str">
            <v>APROVADO</v>
          </cell>
          <cell r="F314" t="str">
            <v>APROVADO</v>
          </cell>
          <cell r="G314" t="str">
            <v>APROVADO</v>
          </cell>
          <cell r="H314" t="str">
            <v>APROVADO</v>
          </cell>
        </row>
        <row r="315">
          <cell r="B315" t="str">
            <v>DENISE CAMARANI REVELK</v>
          </cell>
          <cell r="E315" t="str">
            <v>APROVADO</v>
          </cell>
          <cell r="F315" t="str">
            <v>APROVADO</v>
          </cell>
          <cell r="G315" t="str">
            <v>APROVADO</v>
          </cell>
          <cell r="H315" t="str">
            <v>APROVADO</v>
          </cell>
        </row>
        <row r="316">
          <cell r="B316" t="str">
            <v>DENISE MARIA COTOMAN</v>
          </cell>
          <cell r="E316" t="str">
            <v>APROVADO</v>
          </cell>
          <cell r="F316" t="str">
            <v>APROVADO</v>
          </cell>
          <cell r="G316" t="str">
            <v>APROVADO</v>
          </cell>
          <cell r="H316" t="str">
            <v>APROVADO</v>
          </cell>
        </row>
        <row r="317">
          <cell r="B317" t="str">
            <v>DENISE RATMANN ARRUDA COLIN</v>
          </cell>
          <cell r="E317" t="str">
            <v>APROVADO</v>
          </cell>
          <cell r="F317" t="str">
            <v>APROVADO</v>
          </cell>
          <cell r="G317" t="str">
            <v>APROVADO</v>
          </cell>
          <cell r="H317" t="str">
            <v>APROVADO</v>
          </cell>
        </row>
        <row r="318">
          <cell r="B318" t="str">
            <v>DENISE SILVEIRA BARBOSA</v>
          </cell>
          <cell r="E318" t="str">
            <v>APROVADO</v>
          </cell>
          <cell r="F318" t="str">
            <v>APROVADO</v>
          </cell>
          <cell r="G318" t="str">
            <v>APROVADO</v>
          </cell>
          <cell r="H318" t="str">
            <v>APROVADO</v>
          </cell>
        </row>
        <row r="319">
          <cell r="B319" t="str">
            <v>DENNER PEREIRA DA SILVA</v>
          </cell>
          <cell r="E319" t="str">
            <v>APROVADO</v>
          </cell>
          <cell r="F319" t="str">
            <v>APROVADO</v>
          </cell>
          <cell r="G319" t="str">
            <v>APROVADO</v>
          </cell>
          <cell r="H319" t="str">
            <v>APROVADO</v>
          </cell>
        </row>
        <row r="320">
          <cell r="B320" t="str">
            <v>DEOCLECIO JUNIOR CARDOSO DA SILVA</v>
          </cell>
          <cell r="E320" t="str">
            <v>APROVADO</v>
          </cell>
          <cell r="F320" t="str">
            <v>APROVADO</v>
          </cell>
          <cell r="G320" t="str">
            <v>APROVADO</v>
          </cell>
          <cell r="H320" t="str">
            <v>APROVADO</v>
          </cell>
        </row>
        <row r="321">
          <cell r="B321" t="str">
            <v>DEVANIR AVIGO JUNIOR</v>
          </cell>
          <cell r="E321" t="str">
            <v>NÃO CRIADO</v>
          </cell>
          <cell r="F321" t="str">
            <v>APROVADO</v>
          </cell>
          <cell r="G321" t="str">
            <v>APROVADO</v>
          </cell>
          <cell r="H321" t="str">
            <v>APROVADO</v>
          </cell>
        </row>
        <row r="322">
          <cell r="B322" t="str">
            <v>DEWEY MORETO WOLLMANN</v>
          </cell>
          <cell r="E322" t="str">
            <v>APROVADO</v>
          </cell>
          <cell r="F322" t="str">
            <v>APROVADO</v>
          </cell>
          <cell r="G322" t="str">
            <v>APROVADO</v>
          </cell>
          <cell r="H322" t="str">
            <v>APROVADO</v>
          </cell>
        </row>
        <row r="323">
          <cell r="B323" t="str">
            <v>DIANA CHAO DECOCK</v>
          </cell>
          <cell r="E323" t="str">
            <v>APROVADO</v>
          </cell>
          <cell r="F323" t="str">
            <v>APROVADO</v>
          </cell>
          <cell r="G323" t="str">
            <v>APROVADO</v>
          </cell>
          <cell r="H323" t="str">
            <v>APROVADO</v>
          </cell>
        </row>
        <row r="324">
          <cell r="B324" t="str">
            <v>DIEGO LUIZ KRAUSE</v>
          </cell>
          <cell r="E324" t="str">
            <v>APROVADO</v>
          </cell>
          <cell r="F324" t="str">
            <v>APROVADO</v>
          </cell>
          <cell r="G324" t="str">
            <v>APROVADO</v>
          </cell>
          <cell r="H324" t="str">
            <v>APROVADO</v>
          </cell>
        </row>
        <row r="325">
          <cell r="B325" t="str">
            <v>DILMEIRE SANT ANNA RAMOS VOSGERAU</v>
          </cell>
          <cell r="E325" t="str">
            <v>APROVADO</v>
          </cell>
          <cell r="F325" t="str">
            <v>APROVADO</v>
          </cell>
          <cell r="G325" t="str">
            <v>APROVADO</v>
          </cell>
          <cell r="H325" t="str">
            <v>APROVADO</v>
          </cell>
        </row>
        <row r="326">
          <cell r="B326" t="str">
            <v>DIVINO FRANCA</v>
          </cell>
          <cell r="E326" t="str">
            <v>APROVADO</v>
          </cell>
          <cell r="F326" t="str">
            <v>APROVADO</v>
          </cell>
          <cell r="G326" t="str">
            <v>APROVADO</v>
          </cell>
          <cell r="H326" t="str">
            <v>APROVADO</v>
          </cell>
        </row>
        <row r="327">
          <cell r="B327" t="str">
            <v>DJEIMI ANGELA LEONHARDT NESKE</v>
          </cell>
          <cell r="E327" t="str">
            <v>APROVADO</v>
          </cell>
          <cell r="F327" t="str">
            <v>APROVADO</v>
          </cell>
          <cell r="G327" t="str">
            <v>APROVADO</v>
          </cell>
          <cell r="H327" t="str">
            <v>APROVADO</v>
          </cell>
        </row>
        <row r="328">
          <cell r="B328" t="str">
            <v>DORIS BERALDO</v>
          </cell>
          <cell r="E328" t="str">
            <v>APROVADO</v>
          </cell>
          <cell r="F328" t="str">
            <v>APROVADO</v>
          </cell>
          <cell r="G328" t="str">
            <v>APROVADO</v>
          </cell>
          <cell r="H328" t="str">
            <v>APROVADO</v>
          </cell>
        </row>
        <row r="329">
          <cell r="B329" t="str">
            <v>DOUGLAS BORGES CANDIDO</v>
          </cell>
          <cell r="E329" t="str">
            <v>APROVADO</v>
          </cell>
          <cell r="F329" t="str">
            <v>APROVADO</v>
          </cell>
          <cell r="G329" t="str">
            <v>APROVADO</v>
          </cell>
          <cell r="H329" t="str">
            <v>APROVADO</v>
          </cell>
        </row>
        <row r="330">
          <cell r="B330" t="str">
            <v>DOUGLAS MEGURU HIRAGA</v>
          </cell>
          <cell r="E330" t="str">
            <v>APROVADO</v>
          </cell>
          <cell r="F330" t="str">
            <v>APROVADO</v>
          </cell>
          <cell r="G330" t="str">
            <v>APROVADO</v>
          </cell>
          <cell r="H330" t="str">
            <v>APROVADO</v>
          </cell>
        </row>
        <row r="331">
          <cell r="B331" t="str">
            <v>DOUGLAS THAYNA VIEIRA DE SOUZA</v>
          </cell>
          <cell r="E331" t="str">
            <v>APROVADO</v>
          </cell>
          <cell r="F331" t="str">
            <v>APROVADO</v>
          </cell>
          <cell r="G331" t="str">
            <v>APROVADO</v>
          </cell>
          <cell r="H331" t="str">
            <v>APROVADO</v>
          </cell>
        </row>
        <row r="332">
          <cell r="B332" t="str">
            <v>EDGARD JAMHOUR</v>
          </cell>
          <cell r="E332" t="str">
            <v>APROVADO</v>
          </cell>
          <cell r="F332" t="str">
            <v>APROVADO</v>
          </cell>
          <cell r="G332" t="str">
            <v>APROVADO</v>
          </cell>
          <cell r="H332" t="str">
            <v>APROVADO</v>
          </cell>
        </row>
        <row r="333">
          <cell r="B333" t="str">
            <v>EDILBERTO NUNES DE MOURA</v>
          </cell>
          <cell r="E333" t="str">
            <v>FINALIZADO</v>
          </cell>
          <cell r="F333" t="str">
            <v>FINALIZADO</v>
          </cell>
          <cell r="G333" t="str">
            <v>FINALIZADO</v>
          </cell>
          <cell r="H333" t="str">
            <v>FINALIZADO</v>
          </cell>
        </row>
        <row r="334">
          <cell r="B334" t="str">
            <v>EDINEIA LOPES DA CRUZ SOUZA</v>
          </cell>
          <cell r="E334" t="str">
            <v>APROVADO</v>
          </cell>
          <cell r="F334" t="str">
            <v>APROVADO</v>
          </cell>
          <cell r="G334" t="str">
            <v>APROVADO</v>
          </cell>
          <cell r="H334" t="str">
            <v>APROVADO</v>
          </cell>
        </row>
        <row r="335">
          <cell r="B335" t="str">
            <v>EDISOM PAULA BRUM</v>
          </cell>
          <cell r="E335" t="str">
            <v>APROVADO</v>
          </cell>
          <cell r="F335" t="str">
            <v>APROVADO</v>
          </cell>
          <cell r="G335" t="str">
            <v>APROVADO</v>
          </cell>
          <cell r="H335" t="str">
            <v>APROVADO</v>
          </cell>
        </row>
        <row r="336">
          <cell r="B336" t="str">
            <v>EDNA MARIA VISSOCI REICHE</v>
          </cell>
          <cell r="E336" t="str">
            <v>APROVADO</v>
          </cell>
          <cell r="F336" t="str">
            <v>APROVADO</v>
          </cell>
          <cell r="G336" t="str">
            <v>APROVADO</v>
          </cell>
          <cell r="H336" t="str">
            <v>APROVADO</v>
          </cell>
        </row>
        <row r="337">
          <cell r="B337" t="str">
            <v>EDNA TORRES FELICIO</v>
          </cell>
          <cell r="E337" t="str">
            <v>APROVADO</v>
          </cell>
          <cell r="F337" t="str">
            <v>APROVADO</v>
          </cell>
          <cell r="G337" t="str">
            <v>APROVADO</v>
          </cell>
          <cell r="H337" t="str">
            <v>APROVADO</v>
          </cell>
        </row>
        <row r="338">
          <cell r="B338" t="str">
            <v>EDSON EMILIO SCALABRIN</v>
          </cell>
          <cell r="E338" t="str">
            <v>APROVADO</v>
          </cell>
          <cell r="F338" t="str">
            <v>APROVADO</v>
          </cell>
          <cell r="G338" t="str">
            <v>APROVADO</v>
          </cell>
          <cell r="H338" t="str">
            <v>APROVADO</v>
          </cell>
        </row>
        <row r="339">
          <cell r="B339" t="str">
            <v>EDSON JOSE RODRIGUES JUSTINO</v>
          </cell>
          <cell r="E339" t="str">
            <v>APROVADO</v>
          </cell>
          <cell r="F339" t="str">
            <v>APROVADO</v>
          </cell>
          <cell r="G339" t="str">
            <v>APROVADO</v>
          </cell>
          <cell r="H339" t="str">
            <v>APROVADO</v>
          </cell>
        </row>
        <row r="340">
          <cell r="B340" t="str">
            <v>EDSON MARCOS CAMPOS LESSA JUNIOR</v>
          </cell>
          <cell r="E340" t="str">
            <v>APROVADO</v>
          </cell>
          <cell r="F340" t="str">
            <v>APROVADO</v>
          </cell>
          <cell r="G340" t="str">
            <v>APROVADO</v>
          </cell>
          <cell r="H340" t="str">
            <v>APROVADO</v>
          </cell>
        </row>
        <row r="341">
          <cell r="B341" t="str">
            <v>EDUARDO ALCANTARA QUIDIGNO</v>
          </cell>
          <cell r="E341" t="str">
            <v>APROVADO</v>
          </cell>
          <cell r="F341" t="str">
            <v>APROVADO</v>
          </cell>
          <cell r="G341" t="str">
            <v>APROVADO</v>
          </cell>
          <cell r="H341" t="str">
            <v>APROVADO</v>
          </cell>
        </row>
        <row r="342">
          <cell r="B342" t="str">
            <v>EDUARDO ANTONIO ANDRADE DOS SANTOS</v>
          </cell>
          <cell r="E342" t="str">
            <v>APROVADO</v>
          </cell>
          <cell r="F342" t="str">
            <v>APROVADO</v>
          </cell>
          <cell r="G342" t="str">
            <v>APROVADO</v>
          </cell>
          <cell r="H342" t="str">
            <v>APROVADO</v>
          </cell>
        </row>
        <row r="343">
          <cell r="B343" t="str">
            <v>EDUARDO BASTOS DE BARROS</v>
          </cell>
          <cell r="E343" t="str">
            <v>APROVADO</v>
          </cell>
          <cell r="F343" t="str">
            <v>APROVADO</v>
          </cell>
          <cell r="G343" t="str">
            <v>APROVADO</v>
          </cell>
          <cell r="H343" t="str">
            <v>APROVADO</v>
          </cell>
        </row>
        <row r="344">
          <cell r="B344" t="str">
            <v>EDUARDO BIACCHI GOMES</v>
          </cell>
          <cell r="E344" t="str">
            <v>APROVADO</v>
          </cell>
          <cell r="F344" t="str">
            <v>APROVADO</v>
          </cell>
          <cell r="G344" t="str">
            <v>APROVADO</v>
          </cell>
          <cell r="H344" t="str">
            <v>APROVADO</v>
          </cell>
        </row>
        <row r="345">
          <cell r="B345" t="str">
            <v>EDUARDO DAMIAO DA SILVA</v>
          </cell>
          <cell r="E345" t="str">
            <v>APROVADO</v>
          </cell>
          <cell r="F345" t="str">
            <v>APROVADO</v>
          </cell>
          <cell r="G345" t="str">
            <v>APROVADO</v>
          </cell>
          <cell r="H345" t="str">
            <v>APROVADO</v>
          </cell>
        </row>
        <row r="346">
          <cell r="B346" t="str">
            <v>EDUARDO DE FREITAS ROCHA LOURES</v>
          </cell>
          <cell r="E346" t="str">
            <v>APROVADO</v>
          </cell>
          <cell r="F346" t="str">
            <v>APROVADO</v>
          </cell>
          <cell r="G346" t="str">
            <v>APROVADO</v>
          </cell>
          <cell r="H346" t="str">
            <v>APROVADO</v>
          </cell>
        </row>
        <row r="347">
          <cell r="B347" t="str">
            <v>EDUARDO KARAM SALTORI</v>
          </cell>
          <cell r="E347" t="str">
            <v>APROVADO</v>
          </cell>
          <cell r="F347" t="str">
            <v>APROVADO</v>
          </cell>
          <cell r="G347" t="str">
            <v>APROVADO</v>
          </cell>
          <cell r="H347" t="str">
            <v>APROVADO</v>
          </cell>
        </row>
        <row r="348">
          <cell r="B348" t="str">
            <v>EDUARDO KUGLER VIEGAS</v>
          </cell>
          <cell r="E348" t="str">
            <v>APROVADO</v>
          </cell>
          <cell r="F348" t="str">
            <v>APROVADO</v>
          </cell>
          <cell r="G348" t="str">
            <v>APROVADO</v>
          </cell>
          <cell r="H348" t="str">
            <v>APROVADO</v>
          </cell>
        </row>
        <row r="349">
          <cell r="B349" t="str">
            <v>EDUARDO LOPES MARTINS</v>
          </cell>
          <cell r="E349" t="str">
            <v>APROVADO</v>
          </cell>
          <cell r="F349" t="str">
            <v>APROVADO</v>
          </cell>
          <cell r="G349" t="str">
            <v>APROVADO</v>
          </cell>
          <cell r="H349" t="str">
            <v>APROVADO</v>
          </cell>
        </row>
        <row r="350">
          <cell r="B350" t="str">
            <v>EDUARDO MENDONCA SCHEEREN</v>
          </cell>
          <cell r="E350" t="str">
            <v>APROVADO</v>
          </cell>
          <cell r="F350" t="str">
            <v>APROVADO</v>
          </cell>
          <cell r="G350" t="str">
            <v>APROVADO</v>
          </cell>
          <cell r="H350" t="str">
            <v>APROVADO</v>
          </cell>
        </row>
        <row r="351">
          <cell r="B351" t="str">
            <v>EDUARDO MONTEIRO MEDA</v>
          </cell>
          <cell r="E351" t="str">
            <v>APROVADO</v>
          </cell>
          <cell r="F351" t="str">
            <v>APROVADO</v>
          </cell>
          <cell r="G351" t="str">
            <v>APROVADO</v>
          </cell>
          <cell r="H351" t="str">
            <v>APROVADO</v>
          </cell>
        </row>
        <row r="352">
          <cell r="B352" t="str">
            <v>EDUARDO MOREIRA THOME</v>
          </cell>
          <cell r="E352" t="str">
            <v>APROVADO</v>
          </cell>
          <cell r="F352" t="str">
            <v>APROVADO</v>
          </cell>
          <cell r="G352" t="str">
            <v>APROVADO</v>
          </cell>
          <cell r="H352" t="str">
            <v>APROVADO</v>
          </cell>
        </row>
        <row r="353">
          <cell r="B353" t="str">
            <v>EDUARDO MURILO NOVAK</v>
          </cell>
          <cell r="E353" t="str">
            <v>APROVADO</v>
          </cell>
          <cell r="F353" t="str">
            <v>APROVADO</v>
          </cell>
          <cell r="G353" t="str">
            <v>APROVADO</v>
          </cell>
          <cell r="H353" t="str">
            <v>APROVADO</v>
          </cell>
        </row>
        <row r="354">
          <cell r="B354" t="str">
            <v>EDUARDO OLIVEIRA AGUSTINHO</v>
          </cell>
          <cell r="E354" t="str">
            <v>APROVADO</v>
          </cell>
          <cell r="F354" t="str">
            <v>APROVADO</v>
          </cell>
          <cell r="G354" t="str">
            <v>APROVADO</v>
          </cell>
          <cell r="H354" t="str">
            <v>APROVADO</v>
          </cell>
        </row>
        <row r="355">
          <cell r="B355" t="str">
            <v>EDUARDO QUADROS DA SILVA</v>
          </cell>
          <cell r="E355" t="str">
            <v>APROVADO</v>
          </cell>
          <cell r="F355" t="str">
            <v>APROVADO</v>
          </cell>
          <cell r="G355" t="str">
            <v>APROVADO</v>
          </cell>
          <cell r="H355" t="str">
            <v>APROVADO</v>
          </cell>
        </row>
        <row r="356">
          <cell r="B356" t="str">
            <v>EDUARDO RIBEIRO DA FONSECA</v>
          </cell>
          <cell r="E356" t="str">
            <v>APROVADO</v>
          </cell>
          <cell r="F356" t="str">
            <v>APROVADO</v>
          </cell>
          <cell r="G356" t="str">
            <v>APROVADO</v>
          </cell>
          <cell r="H356" t="str">
            <v>APROVADO</v>
          </cell>
        </row>
        <row r="357">
          <cell r="B357" t="str">
            <v>EDUARDO RONCATTO</v>
          </cell>
          <cell r="E357" t="str">
            <v>APROVADO</v>
          </cell>
          <cell r="F357" t="str">
            <v>APROVADO</v>
          </cell>
          <cell r="G357" t="str">
            <v>APROVADO</v>
          </cell>
          <cell r="H357" t="str">
            <v>APROVADO</v>
          </cell>
        </row>
        <row r="358">
          <cell r="B358" t="str">
            <v>EDUARDO ZORZO SARTORETTO</v>
          </cell>
          <cell r="E358" t="str">
            <v>APROVADO</v>
          </cell>
          <cell r="F358" t="str">
            <v>APROVADO</v>
          </cell>
          <cell r="G358" t="str">
            <v>APROVADO</v>
          </cell>
          <cell r="H358" t="str">
            <v>APROVADO</v>
          </cell>
        </row>
        <row r="359">
          <cell r="B359" t="str">
            <v>EDVALDO ANTONIO RIBEIRO ROSA</v>
          </cell>
          <cell r="E359" t="str">
            <v>APROVADO</v>
          </cell>
          <cell r="F359" t="str">
            <v>APROVADO</v>
          </cell>
          <cell r="G359" t="str">
            <v>APROVADO</v>
          </cell>
          <cell r="H359" t="str">
            <v>APROVADO</v>
          </cell>
        </row>
        <row r="360">
          <cell r="B360" t="str">
            <v>ELADIO CONSTANTINO PABLO CRAIA</v>
          </cell>
          <cell r="E360" t="str">
            <v>APROVADO</v>
          </cell>
          <cell r="F360" t="str">
            <v>APROVADO</v>
          </cell>
          <cell r="G360" t="str">
            <v>APROVADO</v>
          </cell>
          <cell r="H360" t="str">
            <v>APROVADO</v>
          </cell>
        </row>
        <row r="361">
          <cell r="B361" t="str">
            <v>ELENI JULIATO PIOVESAN</v>
          </cell>
          <cell r="E361" t="str">
            <v>APROVADO</v>
          </cell>
          <cell r="F361" t="str">
            <v>APROVADO</v>
          </cell>
          <cell r="G361" t="str">
            <v>APROVADO</v>
          </cell>
          <cell r="H361" t="str">
            <v>APROVADO</v>
          </cell>
        </row>
        <row r="362">
          <cell r="B362" t="str">
            <v>ELEONORA ELISIA ABRA BLANCO</v>
          </cell>
          <cell r="E362" t="str">
            <v>APROVADO</v>
          </cell>
          <cell r="F362" t="str">
            <v>APROVADO</v>
          </cell>
          <cell r="G362" t="str">
            <v>APROVADO</v>
          </cell>
          <cell r="H362" t="str">
            <v>APROVADO</v>
          </cell>
        </row>
        <row r="363">
          <cell r="B363" t="str">
            <v>ELIANA BENATTI</v>
          </cell>
          <cell r="E363" t="str">
            <v>APROVADO</v>
          </cell>
          <cell r="F363" t="str">
            <v>APROVADO</v>
          </cell>
          <cell r="G363" t="str">
            <v>APROVADO</v>
          </cell>
          <cell r="H363" t="str">
            <v>APROVADO</v>
          </cell>
        </row>
        <row r="364">
          <cell r="B364" t="str">
            <v>ELIANDRO REIS TAVARES</v>
          </cell>
          <cell r="E364" t="str">
            <v>APROVADO</v>
          </cell>
          <cell r="F364" t="str">
            <v>APROVADO</v>
          </cell>
          <cell r="G364" t="str">
            <v>APROVADO</v>
          </cell>
          <cell r="H364" t="str">
            <v>APROVADO</v>
          </cell>
        </row>
        <row r="365">
          <cell r="B365" t="str">
            <v>ELIANE AMARAL GHIRELLI</v>
          </cell>
          <cell r="E365" t="str">
            <v>APROVADO</v>
          </cell>
          <cell r="F365" t="str">
            <v>APROVADO</v>
          </cell>
          <cell r="G365" t="str">
            <v>APROVADO</v>
          </cell>
          <cell r="H365" t="str">
            <v>APROVADO</v>
          </cell>
        </row>
        <row r="366">
          <cell r="B366" t="str">
            <v>ELIANE BOGO CABECA</v>
          </cell>
          <cell r="E366" t="str">
            <v>APROVADO</v>
          </cell>
          <cell r="F366" t="str">
            <v>APROVADO</v>
          </cell>
          <cell r="G366" t="str">
            <v>APROVADO</v>
          </cell>
          <cell r="H366" t="str">
            <v>APROVADO</v>
          </cell>
        </row>
        <row r="367">
          <cell r="B367" t="str">
            <v>ELIANE CRISTINE FRANCISCO MAFFEZZOLLI</v>
          </cell>
          <cell r="E367" t="str">
            <v>APROVADO</v>
          </cell>
          <cell r="F367" t="str">
            <v>APROVADO</v>
          </cell>
          <cell r="G367" t="str">
            <v>APROVADO</v>
          </cell>
          <cell r="H367" t="str">
            <v>APROVADO</v>
          </cell>
        </row>
        <row r="368">
          <cell r="B368" t="str">
            <v>ELIANE FATIMA ROCHA ENGELSING</v>
          </cell>
          <cell r="E368" t="str">
            <v>APROVADO</v>
          </cell>
          <cell r="F368" t="str">
            <v>APROVADO</v>
          </cell>
          <cell r="G368" t="str">
            <v>APROVADO</v>
          </cell>
          <cell r="H368" t="str">
            <v>APROVADO</v>
          </cell>
        </row>
        <row r="369">
          <cell r="B369" t="str">
            <v>ELIAS WOLFF</v>
          </cell>
          <cell r="E369" t="str">
            <v>APROVADO</v>
          </cell>
          <cell r="F369" t="str">
            <v>APROVADO</v>
          </cell>
          <cell r="G369" t="str">
            <v>APROVADO</v>
          </cell>
          <cell r="H369" t="str">
            <v>APROVADO</v>
          </cell>
        </row>
        <row r="370">
          <cell r="B370" t="str">
            <v>ELISA SOUZA CAMARGO</v>
          </cell>
          <cell r="E370" t="str">
            <v>APROVADO</v>
          </cell>
          <cell r="F370" t="str">
            <v>APROVADO</v>
          </cell>
          <cell r="G370" t="str">
            <v>APROVADO</v>
          </cell>
          <cell r="H370" t="str">
            <v>APROVADO</v>
          </cell>
        </row>
        <row r="371">
          <cell r="B371" t="str">
            <v>ELISANGELA FERRETTI MANFFRA</v>
          </cell>
          <cell r="E371" t="str">
            <v>APROVADO</v>
          </cell>
          <cell r="F371" t="str">
            <v>APROVADO</v>
          </cell>
          <cell r="G371" t="str">
            <v>APROVADO</v>
          </cell>
          <cell r="H371" t="str">
            <v>APROVADO</v>
          </cell>
        </row>
        <row r="372">
          <cell r="B372" t="str">
            <v>ELIZABETH RIBEIRO MARTINS</v>
          </cell>
          <cell r="E372" t="str">
            <v>APROVADO</v>
          </cell>
          <cell r="F372" t="str">
            <v>APROVADO</v>
          </cell>
          <cell r="G372" t="str">
            <v>APROVADO</v>
          </cell>
          <cell r="H372" t="str">
            <v>APROVADO</v>
          </cell>
        </row>
        <row r="373">
          <cell r="B373" t="str">
            <v>ELOETE CAMILLI OLIVEIRA</v>
          </cell>
          <cell r="E373" t="str">
            <v>APROVADO</v>
          </cell>
          <cell r="F373" t="str">
            <v>APROVADO</v>
          </cell>
          <cell r="G373" t="str">
            <v>APROVADO</v>
          </cell>
          <cell r="H373" t="str">
            <v>APROVADO</v>
          </cell>
        </row>
        <row r="374">
          <cell r="B374" t="str">
            <v>ELOISA CRISTINA GONCALVES</v>
          </cell>
          <cell r="E374" t="str">
            <v>APROVADO</v>
          </cell>
          <cell r="F374" t="str">
            <v>APROVADO</v>
          </cell>
          <cell r="G374" t="str">
            <v>APROVADO</v>
          </cell>
          <cell r="H374" t="str">
            <v>APROVADO</v>
          </cell>
        </row>
        <row r="375">
          <cell r="B375" t="str">
            <v>ELOIZE AUGUSTA DA CRUZ</v>
          </cell>
          <cell r="E375" t="str">
            <v>APROVADO</v>
          </cell>
          <cell r="F375" t="str">
            <v>APROVADO</v>
          </cell>
          <cell r="G375" t="str">
            <v>APROVADO</v>
          </cell>
          <cell r="H375" t="str">
            <v>APROVADO</v>
          </cell>
        </row>
        <row r="376">
          <cell r="B376" t="str">
            <v>EMANUEL DA SILVEIRA FALEIROS</v>
          </cell>
          <cell r="E376" t="str">
            <v>APROVADO</v>
          </cell>
          <cell r="F376" t="str">
            <v>APROVADO</v>
          </cell>
          <cell r="G376" t="str">
            <v>APROVADO</v>
          </cell>
          <cell r="H376" t="str">
            <v>APROVADO</v>
          </cell>
        </row>
        <row r="377">
          <cell r="B377" t="str">
            <v>EMANUEL GOIS JUNIOR</v>
          </cell>
          <cell r="E377" t="str">
            <v>APROVADO</v>
          </cell>
          <cell r="F377" t="str">
            <v>APROVADO</v>
          </cell>
          <cell r="G377" t="str">
            <v>APROVADO</v>
          </cell>
          <cell r="H377" t="str">
            <v>APROVADO</v>
          </cell>
        </row>
        <row r="378">
          <cell r="B378" t="str">
            <v>EMERSON CABRERA PARAISO</v>
          </cell>
          <cell r="E378" t="str">
            <v>APROVADO</v>
          </cell>
          <cell r="F378" t="str">
            <v>APROVADO</v>
          </cell>
          <cell r="G378" t="str">
            <v>APROVADO</v>
          </cell>
          <cell r="H378" t="str">
            <v>APROVADO</v>
          </cell>
        </row>
        <row r="379">
          <cell r="B379" t="str">
            <v>EMERSON DONAISKY</v>
          </cell>
          <cell r="E379" t="str">
            <v>APROVADO</v>
          </cell>
          <cell r="F379" t="str">
            <v>APROVADO</v>
          </cell>
          <cell r="G379" t="str">
            <v>APROVADO</v>
          </cell>
          <cell r="H379" t="str">
            <v>APROVADO</v>
          </cell>
        </row>
        <row r="380">
          <cell r="B380" t="str">
            <v>EMERSON GABARDO</v>
          </cell>
          <cell r="E380" t="str">
            <v>APROVADO</v>
          </cell>
          <cell r="F380" t="str">
            <v>APROVADO</v>
          </cell>
          <cell r="G380" t="str">
            <v>APROVADO</v>
          </cell>
          <cell r="H380" t="str">
            <v>APROVADO</v>
          </cell>
        </row>
        <row r="381">
          <cell r="B381" t="str">
            <v>EMERSON MARTIM</v>
          </cell>
          <cell r="E381" t="str">
            <v>APROVADO</v>
          </cell>
          <cell r="F381" t="str">
            <v>APROVADO</v>
          </cell>
          <cell r="G381" t="str">
            <v>APROVADO</v>
          </cell>
          <cell r="H381" t="str">
            <v>APROVADO</v>
          </cell>
        </row>
        <row r="382">
          <cell r="B382" t="str">
            <v>EMERSON PEREIRA GREGORIO</v>
          </cell>
          <cell r="E382" t="str">
            <v>APROVADO</v>
          </cell>
          <cell r="F382" t="str">
            <v>APROVADO</v>
          </cell>
          <cell r="G382" t="str">
            <v>APROVADO</v>
          </cell>
          <cell r="H382" t="str">
            <v>APROVADO</v>
          </cell>
        </row>
        <row r="383">
          <cell r="B383" t="str">
            <v>EMMANUEL SOUZA DA ROCHA</v>
          </cell>
          <cell r="E383" t="str">
            <v>APROVADO</v>
          </cell>
          <cell r="F383" t="str">
            <v>APROVADO</v>
          </cell>
          <cell r="G383" t="str">
            <v>APROVADO</v>
          </cell>
          <cell r="H383" t="str">
            <v>APROVADO</v>
          </cell>
        </row>
        <row r="384">
          <cell r="B384" t="str">
            <v>EMMANUEL STESSY AMOA RODRIGUES DA GUIA NYAMIEN</v>
          </cell>
          <cell r="E384" t="str">
            <v>APROVADO</v>
          </cell>
          <cell r="F384" t="str">
            <v>APROVADO</v>
          </cell>
          <cell r="G384" t="str">
            <v>APROVADO</v>
          </cell>
          <cell r="H384" t="str">
            <v>APROVADO</v>
          </cell>
        </row>
        <row r="385">
          <cell r="B385" t="str">
            <v>ENIO FRANCISCO MOURA</v>
          </cell>
          <cell r="E385" t="str">
            <v>APROVADO</v>
          </cell>
          <cell r="F385" t="str">
            <v>APROVADO</v>
          </cell>
          <cell r="G385" t="str">
            <v>APROVADO</v>
          </cell>
          <cell r="H385" t="str">
            <v>APROVADO</v>
          </cell>
        </row>
        <row r="386">
          <cell r="B386" t="str">
            <v>ERIC DANILO PAULS SOTELO</v>
          </cell>
          <cell r="E386" t="str">
            <v>APROVADO</v>
          </cell>
          <cell r="F386" t="str">
            <v>APROVADO</v>
          </cell>
          <cell r="G386" t="str">
            <v>APROVADO</v>
          </cell>
          <cell r="H386" t="str">
            <v>APROVADO</v>
          </cell>
        </row>
        <row r="387">
          <cell r="B387" t="str">
            <v>ERIC GRIEGER BANHOLZER</v>
          </cell>
          <cell r="E387" t="str">
            <v>APROVADO</v>
          </cell>
          <cell r="F387" t="str">
            <v>APROVADO</v>
          </cell>
          <cell r="G387" t="str">
            <v>APROVADO</v>
          </cell>
          <cell r="H387" t="str">
            <v>APROVADO</v>
          </cell>
        </row>
        <row r="388">
          <cell r="B388" t="str">
            <v>ERICA REGINA TAKANO NATTI</v>
          </cell>
          <cell r="E388" t="str">
            <v>APROVADO</v>
          </cell>
          <cell r="F388" t="str">
            <v>APROVADO</v>
          </cell>
          <cell r="G388" t="str">
            <v>APROVADO</v>
          </cell>
          <cell r="H388" t="str">
            <v>APROVADO</v>
          </cell>
        </row>
        <row r="389">
          <cell r="B389" t="str">
            <v>ERICSON LUIZ STRAUB</v>
          </cell>
          <cell r="E389" t="str">
            <v>FINALIZADO</v>
          </cell>
          <cell r="F389" t="str">
            <v>FINALIZADO</v>
          </cell>
          <cell r="G389" t="str">
            <v>FINALIZADO</v>
          </cell>
          <cell r="H389" t="str">
            <v>FINALIZADO</v>
          </cell>
        </row>
        <row r="390">
          <cell r="B390" t="str">
            <v>ERICSON PEREIRA</v>
          </cell>
          <cell r="E390" t="str">
            <v>APROVADO</v>
          </cell>
          <cell r="F390" t="str">
            <v>APROVADO</v>
          </cell>
          <cell r="G390" t="str">
            <v>APROVADO</v>
          </cell>
          <cell r="H390" t="str">
            <v>APROVADO</v>
          </cell>
        </row>
        <row r="391">
          <cell r="B391" t="str">
            <v>ERICSON SAVIO FALABRETTI</v>
          </cell>
          <cell r="E391" t="str">
            <v>APROVADO</v>
          </cell>
          <cell r="F391" t="str">
            <v>APROVADO</v>
          </cell>
          <cell r="G391" t="str">
            <v>APROVADO</v>
          </cell>
          <cell r="H391" t="str">
            <v>APROVADO</v>
          </cell>
        </row>
        <row r="392">
          <cell r="B392" t="str">
            <v>ERIKA HOYAMA</v>
          </cell>
          <cell r="E392" t="str">
            <v>APROVADO</v>
          </cell>
          <cell r="F392" t="str">
            <v>APROVADO</v>
          </cell>
          <cell r="G392" t="str">
            <v>APROVADO</v>
          </cell>
          <cell r="H392" t="str">
            <v>APROVADO</v>
          </cell>
        </row>
        <row r="393">
          <cell r="B393" t="str">
            <v>ERIKA OKUNO</v>
          </cell>
          <cell r="E393" t="str">
            <v>APROVADO</v>
          </cell>
          <cell r="F393" t="str">
            <v>APROVADO</v>
          </cell>
          <cell r="G393" t="str">
            <v>APROVADO</v>
          </cell>
          <cell r="H393" t="str">
            <v>APROVADO</v>
          </cell>
        </row>
        <row r="394">
          <cell r="B394" t="str">
            <v>ERNESTO JOSUE SCHMITT</v>
          </cell>
          <cell r="E394" t="str">
            <v>APROVADO</v>
          </cell>
          <cell r="F394" t="str">
            <v>APROVADO</v>
          </cell>
          <cell r="G394" t="str">
            <v>APROVADO</v>
          </cell>
          <cell r="H394" t="str">
            <v>APROVADO</v>
          </cell>
        </row>
        <row r="395">
          <cell r="B395" t="str">
            <v>ERNESTO LAZARO SIENNA</v>
          </cell>
          <cell r="E395" t="str">
            <v>APROVADO</v>
          </cell>
          <cell r="F395" t="str">
            <v>APROVADO</v>
          </cell>
          <cell r="G395" t="str">
            <v>APROVADO</v>
          </cell>
          <cell r="H395" t="str">
            <v>APROVADO</v>
          </cell>
        </row>
        <row r="396">
          <cell r="B396" t="str">
            <v>ERON FABIO MIRANDA</v>
          </cell>
          <cell r="E396" t="str">
            <v>APROVADO</v>
          </cell>
          <cell r="F396" t="str">
            <v>APROVADO</v>
          </cell>
          <cell r="G396" t="str">
            <v>APROVADO</v>
          </cell>
          <cell r="H396" t="str">
            <v>APROVADO</v>
          </cell>
        </row>
        <row r="397">
          <cell r="B397" t="str">
            <v>EROS LUIZ DE SOUSA</v>
          </cell>
          <cell r="E397" t="str">
            <v>APROVADO</v>
          </cell>
          <cell r="F397" t="str">
            <v>APROVADO</v>
          </cell>
          <cell r="G397" t="str">
            <v>APROVADO</v>
          </cell>
          <cell r="H397" t="str">
            <v>APROVADO</v>
          </cell>
        </row>
        <row r="398">
          <cell r="B398" t="str">
            <v>ETIANE CALOY BOVKALOVSKI</v>
          </cell>
          <cell r="E398" t="str">
            <v>APROVADO</v>
          </cell>
          <cell r="F398" t="str">
            <v>APROVADO</v>
          </cell>
          <cell r="G398" t="str">
            <v>APROVADO</v>
          </cell>
          <cell r="H398" t="str">
            <v>APROVADO</v>
          </cell>
        </row>
        <row r="399">
          <cell r="B399" t="str">
            <v>EVANDRO ALBERTO ZATTI</v>
          </cell>
          <cell r="E399" t="str">
            <v>APROVADO</v>
          </cell>
          <cell r="F399" t="str">
            <v>APROVADO</v>
          </cell>
          <cell r="G399" t="str">
            <v>APROVADO</v>
          </cell>
          <cell r="H399" t="str">
            <v>APROVADO</v>
          </cell>
        </row>
        <row r="400">
          <cell r="B400" t="str">
            <v>EVANDRO JACKSON REDIVO NAVA</v>
          </cell>
          <cell r="E400" t="str">
            <v>APROVADO</v>
          </cell>
          <cell r="F400" t="str">
            <v>APROVADO</v>
          </cell>
          <cell r="G400" t="str">
            <v>APROVADO</v>
          </cell>
          <cell r="H400" t="str">
            <v>APROVADO</v>
          </cell>
        </row>
        <row r="401">
          <cell r="B401" t="str">
            <v>EVARY ELYS ANGHINONI</v>
          </cell>
          <cell r="E401" t="str">
            <v>APROVADO</v>
          </cell>
          <cell r="F401" t="str">
            <v>APROVADO</v>
          </cell>
          <cell r="G401" t="str">
            <v>APROVADO</v>
          </cell>
          <cell r="H401" t="str">
            <v>APROVADO</v>
          </cell>
        </row>
        <row r="402">
          <cell r="B402" t="str">
            <v>EVELISE MACHADO DE SOUZA</v>
          </cell>
          <cell r="E402" t="str">
            <v>APROVADO</v>
          </cell>
          <cell r="F402" t="str">
            <v>APROVADO</v>
          </cell>
          <cell r="G402" t="str">
            <v>APROVADO</v>
          </cell>
          <cell r="H402" t="str">
            <v>APROVADO</v>
          </cell>
        </row>
        <row r="403">
          <cell r="B403" t="str">
            <v>EVERALDO ANTONIO RUTANA PEREIRA</v>
          </cell>
          <cell r="E403" t="str">
            <v>APROVADO</v>
          </cell>
          <cell r="F403" t="str">
            <v>APROVADO</v>
          </cell>
          <cell r="G403" t="str">
            <v>APROVADO</v>
          </cell>
          <cell r="H403" t="str">
            <v>APROVADO</v>
          </cell>
        </row>
        <row r="404">
          <cell r="B404" t="str">
            <v>EVERDAN CARNEIRO</v>
          </cell>
          <cell r="E404" t="str">
            <v>APROVADO</v>
          </cell>
          <cell r="F404" t="str">
            <v>APROVADO</v>
          </cell>
          <cell r="G404" t="str">
            <v>APROVADO</v>
          </cell>
          <cell r="H404" t="str">
            <v>APROVADO</v>
          </cell>
        </row>
        <row r="405">
          <cell r="B405" t="str">
            <v>EVERSON LUIZ OLIVEIRA MOTTA</v>
          </cell>
          <cell r="E405" t="str">
            <v>APROVADO</v>
          </cell>
          <cell r="F405" t="str">
            <v>APROVADO</v>
          </cell>
          <cell r="G405" t="str">
            <v>APROVADO</v>
          </cell>
          <cell r="H405" t="str">
            <v>APROVADO</v>
          </cell>
        </row>
        <row r="406">
          <cell r="B406" t="str">
            <v>EVERTON CARDOSO LEITE</v>
          </cell>
          <cell r="E406" t="str">
            <v>FINALIZADO</v>
          </cell>
          <cell r="F406" t="str">
            <v>FINALIZADO</v>
          </cell>
          <cell r="G406" t="str">
            <v>FINALIZADO</v>
          </cell>
          <cell r="H406" t="str">
            <v>FINALIZADO</v>
          </cell>
        </row>
        <row r="407">
          <cell r="B407" t="str">
            <v>EWERTON DE SA KAVISKI</v>
          </cell>
          <cell r="E407" t="str">
            <v>APROVADO</v>
          </cell>
          <cell r="F407" t="str">
            <v>APROVADO</v>
          </cell>
          <cell r="G407" t="str">
            <v>APROVADO</v>
          </cell>
          <cell r="H407" t="str">
            <v>APROVADO</v>
          </cell>
        </row>
        <row r="408">
          <cell r="B408" t="str">
            <v>FABIANA BARTALINI VON DER OSTEN</v>
          </cell>
          <cell r="E408" t="str">
            <v>APROVADO</v>
          </cell>
          <cell r="F408" t="str">
            <v>APROVADO</v>
          </cell>
          <cell r="G408" t="str">
            <v>APROVADO</v>
          </cell>
          <cell r="H408" t="str">
            <v>APROVADO</v>
          </cell>
        </row>
        <row r="409">
          <cell r="B409" t="str">
            <v>FABIANA DOS SANTOS MONTI</v>
          </cell>
          <cell r="E409" t="str">
            <v>APROVADO</v>
          </cell>
          <cell r="F409" t="str">
            <v>APROVADO</v>
          </cell>
          <cell r="G409" t="str">
            <v>APROVADO</v>
          </cell>
          <cell r="H409" t="str">
            <v>APROVADO</v>
          </cell>
        </row>
        <row r="410">
          <cell r="B410" t="str">
            <v>FABIANA THIELE ESCUDERO</v>
          </cell>
          <cell r="E410" t="str">
            <v>APROVADO</v>
          </cell>
          <cell r="F410" t="str">
            <v>APROVADO</v>
          </cell>
          <cell r="G410" t="str">
            <v>APROVADO</v>
          </cell>
          <cell r="H410" t="str">
            <v>APROVADO</v>
          </cell>
        </row>
        <row r="411">
          <cell r="B411" t="str">
            <v>FABIANE DE CASSIA SAVI TOMASIAK</v>
          </cell>
          <cell r="E411" t="str">
            <v>APROVADO</v>
          </cell>
          <cell r="F411" t="str">
            <v>APROVADO</v>
          </cell>
          <cell r="G411" t="str">
            <v>APROVADO</v>
          </cell>
          <cell r="H411" t="str">
            <v>APROVADO</v>
          </cell>
        </row>
        <row r="412">
          <cell r="B412" t="str">
            <v>FABIANO DE LIMA TYKALOWITZ</v>
          </cell>
          <cell r="E412" t="str">
            <v>APROVADO</v>
          </cell>
          <cell r="F412" t="str">
            <v>APROVADO</v>
          </cell>
          <cell r="G412" t="str">
            <v>APROVADO</v>
          </cell>
          <cell r="H412" t="str">
            <v>APROVADO</v>
          </cell>
        </row>
        <row r="413">
          <cell r="B413" t="str">
            <v>FABIANO INCERTI</v>
          </cell>
          <cell r="E413" t="str">
            <v>APROVADO</v>
          </cell>
          <cell r="F413" t="str">
            <v>APROVADO</v>
          </cell>
          <cell r="G413" t="str">
            <v>APROVADO</v>
          </cell>
          <cell r="H413" t="str">
            <v>APROVADO</v>
          </cell>
        </row>
        <row r="414">
          <cell r="B414" t="str">
            <v>FABIO GARCEZ BETTIO</v>
          </cell>
          <cell r="E414" t="str">
            <v>APROVADO</v>
          </cell>
          <cell r="F414" t="str">
            <v>APROVADO</v>
          </cell>
          <cell r="G414" t="str">
            <v>APROVADO</v>
          </cell>
          <cell r="H414" t="str">
            <v>APROVADO</v>
          </cell>
        </row>
        <row r="415">
          <cell r="B415" t="str">
            <v>FABIO HENRIQUE FARIA</v>
          </cell>
          <cell r="E415" t="str">
            <v>APROVADO</v>
          </cell>
          <cell r="F415" t="str">
            <v>APROVADO</v>
          </cell>
          <cell r="G415" t="str">
            <v>APROVADO</v>
          </cell>
          <cell r="H415" t="str">
            <v>APROVADO</v>
          </cell>
        </row>
        <row r="416">
          <cell r="B416" t="str">
            <v>FABIO HENRIQUE FELTRIN</v>
          </cell>
          <cell r="E416" t="str">
            <v>APROVADO</v>
          </cell>
          <cell r="F416" t="str">
            <v>APROVADO</v>
          </cell>
          <cell r="G416" t="str">
            <v>APROVADO</v>
          </cell>
          <cell r="H416" t="str">
            <v>APROVADO</v>
          </cell>
        </row>
        <row r="417">
          <cell r="B417" t="str">
            <v>FABIO INACIO PEREIRA</v>
          </cell>
          <cell r="E417" t="str">
            <v>APROVADO</v>
          </cell>
          <cell r="F417" t="str">
            <v>APROVADO</v>
          </cell>
          <cell r="G417" t="str">
            <v>APROVADO</v>
          </cell>
          <cell r="H417" t="str">
            <v>APROVADO</v>
          </cell>
        </row>
        <row r="418">
          <cell r="B418" t="str">
            <v>FABIO MONTAGNA SEKIYAMA</v>
          </cell>
          <cell r="E418" t="str">
            <v>APROVADO</v>
          </cell>
          <cell r="F418" t="str">
            <v>APROVADO</v>
          </cell>
          <cell r="G418" t="str">
            <v>APROVADO</v>
          </cell>
          <cell r="H418" t="str">
            <v>APROVADO</v>
          </cell>
        </row>
        <row r="419">
          <cell r="B419" t="str">
            <v>FABIO ROCHA FARIAS</v>
          </cell>
          <cell r="E419" t="str">
            <v>APROVADO</v>
          </cell>
          <cell r="F419" t="str">
            <v>APROVADO</v>
          </cell>
          <cell r="G419" t="str">
            <v>APROVADO</v>
          </cell>
          <cell r="H419" t="str">
            <v>APROVADO</v>
          </cell>
        </row>
        <row r="420">
          <cell r="B420" t="str">
            <v>FABIO TEODORO DE SOUZA</v>
          </cell>
          <cell r="E420" t="str">
            <v>APROVADO</v>
          </cell>
          <cell r="F420" t="str">
            <v>APROVADO</v>
          </cell>
          <cell r="G420" t="str">
            <v>APROVADO</v>
          </cell>
          <cell r="H420" t="str">
            <v>APROVADO</v>
          </cell>
        </row>
        <row r="421">
          <cell r="B421" t="str">
            <v>FABIO VINICIUS BINDER</v>
          </cell>
          <cell r="E421" t="str">
            <v>APROVADO</v>
          </cell>
          <cell r="F421" t="str">
            <v>APROVADO</v>
          </cell>
          <cell r="G421" t="str">
            <v>APROVADO</v>
          </cell>
          <cell r="H421" t="str">
            <v>APROVADO</v>
          </cell>
        </row>
        <row r="422">
          <cell r="B422" t="str">
            <v>FABIOLA BRENNER HILGENBERG</v>
          </cell>
          <cell r="E422" t="str">
            <v>APROVADO</v>
          </cell>
          <cell r="F422" t="str">
            <v>APROVADO</v>
          </cell>
          <cell r="G422" t="str">
            <v>APROVADO</v>
          </cell>
          <cell r="H422" t="str">
            <v>APROVADO</v>
          </cell>
        </row>
        <row r="423">
          <cell r="B423" t="str">
            <v>FABRICIO ENEMBRECK</v>
          </cell>
          <cell r="E423" t="str">
            <v>APROVADO</v>
          </cell>
          <cell r="F423" t="str">
            <v>APROVADO</v>
          </cell>
          <cell r="G423" t="str">
            <v>APROVADO</v>
          </cell>
          <cell r="H423" t="str">
            <v>APROVADO</v>
          </cell>
        </row>
        <row r="424">
          <cell r="B424" t="str">
            <v>FABRIZIO ZANDONADI CATENASSI</v>
          </cell>
          <cell r="E424" t="str">
            <v>APROVADO</v>
          </cell>
          <cell r="F424" t="str">
            <v>APROVADO</v>
          </cell>
          <cell r="G424" t="str">
            <v>APROVADO</v>
          </cell>
          <cell r="H424" t="str">
            <v>APROVADO</v>
          </cell>
        </row>
        <row r="425">
          <cell r="B425" t="str">
            <v>FATIMA MITSIE CHIBANA SOARES</v>
          </cell>
          <cell r="E425" t="str">
            <v>APROVADO</v>
          </cell>
          <cell r="F425" t="str">
            <v>APROVADO</v>
          </cell>
          <cell r="G425" t="str">
            <v>APROVADO</v>
          </cell>
          <cell r="H425" t="str">
            <v>APROVADO</v>
          </cell>
        </row>
        <row r="426">
          <cell r="B426" t="str">
            <v>FEDERICO FERRAGUTO</v>
          </cell>
          <cell r="E426" t="str">
            <v>APROVADO</v>
          </cell>
          <cell r="F426" t="str">
            <v>APROVADO</v>
          </cell>
          <cell r="G426" t="str">
            <v>APROVADO</v>
          </cell>
          <cell r="H426" t="str">
            <v>APROVADO</v>
          </cell>
        </row>
        <row r="427">
          <cell r="B427" t="str">
            <v>FELICIO ARAGAO SAVIOLI</v>
          </cell>
          <cell r="E427" t="str">
            <v>APROVADO</v>
          </cell>
          <cell r="F427" t="str">
            <v>APROVADO</v>
          </cell>
          <cell r="G427" t="str">
            <v>APROVADO</v>
          </cell>
          <cell r="H427" t="str">
            <v>APROVADO</v>
          </cell>
        </row>
        <row r="428">
          <cell r="B428" t="str">
            <v>FELIPE AUGUSTO PRZYSIADA</v>
          </cell>
          <cell r="E428" t="str">
            <v>APROVADO</v>
          </cell>
          <cell r="F428" t="str">
            <v>APROVADO</v>
          </cell>
          <cell r="G428" t="str">
            <v>APROVADO</v>
          </cell>
          <cell r="H428" t="str">
            <v>APROVADO</v>
          </cell>
        </row>
        <row r="429">
          <cell r="B429" t="str">
            <v>FELIPE DE OLIVEIRA SOUZA</v>
          </cell>
          <cell r="E429" t="str">
            <v>APROVADO</v>
          </cell>
          <cell r="F429" t="str">
            <v>APROVADO</v>
          </cell>
          <cell r="G429" t="str">
            <v>APROVADO</v>
          </cell>
          <cell r="H429" t="str">
            <v>APROVADO</v>
          </cell>
        </row>
        <row r="430">
          <cell r="B430" t="str">
            <v>FELIPE FRANCISCO BONDAN TUON</v>
          </cell>
          <cell r="E430" t="str">
            <v>APROVADO</v>
          </cell>
          <cell r="F430" t="str">
            <v>APROVADO</v>
          </cell>
          <cell r="G430" t="str">
            <v>APROVADO</v>
          </cell>
          <cell r="H430" t="str">
            <v>APROVADO</v>
          </cell>
        </row>
        <row r="431">
          <cell r="B431" t="str">
            <v>FELIPE GANZERT OLIVEIRA</v>
          </cell>
          <cell r="E431" t="str">
            <v>APROVADO</v>
          </cell>
          <cell r="F431" t="str">
            <v>APROVADO</v>
          </cell>
          <cell r="G431" t="str">
            <v>APROVADO</v>
          </cell>
          <cell r="H431" t="str">
            <v>APROVADO</v>
          </cell>
        </row>
        <row r="432">
          <cell r="B432" t="str">
            <v>FELIPE RANGEL DA SILVA</v>
          </cell>
          <cell r="E432" t="str">
            <v>APROVADO</v>
          </cell>
          <cell r="F432" t="str">
            <v>APROVADO</v>
          </cell>
          <cell r="G432" t="str">
            <v>APROVADO</v>
          </cell>
          <cell r="H432" t="str">
            <v>APROVADO</v>
          </cell>
        </row>
        <row r="433">
          <cell r="B433" t="str">
            <v>FERNANDA BIAZETTO VILAR FABRICIO</v>
          </cell>
          <cell r="E433" t="str">
            <v>APROVADO</v>
          </cell>
          <cell r="F433" t="str">
            <v>APROVADO</v>
          </cell>
          <cell r="G433" t="str">
            <v>APROVADO</v>
          </cell>
          <cell r="H433" t="str">
            <v>APROVADO</v>
          </cell>
        </row>
        <row r="434">
          <cell r="B434" t="str">
            <v>FERNANDA BROERING GOMES TORRES</v>
          </cell>
          <cell r="E434" t="str">
            <v>APROVADO</v>
          </cell>
          <cell r="F434" t="str">
            <v>APROVADO</v>
          </cell>
          <cell r="G434" t="str">
            <v>APROVADO</v>
          </cell>
          <cell r="H434" t="str">
            <v>APROVADO</v>
          </cell>
        </row>
        <row r="435">
          <cell r="B435" t="str">
            <v>FERNANDA CORREA PAVESI LARA</v>
          </cell>
          <cell r="E435" t="str">
            <v>APROVADO</v>
          </cell>
          <cell r="F435" t="str">
            <v>APROVADO</v>
          </cell>
          <cell r="G435" t="str">
            <v>APROVADO</v>
          </cell>
          <cell r="H435" t="str">
            <v>APROVADO</v>
          </cell>
        </row>
        <row r="436">
          <cell r="B436" t="str">
            <v>FERNANDA CRISTINA BARROS NEVES</v>
          </cell>
          <cell r="E436" t="str">
            <v>APROVADO</v>
          </cell>
          <cell r="F436" t="str">
            <v>APROVADO</v>
          </cell>
          <cell r="G436" t="str">
            <v>APROVADO</v>
          </cell>
          <cell r="H436" t="str">
            <v>APROVADO</v>
          </cell>
        </row>
        <row r="437">
          <cell r="B437" t="str">
            <v>FERNANDA CRISTINA OSTROVSKI SALES</v>
          </cell>
          <cell r="E437" t="str">
            <v>AGUARDANDO APROVAÇÃO</v>
          </cell>
          <cell r="F437" t="str">
            <v>APROVADO</v>
          </cell>
          <cell r="G437" t="str">
            <v>APROVADO</v>
          </cell>
          <cell r="H437" t="str">
            <v>APROVADO</v>
          </cell>
        </row>
        <row r="438">
          <cell r="B438" t="str">
            <v>FERNANDA DIAS DE MORAES</v>
          </cell>
          <cell r="E438" t="str">
            <v>APROVADO</v>
          </cell>
          <cell r="F438" t="str">
            <v>APROVADO</v>
          </cell>
          <cell r="G438" t="str">
            <v>APROVADO</v>
          </cell>
          <cell r="H438" t="str">
            <v>APROVADO</v>
          </cell>
        </row>
        <row r="439">
          <cell r="B439" t="str">
            <v>FERNANDA FRANKENBERGER SILVA</v>
          </cell>
          <cell r="E439" t="str">
            <v>APROVADO</v>
          </cell>
          <cell r="F439" t="str">
            <v>APROVADO</v>
          </cell>
          <cell r="G439" t="str">
            <v>APROVADO</v>
          </cell>
          <cell r="H439" t="str">
            <v>APROVADO</v>
          </cell>
        </row>
        <row r="440">
          <cell r="B440" t="str">
            <v>FERNANDA LETICIA SOARES PINHEIRO</v>
          </cell>
          <cell r="E440" t="str">
            <v>APROVADO</v>
          </cell>
          <cell r="F440" t="str">
            <v>APROVADO</v>
          </cell>
          <cell r="G440" t="str">
            <v>APROVADO</v>
          </cell>
          <cell r="H440" t="str">
            <v>APROVADO</v>
          </cell>
        </row>
        <row r="441">
          <cell r="B441" t="str">
            <v>FERNANDA LIBONI CAVICCHIOLI</v>
          </cell>
          <cell r="E441" t="str">
            <v>APROVADO</v>
          </cell>
          <cell r="F441" t="str">
            <v>APROVADO</v>
          </cell>
          <cell r="G441" t="str">
            <v>APROVADO</v>
          </cell>
          <cell r="H441" t="str">
            <v>APROVADO</v>
          </cell>
        </row>
        <row r="442">
          <cell r="B442" t="str">
            <v>FERNANDA MARA GIBRAN BAUER</v>
          </cell>
          <cell r="E442" t="str">
            <v>APROVADO</v>
          </cell>
          <cell r="F442" t="str">
            <v>APROVADO</v>
          </cell>
          <cell r="G442" t="str">
            <v>APROVADO</v>
          </cell>
          <cell r="H442" t="str">
            <v>APROVADO</v>
          </cell>
        </row>
        <row r="443">
          <cell r="B443" t="str">
            <v>FERNANDA MATTIAS SARTORI</v>
          </cell>
          <cell r="E443" t="str">
            <v>APROVADO</v>
          </cell>
          <cell r="F443" t="str">
            <v>APROVADO</v>
          </cell>
          <cell r="G443" t="str">
            <v>APROVADO</v>
          </cell>
          <cell r="H443" t="str">
            <v>APROVADO</v>
          </cell>
        </row>
        <row r="444">
          <cell r="B444" t="str">
            <v>FERNANDA MEDEIROS ASSEF</v>
          </cell>
          <cell r="E444" t="str">
            <v>APROVADO</v>
          </cell>
          <cell r="F444" t="str">
            <v>APROVADO</v>
          </cell>
          <cell r="G444" t="str">
            <v>APROVADO</v>
          </cell>
          <cell r="H444" t="str">
            <v>APROVADO</v>
          </cell>
        </row>
        <row r="445">
          <cell r="B445" t="str">
            <v>FERNANDA PAOLA BUTARELLI</v>
          </cell>
          <cell r="E445" t="str">
            <v>APROVADO</v>
          </cell>
          <cell r="F445" t="str">
            <v>APROVADO</v>
          </cell>
          <cell r="G445" t="str">
            <v>APROVADO</v>
          </cell>
          <cell r="H445" t="str">
            <v>APROVADO</v>
          </cell>
        </row>
        <row r="446">
          <cell r="B446" t="str">
            <v>FERNANDA RAQUEL THOMAZ DE ARAUJO</v>
          </cell>
          <cell r="E446" t="str">
            <v>APROVADO</v>
          </cell>
          <cell r="F446" t="str">
            <v>APROVADO</v>
          </cell>
          <cell r="G446" t="str">
            <v>APROVADO</v>
          </cell>
          <cell r="H446" t="str">
            <v>APROVADO</v>
          </cell>
        </row>
        <row r="447">
          <cell r="B447" t="str">
            <v>FERNANDA SCHIER DE FRAGA</v>
          </cell>
          <cell r="E447" t="str">
            <v>APROVADO</v>
          </cell>
          <cell r="F447" t="str">
            <v>APROVADO</v>
          </cell>
          <cell r="G447" t="str">
            <v>APROVADO</v>
          </cell>
          <cell r="H447" t="str">
            <v>APROVADO</v>
          </cell>
        </row>
        <row r="448">
          <cell r="B448" t="str">
            <v>FERNANDO BITTENCOURT LUCIANO</v>
          </cell>
          <cell r="E448" t="str">
            <v>APROVADO</v>
          </cell>
          <cell r="F448" t="str">
            <v>APROVADO</v>
          </cell>
          <cell r="G448" t="str">
            <v>APROVADO</v>
          </cell>
          <cell r="H448" t="str">
            <v>APROVADO</v>
          </cell>
        </row>
        <row r="449">
          <cell r="B449" t="str">
            <v>FERNANDO CAVALHEIRO KRAUZER</v>
          </cell>
          <cell r="E449" t="str">
            <v>APROVADO</v>
          </cell>
          <cell r="F449" t="str">
            <v>APROVADO</v>
          </cell>
          <cell r="G449" t="str">
            <v>APROVADO</v>
          </cell>
          <cell r="H449" t="str">
            <v>APROVADO</v>
          </cell>
        </row>
        <row r="450">
          <cell r="B450" t="str">
            <v>FERNANDO CAVAZOTTI COELHO</v>
          </cell>
          <cell r="E450" t="str">
            <v>APROVADO</v>
          </cell>
          <cell r="F450" t="str">
            <v>APROVADO</v>
          </cell>
          <cell r="G450" t="str">
            <v>APROVADO</v>
          </cell>
          <cell r="H450" t="str">
            <v>APROVADO</v>
          </cell>
        </row>
        <row r="451">
          <cell r="B451" t="str">
            <v>FERNANDO FERRAZ FARIA</v>
          </cell>
          <cell r="E451" t="str">
            <v>APROVADO</v>
          </cell>
          <cell r="F451" t="str">
            <v>APROVADO</v>
          </cell>
          <cell r="G451" t="str">
            <v>APROVADO</v>
          </cell>
          <cell r="H451" t="str">
            <v>APROVADO</v>
          </cell>
        </row>
        <row r="452">
          <cell r="B452" t="str">
            <v>FERNANDO LOVEL BERGAMASCO</v>
          </cell>
          <cell r="E452" t="str">
            <v>APROVADO</v>
          </cell>
          <cell r="F452" t="str">
            <v>APROVADO</v>
          </cell>
          <cell r="G452" t="str">
            <v>APROVADO</v>
          </cell>
          <cell r="H452" t="str">
            <v>APROVADO</v>
          </cell>
        </row>
        <row r="453">
          <cell r="B453" t="str">
            <v>FERNANDO MEYER</v>
          </cell>
          <cell r="E453" t="str">
            <v>APROVADO</v>
          </cell>
          <cell r="F453" t="str">
            <v>APROVADO</v>
          </cell>
          <cell r="G453" t="str">
            <v>APROVADO</v>
          </cell>
          <cell r="H453" t="str">
            <v>APROVADO</v>
          </cell>
        </row>
        <row r="454">
          <cell r="B454" t="str">
            <v>FERNANDO ROBERTO ROMAN</v>
          </cell>
          <cell r="E454" t="str">
            <v>APROVADO</v>
          </cell>
          <cell r="F454" t="str">
            <v>APROVADO</v>
          </cell>
          <cell r="G454" t="str">
            <v>APROVADO</v>
          </cell>
          <cell r="H454" t="str">
            <v>APROVADO</v>
          </cell>
        </row>
        <row r="455">
          <cell r="B455" t="str">
            <v>FLAVIA AULER</v>
          </cell>
          <cell r="E455" t="str">
            <v>APROVADO</v>
          </cell>
          <cell r="F455" t="str">
            <v>APROVADO</v>
          </cell>
          <cell r="G455" t="str">
            <v>APROVADO</v>
          </cell>
          <cell r="H455" t="str">
            <v>APROVADO</v>
          </cell>
        </row>
        <row r="456">
          <cell r="B456" t="str">
            <v>FLAVIA COSTA PREVEDELLO</v>
          </cell>
          <cell r="E456" t="str">
            <v>APROVADO</v>
          </cell>
          <cell r="F456" t="str">
            <v>APROVADO</v>
          </cell>
          <cell r="G456" t="str">
            <v>APROVADO</v>
          </cell>
          <cell r="H456" t="str">
            <v>APROVADO</v>
          </cell>
        </row>
        <row r="457">
          <cell r="B457" t="str">
            <v>FLAVIA MARIA DE PAULA SOARES</v>
          </cell>
          <cell r="E457" t="str">
            <v>APROVADO</v>
          </cell>
          <cell r="F457" t="str">
            <v>APROVADO</v>
          </cell>
          <cell r="G457" t="str">
            <v>APROVADO</v>
          </cell>
          <cell r="H457" t="str">
            <v>APROVADO</v>
          </cell>
        </row>
        <row r="458">
          <cell r="B458" t="str">
            <v>FLAVIA OBARA KAI</v>
          </cell>
          <cell r="E458" t="str">
            <v>APROVADO</v>
          </cell>
          <cell r="F458" t="str">
            <v>APROVADO</v>
          </cell>
          <cell r="G458" t="str">
            <v>APROVADO</v>
          </cell>
          <cell r="H458" t="str">
            <v>APROVADO</v>
          </cell>
        </row>
        <row r="459">
          <cell r="B459" t="str">
            <v>FLAVIO FREIRE CARVALHO</v>
          </cell>
          <cell r="E459" t="str">
            <v>APROVADO</v>
          </cell>
          <cell r="F459" t="str">
            <v>APROVADO</v>
          </cell>
          <cell r="G459" t="str">
            <v>APROVADO</v>
          </cell>
          <cell r="H459" t="str">
            <v>APROVADO</v>
          </cell>
        </row>
        <row r="460">
          <cell r="B460" t="str">
            <v>FLAVIO HEUTA IVANO</v>
          </cell>
          <cell r="E460" t="str">
            <v>APROVADO</v>
          </cell>
          <cell r="F460" t="str">
            <v>APROVADO</v>
          </cell>
          <cell r="G460" t="str">
            <v>APROVADO</v>
          </cell>
          <cell r="H460" t="str">
            <v>APROVADO</v>
          </cell>
        </row>
        <row r="461">
          <cell r="B461" t="str">
            <v>FLAVIO LUIZ VON DER OSTEN</v>
          </cell>
          <cell r="E461" t="str">
            <v>APROVADO</v>
          </cell>
          <cell r="F461" t="str">
            <v>APROVADO</v>
          </cell>
          <cell r="G461" t="str">
            <v>APROVADO</v>
          </cell>
          <cell r="H461" t="str">
            <v>APROVADO</v>
          </cell>
        </row>
        <row r="462">
          <cell r="B462" t="str">
            <v>FLAVIO PANSIERI</v>
          </cell>
          <cell r="E462" t="str">
            <v>APROVADO</v>
          </cell>
          <cell r="F462" t="str">
            <v>APROVADO</v>
          </cell>
          <cell r="G462" t="str">
            <v>APROVADO</v>
          </cell>
          <cell r="H462" t="str">
            <v>APROVADO</v>
          </cell>
        </row>
        <row r="463">
          <cell r="B463" t="str">
            <v>FLUVIO CARDINELLE OLIVEIRA GARCIA</v>
          </cell>
          <cell r="E463" t="str">
            <v>APROVADO</v>
          </cell>
          <cell r="F463" t="str">
            <v>APROVADO</v>
          </cell>
          <cell r="G463" t="str">
            <v>APROVADO</v>
          </cell>
          <cell r="H463" t="str">
            <v>APROVADO</v>
          </cell>
        </row>
        <row r="464">
          <cell r="B464" t="str">
            <v>FRANCIELI MOGNON</v>
          </cell>
          <cell r="E464" t="str">
            <v>APROVADO</v>
          </cell>
          <cell r="F464" t="str">
            <v>APROVADO</v>
          </cell>
          <cell r="G464" t="str">
            <v>APROVADO</v>
          </cell>
          <cell r="H464" t="str">
            <v>APROVADO</v>
          </cell>
        </row>
        <row r="465">
          <cell r="B465" t="str">
            <v>FRANCINE DUTRA MATTEI</v>
          </cell>
          <cell r="E465" t="str">
            <v>APROVADO</v>
          </cell>
          <cell r="F465" t="str">
            <v>APROVADO</v>
          </cell>
          <cell r="G465" t="str">
            <v>APROVADO</v>
          </cell>
          <cell r="H465" t="str">
            <v>APROVADO</v>
          </cell>
        </row>
        <row r="466">
          <cell r="B466" t="str">
            <v>FRANCINE FABIANA OZAKI</v>
          </cell>
          <cell r="E466" t="str">
            <v>APROVADO</v>
          </cell>
          <cell r="F466" t="str">
            <v>APROVADO</v>
          </cell>
          <cell r="G466" t="str">
            <v>APROVADO</v>
          </cell>
          <cell r="H466" t="str">
            <v>APROVADO</v>
          </cell>
        </row>
        <row r="467">
          <cell r="B467" t="str">
            <v>FRANCINE MILENKOVICH BELINETTI</v>
          </cell>
          <cell r="E467" t="str">
            <v>APROVADO</v>
          </cell>
          <cell r="F467" t="str">
            <v>APROVADO</v>
          </cell>
          <cell r="G467" t="str">
            <v>APROVADO</v>
          </cell>
          <cell r="H467" t="str">
            <v>APROVADO</v>
          </cell>
        </row>
        <row r="468">
          <cell r="B468" t="str">
            <v>FRANCINE VALENGA</v>
          </cell>
          <cell r="E468" t="str">
            <v>APROVADO</v>
          </cell>
          <cell r="F468" t="str">
            <v>APROVADO</v>
          </cell>
          <cell r="G468" t="str">
            <v>APROVADO</v>
          </cell>
          <cell r="H468" t="str">
            <v>APROVADO</v>
          </cell>
        </row>
        <row r="469">
          <cell r="B469" t="str">
            <v>FRANCIS FREGONESI BRINHOLI</v>
          </cell>
          <cell r="E469" t="str">
            <v>APROVADO</v>
          </cell>
          <cell r="F469" t="str">
            <v>APROVADO</v>
          </cell>
          <cell r="G469" t="str">
            <v>APROVADO</v>
          </cell>
          <cell r="H469" t="str">
            <v>APROVADO</v>
          </cell>
        </row>
        <row r="470">
          <cell r="B470" t="str">
            <v>FRANCISCO BARTOSIEVICZ NETTO</v>
          </cell>
          <cell r="E470" t="str">
            <v>APROVADO</v>
          </cell>
          <cell r="F470" t="str">
            <v>APROVADO</v>
          </cell>
          <cell r="G470" t="str">
            <v>APROVADO</v>
          </cell>
          <cell r="H470" t="str">
            <v>APROVADO</v>
          </cell>
        </row>
        <row r="471">
          <cell r="B471" t="str">
            <v>FRANCISCO EDUARDO CORAL</v>
          </cell>
          <cell r="E471" t="str">
            <v>APROVADO</v>
          </cell>
          <cell r="F471" t="str">
            <v>APROVADO</v>
          </cell>
          <cell r="G471" t="str">
            <v>APROVADO</v>
          </cell>
          <cell r="H471" t="str">
            <v>APROVADO</v>
          </cell>
        </row>
        <row r="472">
          <cell r="B472" t="str">
            <v>FRANCISCO INACIO DA SILVA MALLMANN</v>
          </cell>
          <cell r="E472" t="str">
            <v>FINALIZADO</v>
          </cell>
          <cell r="F472" t="str">
            <v>FINALIZADO</v>
          </cell>
          <cell r="G472" t="str">
            <v>FINALIZADO</v>
          </cell>
          <cell r="H472" t="str">
            <v>FINALIZADO</v>
          </cell>
        </row>
        <row r="473">
          <cell r="B473" t="str">
            <v>FRANCISCO MAIA DA SILVA</v>
          </cell>
          <cell r="E473" t="str">
            <v>APROVADO</v>
          </cell>
          <cell r="F473" t="str">
            <v>APROVADO</v>
          </cell>
          <cell r="G473" t="str">
            <v>APROVADO</v>
          </cell>
          <cell r="H473" t="str">
            <v>APROVADO</v>
          </cell>
        </row>
        <row r="474">
          <cell r="B474" t="str">
            <v>FRANCISCO SANTOS LIMA</v>
          </cell>
          <cell r="E474" t="str">
            <v>FINALIZADO</v>
          </cell>
          <cell r="F474" t="str">
            <v>FINALIZADO</v>
          </cell>
          <cell r="G474" t="str">
            <v>FINALIZADO</v>
          </cell>
          <cell r="H474" t="str">
            <v>FINALIZADO</v>
          </cell>
        </row>
        <row r="475">
          <cell r="B475" t="str">
            <v>FRANCISCO VERARDI BOCCA</v>
          </cell>
          <cell r="E475" t="str">
            <v>APROVADO</v>
          </cell>
          <cell r="F475" t="str">
            <v>APROVADO</v>
          </cell>
          <cell r="G475" t="str">
            <v>APROVADO</v>
          </cell>
          <cell r="H475" t="str">
            <v>APROVADO</v>
          </cell>
        </row>
        <row r="476">
          <cell r="B476" t="str">
            <v>FRANK COELHO DE ALCANTARA</v>
          </cell>
          <cell r="E476" t="str">
            <v>APROVADO</v>
          </cell>
          <cell r="F476" t="str">
            <v>APROVADO</v>
          </cell>
          <cell r="G476" t="str">
            <v>APROVADO</v>
          </cell>
          <cell r="H476" t="str">
            <v>APROVADO</v>
          </cell>
        </row>
        <row r="477">
          <cell r="B477" t="str">
            <v>FRED LACERDA AMORIM</v>
          </cell>
          <cell r="E477" t="str">
            <v>APROVADO</v>
          </cell>
          <cell r="F477" t="str">
            <v>APROVADO</v>
          </cell>
          <cell r="G477" t="str">
            <v>APROVADO</v>
          </cell>
          <cell r="H477" t="str">
            <v>APROVADO</v>
          </cell>
        </row>
        <row r="478">
          <cell r="B478" t="str">
            <v>FULVY ANTONELLA VENTURI PEREIRA</v>
          </cell>
          <cell r="E478" t="str">
            <v>APROVADO</v>
          </cell>
          <cell r="F478" t="str">
            <v>APROVADO</v>
          </cell>
          <cell r="G478" t="str">
            <v>APROVADO</v>
          </cell>
          <cell r="H478" t="str">
            <v>APROVADO</v>
          </cell>
        </row>
        <row r="479">
          <cell r="B479" t="str">
            <v>GABRIEL ALEXANDRE BOZZA</v>
          </cell>
          <cell r="E479" t="str">
            <v>APROVADO</v>
          </cell>
          <cell r="F479" t="str">
            <v>APROVADO</v>
          </cell>
          <cell r="G479" t="str">
            <v>APROVADO</v>
          </cell>
          <cell r="H479" t="str">
            <v>APROVADO</v>
          </cell>
        </row>
        <row r="480">
          <cell r="B480" t="str">
            <v>GABRIEL GIRARDI</v>
          </cell>
          <cell r="E480" t="str">
            <v>APROVADO</v>
          </cell>
          <cell r="F480" t="str">
            <v>APROVADO</v>
          </cell>
          <cell r="G480" t="str">
            <v>APROVADO</v>
          </cell>
          <cell r="H480" t="str">
            <v>APROVADO</v>
          </cell>
        </row>
        <row r="481">
          <cell r="B481" t="str">
            <v>GABRIELA BOSCHETTI</v>
          </cell>
          <cell r="E481" t="str">
            <v>APROVADO</v>
          </cell>
          <cell r="F481" t="str">
            <v>APROVADO</v>
          </cell>
          <cell r="G481" t="str">
            <v>APROVADO</v>
          </cell>
          <cell r="H481" t="str">
            <v>APROVADO</v>
          </cell>
        </row>
        <row r="482">
          <cell r="B482" t="str">
            <v>GABRIELA LOBO VEIGA</v>
          </cell>
          <cell r="E482" t="str">
            <v>APROVADO</v>
          </cell>
          <cell r="F482" t="str">
            <v>APROVADO</v>
          </cell>
          <cell r="G482" t="str">
            <v>APROVADO</v>
          </cell>
          <cell r="H482" t="str">
            <v>APROVADO</v>
          </cell>
        </row>
        <row r="483">
          <cell r="B483" t="str">
            <v>GABRIELA RUBIN TOAZZA</v>
          </cell>
          <cell r="E483" t="str">
            <v>APROVADO</v>
          </cell>
          <cell r="F483" t="str">
            <v>APROVADO</v>
          </cell>
          <cell r="G483" t="str">
            <v>APROVADO</v>
          </cell>
          <cell r="H483" t="str">
            <v>APROVADO</v>
          </cell>
        </row>
        <row r="484">
          <cell r="B484" t="str">
            <v>GABRIELA UNGER UNRUH</v>
          </cell>
          <cell r="E484" t="str">
            <v>APROVADO</v>
          </cell>
          <cell r="F484" t="str">
            <v>APROVADO</v>
          </cell>
          <cell r="G484" t="str">
            <v>APROVADO</v>
          </cell>
          <cell r="H484" t="str">
            <v>APROVADO</v>
          </cell>
        </row>
        <row r="485">
          <cell r="B485" t="str">
            <v>GEISA TAMARA BUGS</v>
          </cell>
          <cell r="E485" t="str">
            <v>APROVADO</v>
          </cell>
          <cell r="F485" t="str">
            <v>APROVADO</v>
          </cell>
          <cell r="G485" t="str">
            <v>APROVADO</v>
          </cell>
          <cell r="H485" t="str">
            <v>APROVADO</v>
          </cell>
        </row>
        <row r="486">
          <cell r="B486" t="str">
            <v>GELSON LUIZ CARNEIRO</v>
          </cell>
          <cell r="E486" t="str">
            <v>APROVADO</v>
          </cell>
          <cell r="F486" t="str">
            <v>APROVADO</v>
          </cell>
          <cell r="G486" t="str">
            <v>APROVADO</v>
          </cell>
          <cell r="H486" t="str">
            <v>APROVADO</v>
          </cell>
        </row>
        <row r="487">
          <cell r="B487" t="str">
            <v>GEOVANI VIOLA MORETTO</v>
          </cell>
          <cell r="E487" t="str">
            <v>AGUARDANDO APROVAÇÃO</v>
          </cell>
          <cell r="F487" t="str">
            <v>AGUARDANDO APROVAÇÃO</v>
          </cell>
          <cell r="G487" t="str">
            <v>AGUARDANDO APROVAÇÃO</v>
          </cell>
          <cell r="H487" t="str">
            <v>AGUARDANDO APROVAÇÃO</v>
          </cell>
        </row>
        <row r="488">
          <cell r="B488" t="str">
            <v>GERALDO ALBERTO SEBBEN</v>
          </cell>
          <cell r="E488" t="str">
            <v>APROVADO</v>
          </cell>
          <cell r="F488" t="str">
            <v>APROVADO</v>
          </cell>
          <cell r="G488" t="str">
            <v>APROVADO</v>
          </cell>
          <cell r="H488" t="str">
            <v>APROVADO</v>
          </cell>
        </row>
        <row r="489">
          <cell r="B489" t="str">
            <v>GERALDO MIRANDA GRACA FILHO</v>
          </cell>
          <cell r="E489" t="str">
            <v>APROVADO</v>
          </cell>
          <cell r="F489" t="str">
            <v>APROVADO</v>
          </cell>
          <cell r="G489" t="str">
            <v>APROVADO</v>
          </cell>
          <cell r="H489" t="str">
            <v>APROVADO</v>
          </cell>
        </row>
        <row r="490">
          <cell r="B490" t="str">
            <v>GEUCIMAR BRIATORE</v>
          </cell>
          <cell r="E490" t="str">
            <v>APROVADO</v>
          </cell>
          <cell r="F490" t="str">
            <v>APROVADO</v>
          </cell>
          <cell r="G490" t="str">
            <v>APROVADO</v>
          </cell>
          <cell r="H490" t="str">
            <v>APROVADO</v>
          </cell>
        </row>
        <row r="491">
          <cell r="B491" t="str">
            <v>GEZELDA CHRISTIANE MORAES</v>
          </cell>
          <cell r="E491" t="str">
            <v>APROVADO</v>
          </cell>
          <cell r="F491" t="str">
            <v>APROVADO</v>
          </cell>
          <cell r="G491" t="str">
            <v>APROVADO</v>
          </cell>
          <cell r="H491" t="str">
            <v>APROVADO</v>
          </cell>
        </row>
        <row r="492">
          <cell r="B492" t="str">
            <v>GIANA SILVEIRA GIOSTRI</v>
          </cell>
          <cell r="E492" t="str">
            <v>APROVADO</v>
          </cell>
          <cell r="F492" t="str">
            <v>APROVADO</v>
          </cell>
          <cell r="G492" t="str">
            <v>APROVADO</v>
          </cell>
          <cell r="H492" t="str">
            <v>APROVADO</v>
          </cell>
        </row>
        <row r="493">
          <cell r="B493" t="str">
            <v>GIBRAN AVELINO FRANDOLOSO</v>
          </cell>
          <cell r="E493" t="str">
            <v>APROVADO</v>
          </cell>
          <cell r="F493" t="str">
            <v>APROVADO</v>
          </cell>
          <cell r="G493" t="str">
            <v>APROVADO</v>
          </cell>
          <cell r="H493" t="str">
            <v>APROVADO</v>
          </cell>
        </row>
        <row r="494">
          <cell r="B494" t="str">
            <v>GILBERTO GAERTNER</v>
          </cell>
          <cell r="E494" t="str">
            <v>APROVADO</v>
          </cell>
          <cell r="F494" t="str">
            <v>APROVADO</v>
          </cell>
          <cell r="G494" t="str">
            <v>APROVADO</v>
          </cell>
          <cell r="H494" t="str">
            <v>APROVADO</v>
          </cell>
        </row>
        <row r="495">
          <cell r="B495" t="str">
            <v>GILBERTO REYNOSO MEZA</v>
          </cell>
          <cell r="E495" t="str">
            <v>APROVADO</v>
          </cell>
          <cell r="F495" t="str">
            <v>APROVADO</v>
          </cell>
          <cell r="G495" t="str">
            <v>APROVADO</v>
          </cell>
          <cell r="H495" t="str">
            <v>APROVADO</v>
          </cell>
        </row>
        <row r="496">
          <cell r="B496" t="str">
            <v>GINO PIGATTO FILHO</v>
          </cell>
          <cell r="E496" t="str">
            <v>APROVADO</v>
          </cell>
          <cell r="F496" t="str">
            <v>APROVADO</v>
          </cell>
          <cell r="G496" t="str">
            <v>APROVADO</v>
          </cell>
          <cell r="H496" t="str">
            <v>APROVADO</v>
          </cell>
        </row>
        <row r="497">
          <cell r="B497" t="str">
            <v>GIOVANNE HENRIQUE BRESSAN SCHIAVON</v>
          </cell>
          <cell r="E497" t="str">
            <v>APROVADO</v>
          </cell>
          <cell r="F497" t="str">
            <v>APROVADO</v>
          </cell>
          <cell r="G497" t="str">
            <v>APROVADO</v>
          </cell>
          <cell r="H497" t="str">
            <v>APROVADO</v>
          </cell>
        </row>
        <row r="498">
          <cell r="B498" t="str">
            <v>GISELE FRANCINI DEVETAK CASAROTTI</v>
          </cell>
          <cell r="E498" t="str">
            <v>APROVADO</v>
          </cell>
          <cell r="F498" t="str">
            <v>APROVADO</v>
          </cell>
          <cell r="G498" t="str">
            <v>APROVADO</v>
          </cell>
          <cell r="H498" t="str">
            <v>APROVADO</v>
          </cell>
        </row>
        <row r="499">
          <cell r="B499" t="str">
            <v>GISELE PONTAROLI RAYMUNDO</v>
          </cell>
          <cell r="E499" t="str">
            <v>APROVADO</v>
          </cell>
          <cell r="F499" t="str">
            <v>APROVADO</v>
          </cell>
          <cell r="G499" t="str">
            <v>APROVADO</v>
          </cell>
          <cell r="H499" t="str">
            <v>APROVADO</v>
          </cell>
        </row>
        <row r="500">
          <cell r="B500" t="str">
            <v>GISELE RICHTER MINHOTO</v>
          </cell>
          <cell r="E500" t="str">
            <v>APROVADO</v>
          </cell>
          <cell r="F500" t="str">
            <v>APROVADO</v>
          </cell>
          <cell r="G500" t="str">
            <v>APROVADO</v>
          </cell>
          <cell r="H500" t="str">
            <v>APROVADO</v>
          </cell>
        </row>
        <row r="501">
          <cell r="B501" t="str">
            <v>GISELE RIETOW BERTOTTI</v>
          </cell>
          <cell r="E501" t="str">
            <v>APROVADO</v>
          </cell>
          <cell r="F501" t="str">
            <v>APROVADO</v>
          </cell>
          <cell r="G501" t="str">
            <v>APROVADO</v>
          </cell>
          <cell r="H501" t="str">
            <v>APROVADO</v>
          </cell>
        </row>
        <row r="502">
          <cell r="B502" t="str">
            <v>GISELLE APARECIDA NOBRE COSTA</v>
          </cell>
          <cell r="E502" t="str">
            <v>APROVADO</v>
          </cell>
          <cell r="F502" t="str">
            <v>APROVADO</v>
          </cell>
          <cell r="G502" t="str">
            <v>APROVADO</v>
          </cell>
          <cell r="H502" t="str">
            <v>APROVADO</v>
          </cell>
        </row>
        <row r="503">
          <cell r="B503" t="str">
            <v>GISLAINE APARECIDA SUZUKI</v>
          </cell>
          <cell r="E503" t="str">
            <v>APROVADO</v>
          </cell>
          <cell r="F503" t="str">
            <v>APROVADO</v>
          </cell>
          <cell r="G503" t="str">
            <v>APROVADO</v>
          </cell>
          <cell r="H503" t="str">
            <v>APROVADO</v>
          </cell>
        </row>
        <row r="504">
          <cell r="B504" t="str">
            <v>GISLAYNE CARVALHO FRAGOSO</v>
          </cell>
          <cell r="E504" t="str">
            <v>APROVADO</v>
          </cell>
          <cell r="F504" t="str">
            <v>APROVADO</v>
          </cell>
          <cell r="G504" t="str">
            <v>APROVADO</v>
          </cell>
          <cell r="H504" t="str">
            <v>APROVADO</v>
          </cell>
        </row>
        <row r="505">
          <cell r="B505" t="str">
            <v>GIULIO DOMENICO BORDIN</v>
          </cell>
          <cell r="E505" t="str">
            <v>APROVADO</v>
          </cell>
          <cell r="F505" t="str">
            <v>APROVADO</v>
          </cell>
          <cell r="G505" t="str">
            <v>APROVADO</v>
          </cell>
          <cell r="H505" t="str">
            <v>APROVADO</v>
          </cell>
        </row>
        <row r="506">
          <cell r="B506" t="str">
            <v>GLAUCIA LUNKMOSS</v>
          </cell>
          <cell r="E506" t="str">
            <v>APROVADO</v>
          </cell>
          <cell r="F506" t="str">
            <v>APROVADO</v>
          </cell>
          <cell r="G506" t="str">
            <v>APROVADO</v>
          </cell>
          <cell r="H506" t="str">
            <v>APROVADO</v>
          </cell>
        </row>
        <row r="507">
          <cell r="B507" t="str">
            <v>GLAUCIO HENRIQUE MATSUSHITA MORO</v>
          </cell>
          <cell r="E507" t="str">
            <v>APROVADO</v>
          </cell>
          <cell r="F507" t="str">
            <v>APROVADO</v>
          </cell>
          <cell r="G507" t="str">
            <v>APROVADO</v>
          </cell>
          <cell r="H507" t="str">
            <v>APROVADO</v>
          </cell>
        </row>
        <row r="508">
          <cell r="B508" t="str">
            <v>GLAUCO VINICIUS DE FRANCA FURSTENBERGER</v>
          </cell>
          <cell r="E508" t="str">
            <v>APROVADO</v>
          </cell>
          <cell r="F508" t="str">
            <v>APROVADO</v>
          </cell>
          <cell r="G508" t="str">
            <v>APROVADO</v>
          </cell>
          <cell r="H508" t="str">
            <v>APROVADO</v>
          </cell>
        </row>
        <row r="509">
          <cell r="B509" t="str">
            <v>GRACIANA LUCIA GRESPAN VICTOR</v>
          </cell>
          <cell r="E509" t="str">
            <v>APROVADO</v>
          </cell>
          <cell r="F509" t="str">
            <v>APROVADO</v>
          </cell>
          <cell r="G509" t="str">
            <v>APROVADO</v>
          </cell>
          <cell r="H509" t="str">
            <v>APROVADO</v>
          </cell>
        </row>
        <row r="510">
          <cell r="B510" t="str">
            <v>GRACIELLY TERZIOTTI DE OLIVEIRA</v>
          </cell>
          <cell r="E510" t="str">
            <v>APROVADO</v>
          </cell>
          <cell r="F510" t="str">
            <v>APROVADO</v>
          </cell>
          <cell r="G510" t="str">
            <v>APROVADO</v>
          </cell>
          <cell r="H510" t="str">
            <v>APROVADO</v>
          </cell>
        </row>
        <row r="511">
          <cell r="B511" t="str">
            <v>GRACILIANO JOSE FRANCA</v>
          </cell>
          <cell r="E511" t="str">
            <v>APROVADO</v>
          </cell>
          <cell r="F511" t="str">
            <v>APROVADO</v>
          </cell>
          <cell r="G511" t="str">
            <v>APROVADO</v>
          </cell>
          <cell r="H511" t="str">
            <v>APROVADO</v>
          </cell>
        </row>
        <row r="512">
          <cell r="B512" t="str">
            <v>GRACINDA MARIA D ALMEIDA E OLIVEIRA</v>
          </cell>
          <cell r="E512" t="str">
            <v>APROVADO</v>
          </cell>
          <cell r="F512" t="str">
            <v>APROVADO</v>
          </cell>
          <cell r="G512" t="str">
            <v>APROVADO</v>
          </cell>
          <cell r="H512" t="str">
            <v>APROVADO</v>
          </cell>
        </row>
        <row r="513">
          <cell r="B513" t="str">
            <v>GRAZIELA SAPIENZA</v>
          </cell>
          <cell r="E513" t="str">
            <v>APROVADO</v>
          </cell>
          <cell r="F513" t="str">
            <v>APROVADO</v>
          </cell>
          <cell r="G513" t="str">
            <v>APROVADO</v>
          </cell>
          <cell r="H513" t="str">
            <v>APROVADO</v>
          </cell>
        </row>
        <row r="514">
          <cell r="B514" t="str">
            <v>GUILHERME BARRETO GAMEIRO SILVA</v>
          </cell>
          <cell r="E514" t="str">
            <v>APROVADO</v>
          </cell>
          <cell r="F514" t="str">
            <v>APROVADO</v>
          </cell>
          <cell r="G514" t="str">
            <v>APROVADO</v>
          </cell>
          <cell r="H514" t="str">
            <v>APROVADO</v>
          </cell>
        </row>
        <row r="515">
          <cell r="B515" t="str">
            <v>GUILHERME BITTENCOURT TEIXEIRA</v>
          </cell>
          <cell r="E515" t="str">
            <v>APROVADO</v>
          </cell>
          <cell r="F515" t="str">
            <v>APROVADO</v>
          </cell>
          <cell r="G515" t="str">
            <v>APROVADO</v>
          </cell>
          <cell r="H515" t="str">
            <v>APROVADO</v>
          </cell>
        </row>
        <row r="516">
          <cell r="B516" t="str">
            <v>GUILHERME BRITTES BENITEZ</v>
          </cell>
          <cell r="E516" t="str">
            <v>APROVADO</v>
          </cell>
          <cell r="F516" t="str">
            <v>APROVADO</v>
          </cell>
          <cell r="G516" t="str">
            <v>APROVADO</v>
          </cell>
          <cell r="H516" t="str">
            <v>APROVADO</v>
          </cell>
        </row>
        <row r="517">
          <cell r="B517" t="str">
            <v>GUILHERME FREIRE DE MELO BARROS</v>
          </cell>
          <cell r="E517" t="str">
            <v>APROVADO</v>
          </cell>
          <cell r="F517" t="str">
            <v>APROVADO</v>
          </cell>
          <cell r="G517" t="str">
            <v>APROVADO</v>
          </cell>
          <cell r="H517" t="str">
            <v>APROVADO</v>
          </cell>
        </row>
        <row r="518">
          <cell r="B518" t="str">
            <v>GUILHERME GUBERT MULLER</v>
          </cell>
          <cell r="E518" t="str">
            <v>APROVADO</v>
          </cell>
          <cell r="F518" t="str">
            <v>APROVADO</v>
          </cell>
          <cell r="G518" t="str">
            <v>APROVADO</v>
          </cell>
          <cell r="H518" t="str">
            <v>APROVADO</v>
          </cell>
        </row>
        <row r="519">
          <cell r="B519" t="str">
            <v>GUILHERME NUNES NOGUEIRA NETO</v>
          </cell>
          <cell r="E519" t="str">
            <v>APROVADO</v>
          </cell>
          <cell r="F519" t="str">
            <v>APROVADO</v>
          </cell>
          <cell r="G519" t="str">
            <v>APROVADO</v>
          </cell>
          <cell r="H519" t="str">
            <v>APROVADO</v>
          </cell>
        </row>
        <row r="520">
          <cell r="B520" t="str">
            <v>GUILHERME RODOLFO RITTEL</v>
          </cell>
          <cell r="E520" t="str">
            <v>APROVADO</v>
          </cell>
          <cell r="F520" t="str">
            <v>APROVADO</v>
          </cell>
          <cell r="G520" t="str">
            <v>APROVADO</v>
          </cell>
          <cell r="H520" t="str">
            <v>APROVADO</v>
          </cell>
        </row>
        <row r="521">
          <cell r="B521" t="str">
            <v>GUILHERME SIQUEIRA VIEIRA</v>
          </cell>
          <cell r="E521" t="str">
            <v>APROVADO</v>
          </cell>
          <cell r="F521" t="str">
            <v>APROVADO</v>
          </cell>
          <cell r="G521" t="str">
            <v>APROVADO</v>
          </cell>
          <cell r="H521" t="str">
            <v>APROVADO</v>
          </cell>
        </row>
        <row r="522">
          <cell r="B522" t="str">
            <v>GUSTAVO AUGUSTO LUZIA VIZZOTTO</v>
          </cell>
          <cell r="E522" t="str">
            <v>APROVADO</v>
          </cell>
          <cell r="F522" t="str">
            <v>APROVADO</v>
          </cell>
          <cell r="G522" t="str">
            <v>APROVADO</v>
          </cell>
          <cell r="H522" t="str">
            <v>APROVADO</v>
          </cell>
        </row>
        <row r="523">
          <cell r="B523" t="str">
            <v>GUSTAVO DAVID DOS SANTOS</v>
          </cell>
          <cell r="E523" t="str">
            <v>APROVADO</v>
          </cell>
          <cell r="F523" t="str">
            <v>APROVADO</v>
          </cell>
          <cell r="G523" t="str">
            <v>APROVADO</v>
          </cell>
          <cell r="H523" t="str">
            <v>APROVADO</v>
          </cell>
        </row>
        <row r="524">
          <cell r="B524" t="str">
            <v>GUSTAVO GAVAZZONI BLUME</v>
          </cell>
          <cell r="E524" t="str">
            <v>APROVADO</v>
          </cell>
          <cell r="F524" t="str">
            <v>APROVADO</v>
          </cell>
          <cell r="G524" t="str">
            <v>APROVADO</v>
          </cell>
          <cell r="H524" t="str">
            <v>APROVADO</v>
          </cell>
        </row>
        <row r="525">
          <cell r="B525" t="str">
            <v>GUSTAVO GRANDER</v>
          </cell>
          <cell r="E525" t="str">
            <v>APROVADO</v>
          </cell>
          <cell r="F525" t="str">
            <v>APROVADO</v>
          </cell>
          <cell r="G525" t="str">
            <v>APROVADO</v>
          </cell>
          <cell r="H525" t="str">
            <v>APROVADO</v>
          </cell>
        </row>
        <row r="526">
          <cell r="B526" t="str">
            <v>GUSTAVO LEITE FRANKLIN</v>
          </cell>
          <cell r="E526" t="str">
            <v>APROVADO</v>
          </cell>
          <cell r="F526" t="str">
            <v>APROVADO</v>
          </cell>
          <cell r="G526" t="str">
            <v>APROVADO</v>
          </cell>
          <cell r="H526" t="str">
            <v>APROVADO</v>
          </cell>
        </row>
        <row r="527">
          <cell r="B527" t="str">
            <v>GUSTAVO LENCI MARQUES</v>
          </cell>
          <cell r="E527" t="str">
            <v>APROVADO</v>
          </cell>
          <cell r="F527" t="str">
            <v>APROVADO</v>
          </cell>
          <cell r="G527" t="str">
            <v>APROVADO</v>
          </cell>
          <cell r="H527" t="str">
            <v>APROVADO</v>
          </cell>
        </row>
        <row r="528">
          <cell r="B528" t="str">
            <v>GUSTAVO LUIZ OLICHEVIS HALILA</v>
          </cell>
          <cell r="E528" t="str">
            <v>APROVADO</v>
          </cell>
          <cell r="F528" t="str">
            <v>APROVADO</v>
          </cell>
          <cell r="G528" t="str">
            <v>APROVADO</v>
          </cell>
          <cell r="H528" t="str">
            <v>APROVADO</v>
          </cell>
        </row>
        <row r="529">
          <cell r="B529" t="str">
            <v>GUSTAVO RAVAGLIO</v>
          </cell>
          <cell r="E529" t="str">
            <v>APROVADO</v>
          </cell>
          <cell r="F529" t="str">
            <v>APROVADO</v>
          </cell>
          <cell r="G529" t="str">
            <v>APROVADO</v>
          </cell>
          <cell r="H529" t="str">
            <v>APROVADO</v>
          </cell>
        </row>
        <row r="530">
          <cell r="B530" t="str">
            <v>GUSTAVO WANDRESEN</v>
          </cell>
          <cell r="E530" t="str">
            <v>APROVADO</v>
          </cell>
          <cell r="F530" t="str">
            <v>APROVADO</v>
          </cell>
          <cell r="G530" t="str">
            <v>APROVADO</v>
          </cell>
          <cell r="H530" t="str">
            <v>APROVADO</v>
          </cell>
        </row>
        <row r="531">
          <cell r="B531" t="str">
            <v>GUSTAVO YUHO ENDO</v>
          </cell>
          <cell r="E531" t="str">
            <v>APROVADO</v>
          </cell>
          <cell r="F531" t="str">
            <v>APROVADO</v>
          </cell>
          <cell r="G531" t="str">
            <v>APROVADO</v>
          </cell>
          <cell r="H531" t="str">
            <v>APROVADO</v>
          </cell>
        </row>
        <row r="532">
          <cell r="B532" t="str">
            <v>HALINA MACEDO LEAL</v>
          </cell>
          <cell r="E532" t="str">
            <v>APROVADO</v>
          </cell>
          <cell r="F532" t="str">
            <v>APROVADO</v>
          </cell>
          <cell r="G532" t="str">
            <v>APROVADO</v>
          </cell>
          <cell r="H532" t="str">
            <v>APROVADO</v>
          </cell>
        </row>
        <row r="533">
          <cell r="B533" t="str">
            <v>HAROLDO OSMAR DE PAULA JUNIOR</v>
          </cell>
          <cell r="E533" t="str">
            <v>APROVADO</v>
          </cell>
          <cell r="F533" t="str">
            <v>APROVADO</v>
          </cell>
          <cell r="G533" t="str">
            <v>APROVADO</v>
          </cell>
          <cell r="H533" t="str">
            <v>APROVADO</v>
          </cell>
        </row>
        <row r="534">
          <cell r="B534" t="str">
            <v>HARRY ALBERTO BOLLMANN</v>
          </cell>
          <cell r="E534" t="str">
            <v>APROVADO</v>
          </cell>
          <cell r="F534" t="str">
            <v>APROVADO</v>
          </cell>
          <cell r="G534" t="str">
            <v>APROVADO</v>
          </cell>
          <cell r="H534" t="str">
            <v>APROVADO</v>
          </cell>
        </row>
        <row r="535">
          <cell r="B535" t="str">
            <v>HELENA DE TOLEDO COELHO</v>
          </cell>
          <cell r="E535" t="str">
            <v>APROVADO</v>
          </cell>
          <cell r="F535" t="str">
            <v>APROVADO</v>
          </cell>
          <cell r="G535" t="str">
            <v>APROVADO</v>
          </cell>
          <cell r="H535" t="str">
            <v>APROVADO</v>
          </cell>
        </row>
        <row r="536">
          <cell r="B536" t="str">
            <v>HELINE SIVINI FERREIRA</v>
          </cell>
          <cell r="E536" t="str">
            <v>APROVADO</v>
          </cell>
          <cell r="F536" t="str">
            <v>APROVADO</v>
          </cell>
          <cell r="G536" t="str">
            <v>APROVADO</v>
          </cell>
          <cell r="H536" t="str">
            <v>APROVADO</v>
          </cell>
        </row>
        <row r="537">
          <cell r="B537" t="str">
            <v>HELIO EMMENDOERFER JUNIOR</v>
          </cell>
          <cell r="E537" t="str">
            <v>APROVADO</v>
          </cell>
          <cell r="F537" t="str">
            <v>APROVADO</v>
          </cell>
          <cell r="G537" t="str">
            <v>APROVADO</v>
          </cell>
          <cell r="H537" t="str">
            <v>APROVADO</v>
          </cell>
        </row>
        <row r="538">
          <cell r="B538" t="str">
            <v>HELIO JOSE BAMBERG</v>
          </cell>
          <cell r="E538" t="str">
            <v>APROVADO</v>
          </cell>
          <cell r="F538" t="str">
            <v>APROVADO</v>
          </cell>
          <cell r="G538" t="str">
            <v>APROVADO</v>
          </cell>
          <cell r="H538" t="str">
            <v>APROVADO</v>
          </cell>
        </row>
        <row r="539">
          <cell r="B539" t="str">
            <v>HELISON BERTOLI ALVES DIAS</v>
          </cell>
          <cell r="E539" t="str">
            <v>APROVADO</v>
          </cell>
          <cell r="F539" t="str">
            <v>APROVADO</v>
          </cell>
          <cell r="G539" t="str">
            <v>APROVADO</v>
          </cell>
          <cell r="H539" t="str">
            <v>APROVADO</v>
          </cell>
        </row>
        <row r="540">
          <cell r="B540" t="str">
            <v>HELON VICENTE HULTMANN AYALA</v>
          </cell>
          <cell r="E540" t="str">
            <v>APROVADO</v>
          </cell>
          <cell r="F540" t="str">
            <v>APROVADO</v>
          </cell>
          <cell r="G540" t="str">
            <v>APROVADO</v>
          </cell>
          <cell r="H540" t="str">
            <v>APROVADO</v>
          </cell>
        </row>
        <row r="541">
          <cell r="B541" t="str">
            <v>HENRI FREDERICO EBERSPACHER</v>
          </cell>
          <cell r="E541" t="str">
            <v>APROVADO</v>
          </cell>
          <cell r="F541" t="str">
            <v>APROVADO</v>
          </cell>
          <cell r="G541" t="str">
            <v>APROVADO</v>
          </cell>
          <cell r="H541" t="str">
            <v>APROVADO</v>
          </cell>
        </row>
        <row r="542">
          <cell r="B542" t="str">
            <v>HENRIQUE CECILIATO DE CARVALHO</v>
          </cell>
          <cell r="E542" t="str">
            <v>APROVADO</v>
          </cell>
          <cell r="F542" t="str">
            <v>APROVADO</v>
          </cell>
          <cell r="G542" t="str">
            <v>APROVADO</v>
          </cell>
          <cell r="H542" t="str">
            <v>APROVADO</v>
          </cell>
        </row>
        <row r="543">
          <cell r="B543" t="str">
            <v>HENRIQUE DEMENECK</v>
          </cell>
          <cell r="E543" t="str">
            <v>APROVADO</v>
          </cell>
          <cell r="F543" t="str">
            <v>APROVADO</v>
          </cell>
          <cell r="G543" t="str">
            <v>APROVADO</v>
          </cell>
          <cell r="H543" t="str">
            <v>APROVADO</v>
          </cell>
        </row>
        <row r="544">
          <cell r="B544" t="str">
            <v>HENRIQUE FURLAN PAUNA</v>
          </cell>
          <cell r="E544" t="str">
            <v>APROVADO</v>
          </cell>
          <cell r="F544" t="str">
            <v>APROVADO</v>
          </cell>
          <cell r="G544" t="str">
            <v>APROVADO</v>
          </cell>
          <cell r="H544" t="str">
            <v>APROVADO</v>
          </cell>
        </row>
        <row r="545">
          <cell r="B545" t="str">
            <v>HENRIQUE JOSE POLATO GOMES</v>
          </cell>
          <cell r="E545" t="str">
            <v>APROVADO</v>
          </cell>
          <cell r="F545" t="str">
            <v>APROVADO</v>
          </cell>
          <cell r="G545" t="str">
            <v>APROVADO</v>
          </cell>
          <cell r="H545" t="str">
            <v>APROVADO</v>
          </cell>
        </row>
        <row r="546">
          <cell r="B546" t="str">
            <v>HENRIQUE RAVANHOL FRIGERI</v>
          </cell>
          <cell r="E546" t="str">
            <v>APROVADO</v>
          </cell>
          <cell r="F546" t="str">
            <v>APROVADO</v>
          </cell>
          <cell r="G546" t="str">
            <v>APROVADO</v>
          </cell>
          <cell r="H546" t="str">
            <v>APROVADO</v>
          </cell>
        </row>
        <row r="547">
          <cell r="B547" t="str">
            <v>HENRY BELCHIOR DA CUNHA</v>
          </cell>
          <cell r="E547" t="str">
            <v>APROVADO</v>
          </cell>
          <cell r="F547" t="str">
            <v>APROVADO</v>
          </cell>
          <cell r="G547" t="str">
            <v>APROVADO</v>
          </cell>
          <cell r="H547" t="str">
            <v>APROVADO</v>
          </cell>
        </row>
        <row r="548">
          <cell r="B548" t="str">
            <v>HERBERT DE PROENCA LOPES</v>
          </cell>
          <cell r="E548" t="str">
            <v>APROVADO</v>
          </cell>
          <cell r="F548" t="str">
            <v>APROVADO</v>
          </cell>
          <cell r="G548" t="str">
            <v>APROVADO</v>
          </cell>
          <cell r="H548" t="str">
            <v>APROVADO</v>
          </cell>
        </row>
        <row r="549">
          <cell r="B549" t="str">
            <v>HEWERTON FERNANDES DA SILVA</v>
          </cell>
          <cell r="E549" t="str">
            <v>APROVADO</v>
          </cell>
          <cell r="F549" t="str">
            <v>APROVADO</v>
          </cell>
          <cell r="G549" t="str">
            <v>APROVADO</v>
          </cell>
          <cell r="H549" t="str">
            <v>APROVADO</v>
          </cell>
        </row>
        <row r="550">
          <cell r="B550" t="str">
            <v>HOLISSES BELLON</v>
          </cell>
          <cell r="E550" t="str">
            <v>RASCUNHO</v>
          </cell>
          <cell r="F550" t="str">
            <v>APROVADO</v>
          </cell>
          <cell r="G550" t="str">
            <v>APROVADO</v>
          </cell>
          <cell r="H550" t="str">
            <v>APROVADO</v>
          </cell>
        </row>
        <row r="551">
          <cell r="B551" t="str">
            <v>HOMERO LUIS DE AQUINO PALMA</v>
          </cell>
          <cell r="E551" t="str">
            <v>APROVADO</v>
          </cell>
          <cell r="F551" t="str">
            <v>APROVADO</v>
          </cell>
          <cell r="G551" t="str">
            <v>APROVADO</v>
          </cell>
          <cell r="H551" t="str">
            <v>APROVADO</v>
          </cell>
        </row>
        <row r="552">
          <cell r="B552" t="str">
            <v>HSU YANG SHANG</v>
          </cell>
          <cell r="E552" t="str">
            <v>APROVADO</v>
          </cell>
          <cell r="F552" t="str">
            <v>APROVADO</v>
          </cell>
          <cell r="G552" t="str">
            <v>APROVADO</v>
          </cell>
          <cell r="H552" t="str">
            <v>APROVADO</v>
          </cell>
        </row>
        <row r="553">
          <cell r="B553" t="str">
            <v>HUDSON PRESTES DOS SANTOS</v>
          </cell>
          <cell r="E553" t="str">
            <v>APROVADO</v>
          </cell>
          <cell r="F553" t="str">
            <v>APROVADO</v>
          </cell>
          <cell r="G553" t="str">
            <v>APROVADO</v>
          </cell>
          <cell r="H553" t="str">
            <v>APROVADO</v>
          </cell>
        </row>
        <row r="554">
          <cell r="B554" t="str">
            <v>HUGO DIAS AMARO</v>
          </cell>
          <cell r="E554" t="str">
            <v>APROVADO</v>
          </cell>
          <cell r="F554" t="str">
            <v>APROVADO</v>
          </cell>
          <cell r="G554" t="str">
            <v>APROVADO</v>
          </cell>
          <cell r="H554" t="str">
            <v>APROVADO</v>
          </cell>
        </row>
        <row r="555">
          <cell r="B555" t="str">
            <v>HUGO LEONARDO MARTINS CORREA</v>
          </cell>
          <cell r="E555" t="str">
            <v>APROVADO</v>
          </cell>
          <cell r="F555" t="str">
            <v>APROVADO</v>
          </cell>
          <cell r="G555" t="str">
            <v>APROVADO</v>
          </cell>
          <cell r="H555" t="str">
            <v>APROVADO</v>
          </cell>
        </row>
        <row r="556">
          <cell r="B556" t="str">
            <v>HUMBERTO LUIZ FOGACA DE MEDEIROS</v>
          </cell>
          <cell r="E556" t="str">
            <v>APROVADO</v>
          </cell>
          <cell r="F556" t="str">
            <v>APROVADO</v>
          </cell>
          <cell r="G556" t="str">
            <v>APROVADO</v>
          </cell>
          <cell r="H556" t="str">
            <v>APROVADO</v>
          </cell>
        </row>
        <row r="557">
          <cell r="B557" t="str">
            <v>HUMBERTO MACIEL FRANCA MADEIRA</v>
          </cell>
          <cell r="E557" t="str">
            <v>FINALIZADO</v>
          </cell>
          <cell r="F557" t="str">
            <v>APROVADO</v>
          </cell>
          <cell r="G557" t="str">
            <v>APROVADO</v>
          </cell>
          <cell r="H557" t="str">
            <v>APROVADO</v>
          </cell>
        </row>
        <row r="558">
          <cell r="B558" t="str">
            <v>IAN LUNA PARENTE BRASILEIRO</v>
          </cell>
          <cell r="E558" t="str">
            <v>APROVADO</v>
          </cell>
          <cell r="F558" t="str">
            <v>APROVADO</v>
          </cell>
          <cell r="G558" t="str">
            <v>APROVADO</v>
          </cell>
          <cell r="H558" t="str">
            <v>APROVADO</v>
          </cell>
        </row>
        <row r="559">
          <cell r="B559" t="str">
            <v>IARA LANG MARTINS</v>
          </cell>
          <cell r="E559" t="str">
            <v>APROVADO</v>
          </cell>
          <cell r="F559" t="str">
            <v>APROVADO</v>
          </cell>
          <cell r="G559" t="str">
            <v>APROVADO</v>
          </cell>
          <cell r="H559" t="str">
            <v>APROVADO</v>
          </cell>
        </row>
        <row r="560">
          <cell r="B560" t="str">
            <v>IDIANA MARINA DALASTRA</v>
          </cell>
          <cell r="E560" t="str">
            <v>APROVADO</v>
          </cell>
          <cell r="F560" t="str">
            <v>APROVADO</v>
          </cell>
          <cell r="G560" t="str">
            <v>APROVADO</v>
          </cell>
          <cell r="H560" t="str">
            <v>APROVADO</v>
          </cell>
        </row>
        <row r="561">
          <cell r="B561" t="str">
            <v>IGOR BARCELLOS</v>
          </cell>
          <cell r="E561" t="str">
            <v>APROVADO</v>
          </cell>
          <cell r="F561" t="str">
            <v>APROVADO</v>
          </cell>
          <cell r="G561" t="str">
            <v>APROVADO</v>
          </cell>
          <cell r="H561" t="str">
            <v>APROVADO</v>
          </cell>
        </row>
        <row r="562">
          <cell r="B562" t="str">
            <v>ILTON SANTOS DA SILVA</v>
          </cell>
          <cell r="E562" t="str">
            <v>APROVADO</v>
          </cell>
          <cell r="F562" t="str">
            <v>APROVADO</v>
          </cell>
          <cell r="G562" t="str">
            <v>APROVADO</v>
          </cell>
          <cell r="H562" t="str">
            <v>APROVADO</v>
          </cell>
        </row>
        <row r="563">
          <cell r="B563" t="str">
            <v>INARA STAUB PROCHNAU</v>
          </cell>
          <cell r="E563" t="str">
            <v>APROVADO</v>
          </cell>
          <cell r="F563" t="str">
            <v>APROVADO</v>
          </cell>
          <cell r="G563" t="str">
            <v>APROVADO</v>
          </cell>
          <cell r="H563" t="str">
            <v>APROVADO</v>
          </cell>
        </row>
        <row r="564">
          <cell r="B564" t="str">
            <v>INEZ GAIAS</v>
          </cell>
          <cell r="E564" t="str">
            <v>APROVADO</v>
          </cell>
          <cell r="F564" t="str">
            <v>APROVADO</v>
          </cell>
          <cell r="G564" t="str">
            <v>APROVADO</v>
          </cell>
          <cell r="H564" t="str">
            <v>APROVADO</v>
          </cell>
        </row>
        <row r="565">
          <cell r="B565" t="str">
            <v>INGRID FATIMA ZATTONI CANTOS LOPES</v>
          </cell>
          <cell r="E565" t="str">
            <v>APROVADO</v>
          </cell>
          <cell r="F565" t="str">
            <v>APROVADO</v>
          </cell>
          <cell r="G565" t="str">
            <v>APROVADO</v>
          </cell>
          <cell r="H565" t="str">
            <v>APROVADO</v>
          </cell>
        </row>
        <row r="566">
          <cell r="B566" t="str">
            <v>INGRIDHE DE MORAIS MAGALHAES</v>
          </cell>
          <cell r="E566" t="str">
            <v>APROVADO</v>
          </cell>
          <cell r="F566" t="str">
            <v>APROVADO</v>
          </cell>
          <cell r="G566" t="str">
            <v>APROVADO</v>
          </cell>
          <cell r="H566" t="str">
            <v>APROVADO</v>
          </cell>
        </row>
        <row r="567">
          <cell r="B567" t="str">
            <v>ISABELA MAYUMI NAKANISHI TAKAKI</v>
          </cell>
          <cell r="E567" t="str">
            <v>APROVADO</v>
          </cell>
          <cell r="F567" t="str">
            <v>APROVADO</v>
          </cell>
          <cell r="G567" t="str">
            <v>APROVADO</v>
          </cell>
          <cell r="H567" t="str">
            <v>APROVADO</v>
          </cell>
        </row>
        <row r="568">
          <cell r="B568" t="str">
            <v>ITIBERE PIAIA BERNARDI</v>
          </cell>
          <cell r="E568" t="str">
            <v>APROVADO</v>
          </cell>
          <cell r="F568" t="str">
            <v>APROVADO</v>
          </cell>
          <cell r="G568" t="str">
            <v>APROVADO</v>
          </cell>
          <cell r="H568" t="str">
            <v>APROVADO</v>
          </cell>
        </row>
        <row r="569">
          <cell r="B569" t="str">
            <v>IVAN JORGE CHUEIRI</v>
          </cell>
          <cell r="E569" t="str">
            <v>APROVADO</v>
          </cell>
          <cell r="F569" t="str">
            <v>APROVADO</v>
          </cell>
          <cell r="G569" t="str">
            <v>APROVADO</v>
          </cell>
          <cell r="H569" t="str">
            <v>APROVADO</v>
          </cell>
        </row>
        <row r="570">
          <cell r="B570" t="str">
            <v>IVANA SHIZUE IMAYUKI DUARTE MECHAILECH</v>
          </cell>
          <cell r="E570" t="str">
            <v>APROVADO</v>
          </cell>
          <cell r="F570" t="str">
            <v>APROVADO</v>
          </cell>
          <cell r="G570" t="str">
            <v>APROVADO</v>
          </cell>
          <cell r="H570" t="str">
            <v>APROVADO</v>
          </cell>
        </row>
        <row r="571">
          <cell r="B571" t="str">
            <v>IVETE MOROSOV</v>
          </cell>
          <cell r="E571" t="str">
            <v>APROVADO</v>
          </cell>
          <cell r="F571" t="str">
            <v>APROVADO</v>
          </cell>
          <cell r="G571" t="str">
            <v>APROVADO</v>
          </cell>
          <cell r="H571" t="str">
            <v>APROVADO</v>
          </cell>
        </row>
        <row r="572">
          <cell r="B572" t="str">
            <v>IVONE MAYUMI IKEDA MORIMOTO</v>
          </cell>
          <cell r="E572" t="str">
            <v>APROVADO</v>
          </cell>
          <cell r="F572" t="str">
            <v>APROVADO</v>
          </cell>
          <cell r="G572" t="str">
            <v>APROVADO</v>
          </cell>
          <cell r="H572" t="str">
            <v>APROVADO</v>
          </cell>
        </row>
        <row r="573">
          <cell r="B573" t="str">
            <v>IZABELA PATRICIO BASTOS</v>
          </cell>
          <cell r="E573" t="str">
            <v>APROVADO</v>
          </cell>
          <cell r="F573" t="str">
            <v>APROVADO</v>
          </cell>
          <cell r="G573" t="str">
            <v>APROVADO</v>
          </cell>
          <cell r="H573" t="str">
            <v>APROVADO</v>
          </cell>
        </row>
        <row r="574">
          <cell r="B574" t="str">
            <v>IZIQUEL ANTONIO RADVANSKEI</v>
          </cell>
          <cell r="E574" t="str">
            <v>APROVADO</v>
          </cell>
          <cell r="F574" t="str">
            <v>APROVADO</v>
          </cell>
          <cell r="G574" t="str">
            <v>APROVADO</v>
          </cell>
          <cell r="H574" t="str">
            <v>APROVADO</v>
          </cell>
        </row>
        <row r="575">
          <cell r="B575" t="str">
            <v>JACI DE FATIMA SOUZA CANDIOTTO</v>
          </cell>
          <cell r="E575" t="str">
            <v>APROVADO</v>
          </cell>
          <cell r="F575" t="str">
            <v>APROVADO</v>
          </cell>
          <cell r="G575" t="str">
            <v>APROVADO</v>
          </cell>
          <cell r="H575" t="str">
            <v>APROVADO</v>
          </cell>
        </row>
        <row r="576">
          <cell r="B576" t="str">
            <v>JACIR DAGA</v>
          </cell>
          <cell r="E576" t="str">
            <v>APROVADO</v>
          </cell>
          <cell r="F576" t="str">
            <v>APROVADO</v>
          </cell>
          <cell r="G576" t="str">
            <v>APROVADO</v>
          </cell>
          <cell r="H576" t="str">
            <v>APROVADO</v>
          </cell>
        </row>
        <row r="577">
          <cell r="B577" t="str">
            <v>JACKSON TEIXEIRA BITTENCOURT</v>
          </cell>
          <cell r="E577" t="str">
            <v>FINALIZADO</v>
          </cell>
          <cell r="F577" t="str">
            <v>AGUARDANDO APROVAÇÃO</v>
          </cell>
          <cell r="G577" t="str">
            <v>AGUARDANDO APROVAÇÃO</v>
          </cell>
          <cell r="H577" t="str">
            <v>AGUARDANDO APROVAÇÃO</v>
          </cell>
        </row>
        <row r="578">
          <cell r="B578" t="str">
            <v>JAIME JOSE RAUBER</v>
          </cell>
          <cell r="E578" t="str">
            <v>APROVADO</v>
          </cell>
          <cell r="F578" t="str">
            <v>APROVADO</v>
          </cell>
          <cell r="G578" t="str">
            <v>APROVADO</v>
          </cell>
          <cell r="H578" t="str">
            <v>APROVADO</v>
          </cell>
        </row>
        <row r="579">
          <cell r="B579" t="str">
            <v>JAIME LUIS LOPES ROCHA</v>
          </cell>
          <cell r="E579" t="str">
            <v>APROVADO</v>
          </cell>
          <cell r="F579" t="str">
            <v>APROVADO</v>
          </cell>
          <cell r="G579" t="str">
            <v>APROVADO</v>
          </cell>
          <cell r="H579" t="str">
            <v>APROVADO</v>
          </cell>
        </row>
        <row r="580">
          <cell r="B580" t="str">
            <v>JAIR HENRIQUE JUNIOR</v>
          </cell>
          <cell r="E580" t="str">
            <v>APROVADO</v>
          </cell>
          <cell r="F580" t="str">
            <v>APROVADO</v>
          </cell>
          <cell r="G580" t="str">
            <v>APROVADO</v>
          </cell>
          <cell r="H580" t="str">
            <v>APROVADO</v>
          </cell>
        </row>
        <row r="581">
          <cell r="B581" t="str">
            <v>JAIR RODINI ENGRACIA FILHO</v>
          </cell>
          <cell r="E581" t="str">
            <v>APROVADO</v>
          </cell>
          <cell r="F581" t="str">
            <v>APROVADO</v>
          </cell>
          <cell r="G581" t="str">
            <v>APROVADO</v>
          </cell>
          <cell r="H581" t="str">
            <v>APROVADO</v>
          </cell>
        </row>
        <row r="582">
          <cell r="B582" t="str">
            <v>JAMESON BORGES DA SILVA</v>
          </cell>
          <cell r="E582" t="str">
            <v>APROVADO</v>
          </cell>
          <cell r="F582" t="str">
            <v>APROVADO</v>
          </cell>
          <cell r="G582" t="str">
            <v>APROVADO</v>
          </cell>
          <cell r="H582" t="str">
            <v>APROVADO</v>
          </cell>
        </row>
        <row r="583">
          <cell r="B583" t="str">
            <v>JAMIL FAISSAL SONI</v>
          </cell>
          <cell r="E583" t="str">
            <v>APROVADO</v>
          </cell>
          <cell r="F583" t="str">
            <v>APROVADO</v>
          </cell>
          <cell r="G583" t="str">
            <v>APROVADO</v>
          </cell>
          <cell r="H583" t="str">
            <v>APROVADO</v>
          </cell>
        </row>
        <row r="584">
          <cell r="B584" t="str">
            <v>JAMILE DA COSTA RIECHI</v>
          </cell>
          <cell r="E584" t="str">
            <v>APROVADO</v>
          </cell>
          <cell r="F584" t="str">
            <v>APROVADO</v>
          </cell>
          <cell r="G584" t="str">
            <v>APROVADO</v>
          </cell>
          <cell r="H584" t="str">
            <v>APROVADO</v>
          </cell>
        </row>
        <row r="585">
          <cell r="B585" t="str">
            <v>JAN PAWEL ANDRADE PACHNICKI</v>
          </cell>
          <cell r="E585" t="str">
            <v>APROVADO</v>
          </cell>
          <cell r="F585" t="str">
            <v>APROVADO</v>
          </cell>
          <cell r="G585" t="str">
            <v>APROVADO</v>
          </cell>
          <cell r="H585" t="str">
            <v>APROVADO</v>
          </cell>
        </row>
        <row r="586">
          <cell r="B586" t="str">
            <v>JANAINA BRAGA NORTE</v>
          </cell>
          <cell r="E586" t="str">
            <v>APROVADO</v>
          </cell>
          <cell r="F586" t="str">
            <v>APROVADO</v>
          </cell>
          <cell r="G586" t="str">
            <v>APROVADO</v>
          </cell>
          <cell r="H586" t="str">
            <v>APROVADO</v>
          </cell>
        </row>
        <row r="587">
          <cell r="B587" t="str">
            <v>JANIO DENIS GABRIEL</v>
          </cell>
          <cell r="E587" t="str">
            <v>APROVADO</v>
          </cell>
          <cell r="F587" t="str">
            <v>APROVADO</v>
          </cell>
          <cell r="G587" t="str">
            <v>APROVADO</v>
          </cell>
          <cell r="H587" t="str">
            <v>APROVADO</v>
          </cell>
        </row>
        <row r="588">
          <cell r="B588" t="str">
            <v>JAQUELINE COELHO VISENTIN</v>
          </cell>
          <cell r="E588" t="str">
            <v>APROVADO</v>
          </cell>
          <cell r="F588" t="str">
            <v>APROVADO</v>
          </cell>
          <cell r="G588" t="str">
            <v>APROVADO</v>
          </cell>
          <cell r="H588" t="str">
            <v>APROVADO</v>
          </cell>
        </row>
        <row r="589">
          <cell r="B589" t="str">
            <v>JAQUELINE COSTA CASTARDO DE PAULA</v>
          </cell>
          <cell r="E589" t="str">
            <v>APROVADO</v>
          </cell>
          <cell r="F589" t="str">
            <v>APROVADO</v>
          </cell>
          <cell r="G589" t="str">
            <v>APROVADO</v>
          </cell>
          <cell r="H589" t="str">
            <v>APROVADO</v>
          </cell>
        </row>
        <row r="590">
          <cell r="B590" t="str">
            <v>JAQUELINE DE JESUS ASCHENBRENNER</v>
          </cell>
          <cell r="E590" t="str">
            <v>APROVADO</v>
          </cell>
          <cell r="F590" t="str">
            <v>APROVADO</v>
          </cell>
          <cell r="G590" t="str">
            <v>APROVADO</v>
          </cell>
          <cell r="H590" t="str">
            <v>APROVADO</v>
          </cell>
        </row>
        <row r="591">
          <cell r="B591" t="str">
            <v>JAVAN ATAIDE DE OLIVEIRA JUNIOR</v>
          </cell>
          <cell r="E591" t="str">
            <v>APROVADO</v>
          </cell>
          <cell r="F591" t="str">
            <v>APROVADO</v>
          </cell>
          <cell r="G591" t="str">
            <v>APROVADO</v>
          </cell>
          <cell r="H591" t="str">
            <v>APROVADO</v>
          </cell>
        </row>
        <row r="592">
          <cell r="B592" t="str">
            <v>JEAN GABRIEL VIEIRA COUTINHO</v>
          </cell>
          <cell r="E592" t="str">
            <v>APROVADO</v>
          </cell>
          <cell r="F592" t="str">
            <v>APROVADO</v>
          </cell>
          <cell r="G592" t="str">
            <v>APROVADO</v>
          </cell>
          <cell r="H592" t="str">
            <v>APROVADO</v>
          </cell>
        </row>
        <row r="593">
          <cell r="B593" t="str">
            <v>JEAN PAUL BARDDAL</v>
          </cell>
          <cell r="E593" t="str">
            <v>APROVADO</v>
          </cell>
          <cell r="F593" t="str">
            <v>APROVADO</v>
          </cell>
          <cell r="G593" t="str">
            <v>APROVADO</v>
          </cell>
          <cell r="H593" t="str">
            <v>APROVADO</v>
          </cell>
        </row>
        <row r="594">
          <cell r="B594" t="str">
            <v>JEAN RODRIGO TAFAREL</v>
          </cell>
          <cell r="E594" t="str">
            <v>APROVADO</v>
          </cell>
          <cell r="F594" t="str">
            <v>APROVADO</v>
          </cell>
          <cell r="G594" t="str">
            <v>APROVADO</v>
          </cell>
          <cell r="H594" t="str">
            <v>APROVADO</v>
          </cell>
        </row>
        <row r="595">
          <cell r="B595" t="str">
            <v>JEANCARLO RIBAS</v>
          </cell>
          <cell r="E595" t="str">
            <v>APROVADO</v>
          </cell>
          <cell r="F595" t="str">
            <v>APROVADO</v>
          </cell>
          <cell r="G595" t="str">
            <v>APROVADO</v>
          </cell>
          <cell r="H595" t="str">
            <v>APROVADO</v>
          </cell>
        </row>
        <row r="596">
          <cell r="B596" t="str">
            <v>JEANINE MARIE NARDIN</v>
          </cell>
          <cell r="E596" t="str">
            <v>APROVADO</v>
          </cell>
          <cell r="F596" t="str">
            <v>APROVADO</v>
          </cell>
          <cell r="G596" t="str">
            <v>APROVADO</v>
          </cell>
          <cell r="H596" t="str">
            <v>APROVADO</v>
          </cell>
        </row>
        <row r="597">
          <cell r="B597" t="str">
            <v>JEFERSON DEMETERCO</v>
          </cell>
          <cell r="E597" t="str">
            <v>APROVADO</v>
          </cell>
          <cell r="F597" t="str">
            <v>APROVADO</v>
          </cell>
          <cell r="G597" t="str">
            <v>APROVADO</v>
          </cell>
          <cell r="H597" t="str">
            <v>APROVADO</v>
          </cell>
        </row>
        <row r="598">
          <cell r="B598" t="str">
            <v>JEFERSON JOSE THAUNY</v>
          </cell>
          <cell r="E598" t="str">
            <v>APROVADO</v>
          </cell>
          <cell r="F598" t="str">
            <v>APROVADO</v>
          </cell>
          <cell r="G598" t="str">
            <v>APROVADO</v>
          </cell>
          <cell r="H598" t="str">
            <v>APROVADO</v>
          </cell>
        </row>
        <row r="599">
          <cell r="B599" t="str">
            <v>JEFFERSON JOVELINO AMARAL DOS SANTOS</v>
          </cell>
          <cell r="E599" t="str">
            <v>APROVADO</v>
          </cell>
          <cell r="F599" t="str">
            <v>APROVADO</v>
          </cell>
          <cell r="G599" t="str">
            <v>APROVADO</v>
          </cell>
          <cell r="H599" t="str">
            <v>APROVADO</v>
          </cell>
        </row>
        <row r="600">
          <cell r="B600" t="str">
            <v>JEFFERSON PEDRO CUNHA</v>
          </cell>
          <cell r="E600" t="str">
            <v>APROVADO</v>
          </cell>
          <cell r="F600" t="str">
            <v>APROVADO</v>
          </cell>
          <cell r="G600" t="str">
            <v>APROVADO</v>
          </cell>
          <cell r="H600" t="str">
            <v>APROVADO</v>
          </cell>
        </row>
        <row r="601">
          <cell r="B601" t="str">
            <v>JELSON ROBERTO DE OLIVEIRA</v>
          </cell>
          <cell r="E601" t="str">
            <v>APROVADO</v>
          </cell>
          <cell r="F601" t="str">
            <v>APROVADO</v>
          </cell>
          <cell r="G601" t="str">
            <v>APROVADO</v>
          </cell>
          <cell r="H601" t="str">
            <v>APROVADO</v>
          </cell>
        </row>
        <row r="602">
          <cell r="B602" t="str">
            <v>JENIFER PAVAN DE PAULA</v>
          </cell>
          <cell r="E602" t="str">
            <v>APROVADO</v>
          </cell>
          <cell r="F602" t="str">
            <v>APROVADO</v>
          </cell>
          <cell r="G602" t="str">
            <v>APROVADO</v>
          </cell>
          <cell r="H602" t="str">
            <v>APROVADO</v>
          </cell>
        </row>
        <row r="603">
          <cell r="B603" t="str">
            <v>JESSICA CAROLINE DOS SANTOS</v>
          </cell>
          <cell r="E603" t="str">
            <v>APROVADO</v>
          </cell>
          <cell r="F603" t="str">
            <v>APROVADO</v>
          </cell>
          <cell r="G603" t="str">
            <v>APROVADO</v>
          </cell>
          <cell r="H603" t="str">
            <v>APROVADO</v>
          </cell>
        </row>
        <row r="604">
          <cell r="B604" t="str">
            <v>JESSICA DE GANG</v>
          </cell>
          <cell r="E604" t="str">
            <v>FINALIZADO</v>
          </cell>
          <cell r="F604" t="str">
            <v>APROVADO</v>
          </cell>
          <cell r="G604" t="str">
            <v>APROVADO</v>
          </cell>
          <cell r="H604" t="str">
            <v>APROVADO</v>
          </cell>
        </row>
        <row r="605">
          <cell r="B605" t="str">
            <v>JESSICA NAIHARA NUNES BUENO</v>
          </cell>
          <cell r="E605" t="str">
            <v>APROVADO</v>
          </cell>
          <cell r="F605" t="str">
            <v>APROVADO</v>
          </cell>
          <cell r="G605" t="str">
            <v>APROVADO</v>
          </cell>
          <cell r="H605" t="str">
            <v>APROVADO</v>
          </cell>
        </row>
        <row r="606">
          <cell r="B606" t="str">
            <v>JESSICA PEDROSA MANDELLI</v>
          </cell>
          <cell r="E606" t="str">
            <v>APROVADO</v>
          </cell>
          <cell r="F606" t="str">
            <v>APROVADO</v>
          </cell>
          <cell r="G606" t="str">
            <v>APROVADO</v>
          </cell>
          <cell r="H606" t="str">
            <v>APROVADO</v>
          </cell>
        </row>
        <row r="607">
          <cell r="B607" t="str">
            <v>JESSICA TOMIMITSU RODRIGUES</v>
          </cell>
          <cell r="E607" t="str">
            <v>APROVADO</v>
          </cell>
          <cell r="F607" t="str">
            <v>APROVADO</v>
          </cell>
          <cell r="G607" t="str">
            <v>APROVADO</v>
          </cell>
          <cell r="H607" t="str">
            <v>APROVADO</v>
          </cell>
        </row>
        <row r="608">
          <cell r="B608" t="str">
            <v>JHONATAN GEREMIAS</v>
          </cell>
          <cell r="E608" t="str">
            <v>APROVADO</v>
          </cell>
          <cell r="F608" t="str">
            <v>APROVADO</v>
          </cell>
          <cell r="G608" t="str">
            <v>APROVADO</v>
          </cell>
          <cell r="H608" t="str">
            <v>APROVADO</v>
          </cell>
        </row>
        <row r="609">
          <cell r="B609" t="str">
            <v>JOACHIM ANDRADE</v>
          </cell>
          <cell r="E609" t="str">
            <v>APROVADO</v>
          </cell>
          <cell r="F609" t="str">
            <v>APROVADO</v>
          </cell>
          <cell r="G609" t="str">
            <v>APROVADO</v>
          </cell>
          <cell r="H609" t="str">
            <v>APROVADO</v>
          </cell>
        </row>
        <row r="610">
          <cell r="B610" t="str">
            <v>JOAO ALFREDO LOPES NYEGRAY</v>
          </cell>
          <cell r="E610" t="str">
            <v>APROVADO</v>
          </cell>
          <cell r="F610" t="str">
            <v>APROVADO</v>
          </cell>
          <cell r="G610" t="str">
            <v>APROVADO</v>
          </cell>
          <cell r="H610" t="str">
            <v>APROVADO</v>
          </cell>
        </row>
        <row r="611">
          <cell r="B611" t="str">
            <v>JOAO ANTONIO DE FREITAS COELHO</v>
          </cell>
          <cell r="E611" t="str">
            <v>APROVADO</v>
          </cell>
          <cell r="F611" t="str">
            <v>APROVADO</v>
          </cell>
          <cell r="G611" t="str">
            <v>APROVADO</v>
          </cell>
          <cell r="H611" t="str">
            <v>APROVADO</v>
          </cell>
        </row>
        <row r="612">
          <cell r="B612" t="str">
            <v>JOAO ARMANDO BRANCHER</v>
          </cell>
          <cell r="E612" t="str">
            <v>APROVADO</v>
          </cell>
          <cell r="F612" t="str">
            <v>APROVADO</v>
          </cell>
          <cell r="G612" t="str">
            <v>APROVADO</v>
          </cell>
          <cell r="H612" t="str">
            <v>APROVADO</v>
          </cell>
        </row>
        <row r="613">
          <cell r="B613" t="str">
            <v>JOAO CARLOS MINOZZO</v>
          </cell>
          <cell r="E613" t="str">
            <v>APROVADO</v>
          </cell>
          <cell r="F613" t="str">
            <v>APROVADO</v>
          </cell>
          <cell r="G613" t="str">
            <v>APROVADO</v>
          </cell>
          <cell r="H613" t="str">
            <v>APROVADO</v>
          </cell>
        </row>
        <row r="614">
          <cell r="B614" t="str">
            <v>JOAO EDSON KAEFER</v>
          </cell>
          <cell r="E614" t="str">
            <v>APROVADO</v>
          </cell>
          <cell r="F614" t="str">
            <v>APROVADO</v>
          </cell>
          <cell r="G614" t="str">
            <v>APROVADO</v>
          </cell>
          <cell r="H614" t="str">
            <v>APROVADO</v>
          </cell>
        </row>
        <row r="615">
          <cell r="B615" t="str">
            <v>JOAO EDUARDO LEAL NICOLUZZI</v>
          </cell>
          <cell r="E615" t="str">
            <v>APROVADO</v>
          </cell>
          <cell r="F615" t="str">
            <v>APROVADO</v>
          </cell>
          <cell r="G615" t="str">
            <v>APROVADO</v>
          </cell>
          <cell r="H615" t="str">
            <v>APROVADO</v>
          </cell>
        </row>
        <row r="616">
          <cell r="B616" t="str">
            <v>JOAO FELIPE ROSSIVAL PRETO</v>
          </cell>
          <cell r="E616" t="str">
            <v>APROVADO</v>
          </cell>
          <cell r="F616" t="str">
            <v>APROVADO</v>
          </cell>
          <cell r="G616" t="str">
            <v>APROVADO</v>
          </cell>
          <cell r="H616" t="str">
            <v>APROVADO</v>
          </cell>
        </row>
        <row r="617">
          <cell r="B617" t="str">
            <v>JOAO GUSTAVO DA SILVA FREIRE RITTER</v>
          </cell>
          <cell r="E617" t="str">
            <v>APROVADO</v>
          </cell>
          <cell r="F617" t="str">
            <v>APROVADO</v>
          </cell>
          <cell r="G617" t="str">
            <v>APROVADO</v>
          </cell>
          <cell r="H617" t="str">
            <v>APROVADO</v>
          </cell>
        </row>
        <row r="618">
          <cell r="B618" t="str">
            <v>JOAO JULIANI</v>
          </cell>
          <cell r="E618" t="str">
            <v>APROVADO</v>
          </cell>
          <cell r="F618" t="str">
            <v>APROVADO</v>
          </cell>
          <cell r="G618" t="str">
            <v>APROVADO</v>
          </cell>
          <cell r="H618" t="str">
            <v>APROVADO</v>
          </cell>
        </row>
        <row r="619">
          <cell r="B619" t="str">
            <v>JOAO PAULO FERNANDES GUERREIRO</v>
          </cell>
          <cell r="E619" t="str">
            <v>APROVADO</v>
          </cell>
          <cell r="F619" t="str">
            <v>APROVADO</v>
          </cell>
          <cell r="G619" t="str">
            <v>APROVADO</v>
          </cell>
          <cell r="H619" t="str">
            <v>APROVADO</v>
          </cell>
        </row>
        <row r="620">
          <cell r="B620" t="str">
            <v>JOCELINE FRANCO DALL AGNOL</v>
          </cell>
          <cell r="E620" t="str">
            <v>APROVADO</v>
          </cell>
          <cell r="F620" t="str">
            <v>APROVADO</v>
          </cell>
          <cell r="G620" t="str">
            <v>APROVADO</v>
          </cell>
          <cell r="H620" t="str">
            <v>APROVADO</v>
          </cell>
        </row>
        <row r="621">
          <cell r="B621" t="str">
            <v>JOCEMARA GURMINI</v>
          </cell>
          <cell r="E621" t="str">
            <v>APROVADO</v>
          </cell>
          <cell r="F621" t="str">
            <v>APROVADO</v>
          </cell>
          <cell r="G621" t="str">
            <v>APROVADO</v>
          </cell>
          <cell r="H621" t="str">
            <v>APROVADO</v>
          </cell>
        </row>
        <row r="622">
          <cell r="B622" t="str">
            <v>JOELTON DEONEI GOTZ</v>
          </cell>
          <cell r="E622" t="str">
            <v>APROVADO</v>
          </cell>
          <cell r="F622" t="str">
            <v>APROVADO</v>
          </cell>
          <cell r="G622" t="str">
            <v>APROVADO</v>
          </cell>
          <cell r="H622" t="str">
            <v>APROVADO</v>
          </cell>
        </row>
        <row r="623">
          <cell r="B623" t="str">
            <v>JOICE DE OLIVEIRA PETRECCA TOMASCHITZ</v>
          </cell>
          <cell r="E623" t="str">
            <v>APROVADO</v>
          </cell>
          <cell r="F623" t="str">
            <v>APROVADO</v>
          </cell>
          <cell r="G623" t="str">
            <v>APROVADO</v>
          </cell>
          <cell r="H623" t="str">
            <v>APROVADO</v>
          </cell>
        </row>
        <row r="624">
          <cell r="B624" t="str">
            <v>JONAS KRAUSE</v>
          </cell>
          <cell r="E624" t="str">
            <v>APROVADO</v>
          </cell>
          <cell r="F624" t="str">
            <v>APROVADO</v>
          </cell>
          <cell r="G624" t="str">
            <v>APROVADO</v>
          </cell>
          <cell r="H624" t="str">
            <v>APROVADO</v>
          </cell>
        </row>
        <row r="625">
          <cell r="B625" t="str">
            <v>JONES LUIS SCHAEFER</v>
          </cell>
          <cell r="E625" t="str">
            <v>APROVADO</v>
          </cell>
          <cell r="F625" t="str">
            <v>APROVADO</v>
          </cell>
          <cell r="G625" t="str">
            <v>APROVADO</v>
          </cell>
          <cell r="H625" t="str">
            <v>APROVADO</v>
          </cell>
        </row>
        <row r="626">
          <cell r="B626" t="str">
            <v>JORDAO VIOLIN</v>
          </cell>
          <cell r="E626" t="str">
            <v>APROVADO</v>
          </cell>
          <cell r="F626" t="str">
            <v>APROVADO</v>
          </cell>
          <cell r="G626" t="str">
            <v>APROVADO</v>
          </cell>
          <cell r="H626" t="str">
            <v>APROVADO</v>
          </cell>
        </row>
        <row r="627">
          <cell r="B627" t="str">
            <v>JORGE LUIZ COSTA CASTRO</v>
          </cell>
          <cell r="E627" t="str">
            <v>APROVADO</v>
          </cell>
          <cell r="F627" t="str">
            <v>APROVADO</v>
          </cell>
          <cell r="G627" t="str">
            <v>APROVADO</v>
          </cell>
          <cell r="H627" t="str">
            <v>APROVADO</v>
          </cell>
        </row>
        <row r="628">
          <cell r="B628" t="str">
            <v>JOSE ADEMAR KAEFER</v>
          </cell>
          <cell r="E628" t="str">
            <v>APROVADO</v>
          </cell>
          <cell r="F628" t="str">
            <v>APROVADO</v>
          </cell>
          <cell r="G628" t="str">
            <v>APROVADO</v>
          </cell>
          <cell r="H628" t="str">
            <v>APROVADO</v>
          </cell>
        </row>
        <row r="629">
          <cell r="B629" t="str">
            <v>JOSE ADEMAR VILLANOVA JUNIOR</v>
          </cell>
          <cell r="E629" t="str">
            <v>APROVADO</v>
          </cell>
          <cell r="F629" t="str">
            <v>APROVADO</v>
          </cell>
          <cell r="G629" t="str">
            <v>APROVADO</v>
          </cell>
          <cell r="H629" t="str">
            <v>APROVADO</v>
          </cell>
        </row>
        <row r="630">
          <cell r="B630" t="str">
            <v>JOSE ANTONIO MIGUEL</v>
          </cell>
          <cell r="E630" t="str">
            <v>APROVADO</v>
          </cell>
          <cell r="F630" t="str">
            <v>APROVADO</v>
          </cell>
          <cell r="G630" t="str">
            <v>APROVADO</v>
          </cell>
          <cell r="H630" t="str">
            <v>APROVADO</v>
          </cell>
        </row>
        <row r="631">
          <cell r="B631" t="str">
            <v>JOSE AUGUSTO RIBAS FORTES</v>
          </cell>
          <cell r="E631" t="str">
            <v>APROVADO</v>
          </cell>
          <cell r="F631" t="str">
            <v>APROVADO</v>
          </cell>
          <cell r="G631" t="str">
            <v>APROVADO</v>
          </cell>
          <cell r="H631" t="str">
            <v>APROVADO</v>
          </cell>
        </row>
        <row r="632">
          <cell r="B632" t="str">
            <v>JOSE CRISTIANO BENTO DOS SANTOS</v>
          </cell>
          <cell r="E632" t="str">
            <v>APROVADO</v>
          </cell>
          <cell r="F632" t="str">
            <v>APROVADO</v>
          </cell>
          <cell r="G632" t="str">
            <v>APROVADO</v>
          </cell>
          <cell r="H632" t="str">
            <v>APROVADO</v>
          </cell>
        </row>
        <row r="633">
          <cell r="B633" t="str">
            <v>JOSE EDUARDO NUNES LINO</v>
          </cell>
          <cell r="E633" t="str">
            <v>APROVADO</v>
          </cell>
          <cell r="F633" t="str">
            <v>APROVADO</v>
          </cell>
          <cell r="G633" t="str">
            <v>APROVADO</v>
          </cell>
          <cell r="H633" t="str">
            <v>APROVADO</v>
          </cell>
        </row>
        <row r="634">
          <cell r="B634" t="str">
            <v>JOSE ELOIR KRUPECHACKE</v>
          </cell>
          <cell r="E634" t="str">
            <v>APROVADO</v>
          </cell>
          <cell r="F634" t="str">
            <v>APROVADO</v>
          </cell>
          <cell r="G634" t="str">
            <v>APROVADO</v>
          </cell>
          <cell r="H634" t="str">
            <v>APROVADO</v>
          </cell>
        </row>
        <row r="635">
          <cell r="B635" t="str">
            <v>JOSE GERALDO LOPES DE NORONHA FILHO</v>
          </cell>
          <cell r="E635" t="str">
            <v>APROVADO</v>
          </cell>
          <cell r="F635" t="str">
            <v>APROVADO</v>
          </cell>
          <cell r="G635" t="str">
            <v>APROVADO</v>
          </cell>
          <cell r="H635" t="str">
            <v>APROVADO</v>
          </cell>
        </row>
        <row r="636">
          <cell r="B636" t="str">
            <v>JOSE KNOPFHOLZ</v>
          </cell>
          <cell r="E636" t="str">
            <v>APROVADO</v>
          </cell>
          <cell r="F636" t="str">
            <v>APROVADO</v>
          </cell>
          <cell r="G636" t="str">
            <v>APROVADO</v>
          </cell>
          <cell r="H636" t="str">
            <v>APROVADO</v>
          </cell>
        </row>
        <row r="637">
          <cell r="B637" t="str">
            <v>JOSE MARIA TIEPOLO</v>
          </cell>
          <cell r="E637" t="str">
            <v>APROVADO</v>
          </cell>
          <cell r="F637" t="str">
            <v>APROVADO</v>
          </cell>
          <cell r="G637" t="str">
            <v>APROVADO</v>
          </cell>
          <cell r="H637" t="str">
            <v>APROVADO</v>
          </cell>
        </row>
        <row r="638">
          <cell r="B638" t="str">
            <v>JOSE MARIO TUPINA MACHADO</v>
          </cell>
          <cell r="E638" t="str">
            <v>APROVADO</v>
          </cell>
          <cell r="F638" t="str">
            <v>APROVADO</v>
          </cell>
          <cell r="G638" t="str">
            <v>APROVADO</v>
          </cell>
          <cell r="H638" t="str">
            <v>APROVADO</v>
          </cell>
        </row>
        <row r="639">
          <cell r="B639" t="str">
            <v>JOSE RAFAEL SOLANO DURAN</v>
          </cell>
          <cell r="E639" t="str">
            <v>APROVADO</v>
          </cell>
          <cell r="F639" t="str">
            <v>APROVADO</v>
          </cell>
          <cell r="G639" t="str">
            <v>APROVADO</v>
          </cell>
          <cell r="H639" t="str">
            <v>APROVADO</v>
          </cell>
        </row>
        <row r="640">
          <cell r="B640" t="str">
            <v>JOSE ROCHA FARIA NETO</v>
          </cell>
          <cell r="E640" t="str">
            <v>APROVADO</v>
          </cell>
          <cell r="F640" t="str">
            <v>APROVADO</v>
          </cell>
          <cell r="G640" t="str">
            <v>APROVADO</v>
          </cell>
          <cell r="H640" t="str">
            <v>APROVADO</v>
          </cell>
        </row>
        <row r="641">
          <cell r="B641" t="str">
            <v>JOSEANE MARIA ANDRADE MOUZINHO DE OLIVEIRA</v>
          </cell>
          <cell r="E641" t="str">
            <v>AGUARDANDO APROVAÇÃO</v>
          </cell>
          <cell r="F641" t="str">
            <v>AGUARDANDO APROVAÇÃO</v>
          </cell>
          <cell r="G641" t="str">
            <v>AGUARDANDO APROVAÇÃO</v>
          </cell>
          <cell r="H641" t="str">
            <v>AGUARDANDO APROVAÇÃO</v>
          </cell>
        </row>
        <row r="642">
          <cell r="B642" t="str">
            <v>JOSELAINE VALASKI</v>
          </cell>
          <cell r="E642" t="str">
            <v>APROVADO</v>
          </cell>
          <cell r="F642" t="str">
            <v>APROVADO</v>
          </cell>
          <cell r="G642" t="str">
            <v>APROVADO</v>
          </cell>
          <cell r="H642" t="str">
            <v>APROVADO</v>
          </cell>
        </row>
        <row r="643">
          <cell r="B643" t="str">
            <v>JOSELIA RIBEIRO</v>
          </cell>
          <cell r="E643" t="str">
            <v>APROVADO</v>
          </cell>
          <cell r="F643" t="str">
            <v>APROVADO</v>
          </cell>
          <cell r="G643" t="str">
            <v>APROVADO</v>
          </cell>
          <cell r="H643" t="str">
            <v>APROVADO</v>
          </cell>
        </row>
        <row r="644">
          <cell r="B644" t="str">
            <v>JOSEMAR BATISTA</v>
          </cell>
          <cell r="E644" t="str">
            <v>APROVADO</v>
          </cell>
          <cell r="F644" t="str">
            <v>APROVADO</v>
          </cell>
          <cell r="G644" t="str">
            <v>APROVADO</v>
          </cell>
          <cell r="H644" t="str">
            <v>APROVADO</v>
          </cell>
        </row>
        <row r="645">
          <cell r="B645" t="str">
            <v>JOSETH ANTONIA OLIVEIRA JARDIM</v>
          </cell>
          <cell r="E645" t="str">
            <v>APROVADO</v>
          </cell>
          <cell r="F645" t="str">
            <v>APROVADO</v>
          </cell>
          <cell r="G645" t="str">
            <v>APROVADO</v>
          </cell>
          <cell r="H645" t="str">
            <v>APROVADO</v>
          </cell>
        </row>
        <row r="646">
          <cell r="B646" t="str">
            <v>JOSIANE REGINA KRUPINISKI</v>
          </cell>
          <cell r="E646" t="str">
            <v>APROVADO</v>
          </cell>
          <cell r="F646" t="str">
            <v>APROVADO</v>
          </cell>
          <cell r="G646" t="str">
            <v>APROVADO</v>
          </cell>
          <cell r="H646" t="str">
            <v>APROVADO</v>
          </cell>
        </row>
        <row r="647">
          <cell r="B647" t="str">
            <v>JOSSIANI AUGUSTA HONORIO DIAS</v>
          </cell>
          <cell r="E647" t="str">
            <v>APROVADO</v>
          </cell>
          <cell r="F647" t="str">
            <v>APROVADO</v>
          </cell>
          <cell r="G647" t="str">
            <v>APROVADO</v>
          </cell>
          <cell r="H647" t="str">
            <v>APROVADO</v>
          </cell>
        </row>
        <row r="648">
          <cell r="B648" t="str">
            <v>JUAN EDSON CABRERA QUISPE</v>
          </cell>
          <cell r="E648" t="str">
            <v>APROVADO</v>
          </cell>
          <cell r="F648" t="str">
            <v>APROVADO</v>
          </cell>
          <cell r="G648" t="str">
            <v>APROVADO</v>
          </cell>
          <cell r="H648" t="str">
            <v>APROVADO</v>
          </cell>
        </row>
        <row r="649">
          <cell r="B649" t="str">
            <v>JUAN JOSE CAMOU VIACAVA</v>
          </cell>
          <cell r="E649" t="str">
            <v>APROVADO</v>
          </cell>
          <cell r="F649" t="str">
            <v>APROVADO</v>
          </cell>
          <cell r="G649" t="str">
            <v>APROVADO</v>
          </cell>
          <cell r="H649" t="str">
            <v>APROVADO</v>
          </cell>
        </row>
        <row r="650">
          <cell r="B650" t="str">
            <v>JUCIMERI ISOLDA SILVEIRA</v>
          </cell>
          <cell r="E650" t="str">
            <v>APROVADO</v>
          </cell>
          <cell r="F650" t="str">
            <v>APROVADO</v>
          </cell>
          <cell r="G650" t="str">
            <v>APROVADO</v>
          </cell>
          <cell r="H650" t="str">
            <v>APROVADO</v>
          </cell>
        </row>
        <row r="651">
          <cell r="B651" t="str">
            <v>JULIA IZADORA DA SILVA MARTINS</v>
          </cell>
          <cell r="E651" t="str">
            <v>APROVADO</v>
          </cell>
          <cell r="F651" t="str">
            <v>APROVADO</v>
          </cell>
          <cell r="G651" t="str">
            <v>APROVADO</v>
          </cell>
          <cell r="H651" t="str">
            <v>APROVADO</v>
          </cell>
        </row>
        <row r="652">
          <cell r="B652" t="str">
            <v>JULIANA CARVALHO PAVAO</v>
          </cell>
          <cell r="E652" t="str">
            <v>APROVADO</v>
          </cell>
          <cell r="F652" t="str">
            <v>APROVADO</v>
          </cell>
          <cell r="G652" t="str">
            <v>APROVADO</v>
          </cell>
          <cell r="H652" t="str">
            <v>APROVADO</v>
          </cell>
        </row>
        <row r="653">
          <cell r="B653" t="str">
            <v>JULIANA CONCEICAO NOSCHANG DA COSTA</v>
          </cell>
          <cell r="E653" t="str">
            <v>APROVADO</v>
          </cell>
          <cell r="F653" t="str">
            <v>APROVADO</v>
          </cell>
          <cell r="G653" t="str">
            <v>APROVADO</v>
          </cell>
          <cell r="H653" t="str">
            <v>APROVADO</v>
          </cell>
        </row>
        <row r="654">
          <cell r="B654" t="str">
            <v>JULIANA DEL SECCHI</v>
          </cell>
          <cell r="E654" t="str">
            <v>APROVADO</v>
          </cell>
          <cell r="F654" t="str">
            <v>APROVADO</v>
          </cell>
          <cell r="G654" t="str">
            <v>APROVADO</v>
          </cell>
          <cell r="H654" t="str">
            <v>APROVADO</v>
          </cell>
        </row>
        <row r="655">
          <cell r="B655" t="str">
            <v>JULIANA FERNANDES JUNGES CARARO</v>
          </cell>
          <cell r="E655" t="str">
            <v>APROVADO</v>
          </cell>
          <cell r="F655" t="str">
            <v>APROVADO</v>
          </cell>
          <cell r="G655" t="str">
            <v>APROVADO</v>
          </cell>
          <cell r="H655" t="str">
            <v>APROVADO</v>
          </cell>
        </row>
        <row r="656">
          <cell r="B656" t="str">
            <v>JULIANA FERREIRA MONTENEGRO</v>
          </cell>
          <cell r="E656" t="str">
            <v>APROVADO</v>
          </cell>
          <cell r="F656" t="str">
            <v>APROVADO</v>
          </cell>
          <cell r="G656" t="str">
            <v>APROVADO</v>
          </cell>
          <cell r="H656" t="str">
            <v>APROVADO</v>
          </cell>
        </row>
        <row r="657">
          <cell r="B657" t="str">
            <v>JULIANA LIMA LICONTI</v>
          </cell>
          <cell r="E657" t="str">
            <v>APROVADO</v>
          </cell>
          <cell r="F657" t="str">
            <v>APROVADO</v>
          </cell>
          <cell r="G657" t="str">
            <v>APROVADO</v>
          </cell>
          <cell r="H657" t="str">
            <v>APROVADO</v>
          </cell>
        </row>
        <row r="658">
          <cell r="B658" t="str">
            <v>JULIANA PUKA</v>
          </cell>
          <cell r="E658" t="str">
            <v>APROVADO</v>
          </cell>
          <cell r="F658" t="str">
            <v>APROVADO</v>
          </cell>
          <cell r="G658" t="str">
            <v>APROVADO</v>
          </cell>
          <cell r="H658" t="str">
            <v>APROVADO</v>
          </cell>
        </row>
        <row r="659">
          <cell r="B659" t="str">
            <v>JULIANA RADAELLI</v>
          </cell>
          <cell r="E659" t="str">
            <v>APROVADO</v>
          </cell>
          <cell r="F659" t="str">
            <v>APROVADO</v>
          </cell>
          <cell r="G659" t="str">
            <v>APROVADO</v>
          </cell>
          <cell r="H659" t="str">
            <v>APROVADO</v>
          </cell>
        </row>
        <row r="660">
          <cell r="B660" t="str">
            <v>JULIANA SCHAIA ROCHA ORSI</v>
          </cell>
          <cell r="E660" t="str">
            <v>APROVADO</v>
          </cell>
          <cell r="F660" t="str">
            <v>APROVADO</v>
          </cell>
          <cell r="G660" t="str">
            <v>APROVADO</v>
          </cell>
          <cell r="H660" t="str">
            <v>APROVADO</v>
          </cell>
        </row>
        <row r="661">
          <cell r="B661" t="str">
            <v>JULIANO COSTA</v>
          </cell>
          <cell r="E661" t="str">
            <v>APROVADO</v>
          </cell>
          <cell r="F661" t="str">
            <v>APROVADO</v>
          </cell>
          <cell r="G661" t="str">
            <v>APROVADO</v>
          </cell>
          <cell r="H661" t="str">
            <v>APROVADO</v>
          </cell>
        </row>
        <row r="662">
          <cell r="B662" t="str">
            <v>JULIANO DE TROTTA</v>
          </cell>
          <cell r="E662" t="str">
            <v>APROVADO</v>
          </cell>
          <cell r="F662" t="str">
            <v>APROVADO</v>
          </cell>
          <cell r="G662" t="str">
            <v>APROVADO</v>
          </cell>
          <cell r="H662" t="str">
            <v>APROVADO</v>
          </cell>
        </row>
        <row r="663">
          <cell r="B663" t="str">
            <v>JULIANO GASPARETTO</v>
          </cell>
          <cell r="E663" t="str">
            <v>APROVADO</v>
          </cell>
          <cell r="F663" t="str">
            <v>APROVADO</v>
          </cell>
          <cell r="G663" t="str">
            <v>APROVADO</v>
          </cell>
          <cell r="H663" t="str">
            <v>APROVADO</v>
          </cell>
        </row>
        <row r="664">
          <cell r="B664" t="str">
            <v>JULIANO GERALDI</v>
          </cell>
          <cell r="E664" t="str">
            <v>APROVADO</v>
          </cell>
          <cell r="F664" t="str">
            <v>APROVADO</v>
          </cell>
          <cell r="G664" t="str">
            <v>APROVADO</v>
          </cell>
          <cell r="H664" t="str">
            <v>APROVADO</v>
          </cell>
        </row>
        <row r="665">
          <cell r="B665" t="str">
            <v>JULIANO MUNIK BORA</v>
          </cell>
          <cell r="E665" t="str">
            <v>APROVADO</v>
          </cell>
          <cell r="F665" t="str">
            <v>APROVADO</v>
          </cell>
          <cell r="G665" t="str">
            <v>APROVADO</v>
          </cell>
          <cell r="H665" t="str">
            <v>APROVADO</v>
          </cell>
        </row>
        <row r="666">
          <cell r="B666" t="str">
            <v>JULIO CESAR BISINELLI</v>
          </cell>
          <cell r="E666" t="str">
            <v>APROVADO</v>
          </cell>
          <cell r="F666" t="str">
            <v>APROVADO</v>
          </cell>
          <cell r="G666" t="str">
            <v>APROVADO</v>
          </cell>
          <cell r="H666" t="str">
            <v>APROVADO</v>
          </cell>
        </row>
        <row r="667">
          <cell r="B667" t="str">
            <v>JULIO CESAR DE MOURA LEITE</v>
          </cell>
          <cell r="E667" t="str">
            <v>APROVADO</v>
          </cell>
          <cell r="F667" t="str">
            <v>APROVADO</v>
          </cell>
          <cell r="G667" t="str">
            <v>APROVADO</v>
          </cell>
          <cell r="H667" t="str">
            <v>APROVADO</v>
          </cell>
        </row>
        <row r="668">
          <cell r="B668" t="str">
            <v>JULIO CESAR DE SOUZA MOTA</v>
          </cell>
          <cell r="E668" t="str">
            <v>APROVADO</v>
          </cell>
          <cell r="F668" t="str">
            <v>APROVADO</v>
          </cell>
          <cell r="G668" t="str">
            <v>APROVADO</v>
          </cell>
          <cell r="H668" t="str">
            <v>APROVADO</v>
          </cell>
        </row>
        <row r="669">
          <cell r="B669" t="str">
            <v>JULIO CESAR FERREIRA</v>
          </cell>
          <cell r="E669" t="str">
            <v>FINALIZADO</v>
          </cell>
          <cell r="F669" t="str">
            <v>AGUARDANDO APROVAÇÃO</v>
          </cell>
          <cell r="G669" t="str">
            <v>AGUARDANDO APROVAÇÃO</v>
          </cell>
          <cell r="H669" t="str">
            <v>APROVADO</v>
          </cell>
        </row>
        <row r="670">
          <cell r="B670" t="str">
            <v>JULIO CESAR NIEVOLA</v>
          </cell>
          <cell r="E670" t="str">
            <v>APROVADO</v>
          </cell>
          <cell r="F670" t="str">
            <v>APROVADO</v>
          </cell>
          <cell r="G670" t="str">
            <v>APROVADO</v>
          </cell>
          <cell r="H670" t="str">
            <v>APROVADO</v>
          </cell>
        </row>
        <row r="671">
          <cell r="B671" t="str">
            <v>JULIO CEZAR MERLIN</v>
          </cell>
          <cell r="E671" t="str">
            <v>APROVADO</v>
          </cell>
          <cell r="F671" t="str">
            <v>APROVADO</v>
          </cell>
          <cell r="G671" t="str">
            <v>APROVADO</v>
          </cell>
          <cell r="H671" t="str">
            <v>APROVADO</v>
          </cell>
        </row>
        <row r="672">
          <cell r="B672" t="str">
            <v>JUNE ALISSON WESTARB CRUZ</v>
          </cell>
          <cell r="E672" t="str">
            <v>APROVADO</v>
          </cell>
          <cell r="F672" t="str">
            <v>APROVADO</v>
          </cell>
          <cell r="G672" t="str">
            <v>APROVADO</v>
          </cell>
          <cell r="H672" t="str">
            <v>APROVADO</v>
          </cell>
        </row>
        <row r="673">
          <cell r="B673" t="str">
            <v>JUNIO CESAR MANGONARO</v>
          </cell>
          <cell r="E673" t="str">
            <v>APROVADO</v>
          </cell>
          <cell r="F673" t="str">
            <v>APROVADO</v>
          </cell>
          <cell r="G673" t="str">
            <v>APROVADO</v>
          </cell>
          <cell r="H673" t="str">
            <v>APROVADO</v>
          </cell>
        </row>
        <row r="674">
          <cell r="B674" t="str">
            <v>KAMILA COLOMBO</v>
          </cell>
          <cell r="E674" t="str">
            <v>APROVADO</v>
          </cell>
          <cell r="F674" t="str">
            <v>APROVADO</v>
          </cell>
          <cell r="G674" t="str">
            <v>APROVADO</v>
          </cell>
          <cell r="H674" t="str">
            <v>APROVADO</v>
          </cell>
        </row>
        <row r="675">
          <cell r="B675" t="str">
            <v>KAREN BARROS PARRON FERNANDES</v>
          </cell>
          <cell r="E675" t="str">
            <v>APROVADO</v>
          </cell>
          <cell r="F675" t="str">
            <v>APROVADO</v>
          </cell>
          <cell r="G675" t="str">
            <v>APROVADO</v>
          </cell>
          <cell r="H675" t="str">
            <v>APROVADO</v>
          </cell>
        </row>
        <row r="676">
          <cell r="B676" t="str">
            <v>KAREN FERNANDES DE MOURA SAAB</v>
          </cell>
          <cell r="E676" t="str">
            <v>APROVADO</v>
          </cell>
          <cell r="F676" t="str">
            <v>APROVADO</v>
          </cell>
          <cell r="G676" t="str">
            <v>APROVADO</v>
          </cell>
          <cell r="H676" t="str">
            <v>APROVADO</v>
          </cell>
        </row>
        <row r="677">
          <cell r="B677" t="str">
            <v>KAREN MAYUMI NAKAYA</v>
          </cell>
          <cell r="E677" t="str">
            <v>APROVADO</v>
          </cell>
          <cell r="F677" t="str">
            <v>APROVADO</v>
          </cell>
          <cell r="G677" t="str">
            <v>APROVADO</v>
          </cell>
          <cell r="H677" t="str">
            <v>APROVADO</v>
          </cell>
        </row>
        <row r="678">
          <cell r="B678" t="str">
            <v>KAREN SUMIRE KUBO</v>
          </cell>
          <cell r="E678" t="str">
            <v>APROVADO</v>
          </cell>
          <cell r="F678" t="str">
            <v>APROVADO</v>
          </cell>
          <cell r="G678" t="str">
            <v>APROVADO</v>
          </cell>
          <cell r="H678" t="str">
            <v>APROVADO</v>
          </cell>
        </row>
        <row r="679">
          <cell r="B679" t="str">
            <v>KARINA AIRES REINLEIN FERNANDES COUTO DE MORAES</v>
          </cell>
          <cell r="E679" t="str">
            <v>APROVADO</v>
          </cell>
          <cell r="F679" t="str">
            <v>APROVADO</v>
          </cell>
          <cell r="G679" t="str">
            <v>APROVADO</v>
          </cell>
          <cell r="H679" t="str">
            <v>APROVADO</v>
          </cell>
        </row>
        <row r="680">
          <cell r="B680" t="str">
            <v>KARINA DA SILVA MAGATAO</v>
          </cell>
          <cell r="E680" t="str">
            <v>APROVADO</v>
          </cell>
          <cell r="F680" t="str">
            <v>APROVADO</v>
          </cell>
          <cell r="G680" t="str">
            <v>APROVADO</v>
          </cell>
          <cell r="H680" t="str">
            <v>APROVADO</v>
          </cell>
        </row>
        <row r="681">
          <cell r="B681" t="str">
            <v>KARINA DE GUADALUPE BERTOLDI GIROTTO</v>
          </cell>
          <cell r="E681" t="str">
            <v>APROVADO</v>
          </cell>
          <cell r="F681" t="str">
            <v>APROVADO</v>
          </cell>
          <cell r="G681" t="str">
            <v>APROVADO</v>
          </cell>
          <cell r="H681" t="str">
            <v>APROVADO</v>
          </cell>
        </row>
        <row r="682">
          <cell r="B682" t="str">
            <v>KARINA PACHECO DOS SANTOS VANDER BROOCK</v>
          </cell>
          <cell r="E682" t="str">
            <v>APROVADO</v>
          </cell>
          <cell r="F682" t="str">
            <v>APROVADO</v>
          </cell>
          <cell r="G682" t="str">
            <v>APROVADO</v>
          </cell>
          <cell r="H682" t="str">
            <v>APROVADO</v>
          </cell>
        </row>
        <row r="683">
          <cell r="B683" t="str">
            <v>KARLA CRISTIANE ARSIE</v>
          </cell>
          <cell r="E683" t="str">
            <v>APROVADO</v>
          </cell>
          <cell r="F683" t="str">
            <v>APROVADO</v>
          </cell>
          <cell r="G683" t="str">
            <v>APROVADO</v>
          </cell>
          <cell r="H683" t="str">
            <v>APROVADO</v>
          </cell>
        </row>
        <row r="684">
          <cell r="B684" t="str">
            <v>KARLAN MULLER MUNIZ</v>
          </cell>
          <cell r="E684" t="str">
            <v>FINALIZADO</v>
          </cell>
          <cell r="F684" t="str">
            <v>APROVADO</v>
          </cell>
          <cell r="G684" t="str">
            <v>APROVADO</v>
          </cell>
          <cell r="H684" t="str">
            <v>APROVADO</v>
          </cell>
        </row>
        <row r="685">
          <cell r="B685" t="str">
            <v>KASSIA RENATA DA SILVA ZANAO</v>
          </cell>
          <cell r="E685" t="str">
            <v>APROVADO</v>
          </cell>
          <cell r="F685" t="str">
            <v>APROVADO</v>
          </cell>
          <cell r="G685" t="str">
            <v>APROVADO</v>
          </cell>
          <cell r="H685" t="str">
            <v>APROVADO</v>
          </cell>
        </row>
        <row r="686">
          <cell r="B686" t="str">
            <v>KATHERINE DAMBROWSKI</v>
          </cell>
          <cell r="E686" t="str">
            <v>APROVADO</v>
          </cell>
          <cell r="F686" t="str">
            <v>APROVADO</v>
          </cell>
          <cell r="G686" t="str">
            <v>APROVADO</v>
          </cell>
          <cell r="H686" t="str">
            <v>APROVADO</v>
          </cell>
        </row>
        <row r="687">
          <cell r="B687" t="str">
            <v>KATIA ALESSANDRA PASTORI TERRIN</v>
          </cell>
          <cell r="E687" t="str">
            <v>APROVADO</v>
          </cell>
          <cell r="F687" t="str">
            <v>APROVADO</v>
          </cell>
          <cell r="G687" t="str">
            <v>APROVADO</v>
          </cell>
          <cell r="H687" t="str">
            <v>APROVADO</v>
          </cell>
        </row>
        <row r="688">
          <cell r="B688" t="str">
            <v>KATIA ETHIENNE ESTEVES DOS SANTOS</v>
          </cell>
          <cell r="E688" t="str">
            <v>APROVADO</v>
          </cell>
          <cell r="F688" t="str">
            <v>APROVADO</v>
          </cell>
          <cell r="G688" t="str">
            <v>APROVADO</v>
          </cell>
          <cell r="H688" t="str">
            <v>APROVADO</v>
          </cell>
        </row>
        <row r="689">
          <cell r="B689" t="str">
            <v>KATYA KOZICKI</v>
          </cell>
          <cell r="E689" t="str">
            <v>APROVADO</v>
          </cell>
          <cell r="F689" t="str">
            <v>APROVADO</v>
          </cell>
          <cell r="G689" t="str">
            <v>APROVADO</v>
          </cell>
          <cell r="H689" t="str">
            <v>APROVADO</v>
          </cell>
        </row>
        <row r="690">
          <cell r="B690" t="str">
            <v>KAUANA VIEIRA DA ROSA KALACHE</v>
          </cell>
          <cell r="E690" t="str">
            <v>APROVADO</v>
          </cell>
          <cell r="F690" t="str">
            <v>APROVADO</v>
          </cell>
          <cell r="G690" t="str">
            <v>APROVADO</v>
          </cell>
          <cell r="H690" t="str">
            <v>APROVADO</v>
          </cell>
        </row>
        <row r="691">
          <cell r="B691" t="str">
            <v>KEANU TELLES DA COSTA</v>
          </cell>
          <cell r="E691" t="str">
            <v>APROVADO</v>
          </cell>
          <cell r="F691" t="str">
            <v>APROVADO</v>
          </cell>
          <cell r="G691" t="str">
            <v>APROVADO</v>
          </cell>
          <cell r="H691" t="str">
            <v>APROVADO</v>
          </cell>
        </row>
        <row r="692">
          <cell r="B692" t="str">
            <v>KEITH MARY DE SOUZA SATO URBINATI</v>
          </cell>
          <cell r="E692" t="str">
            <v>APROVADO</v>
          </cell>
          <cell r="F692" t="str">
            <v>APROVADO</v>
          </cell>
          <cell r="G692" t="str">
            <v>APROVADO</v>
          </cell>
          <cell r="H692" t="str">
            <v>APROVADO</v>
          </cell>
        </row>
        <row r="693">
          <cell r="B693" t="str">
            <v>KELIANI BORDIN</v>
          </cell>
          <cell r="E693" t="str">
            <v>APROVADO</v>
          </cell>
          <cell r="F693" t="str">
            <v>APROVADO</v>
          </cell>
          <cell r="G693" t="str">
            <v>APROVADO</v>
          </cell>
          <cell r="H693" t="str">
            <v>APROVADO</v>
          </cell>
        </row>
        <row r="694">
          <cell r="B694" t="str">
            <v>KELLY CHRISTINE LANDOLFI BETTIO</v>
          </cell>
          <cell r="E694" t="str">
            <v>APROVADO</v>
          </cell>
          <cell r="F694" t="str">
            <v>APROVADO</v>
          </cell>
          <cell r="G694" t="str">
            <v>APROVADO</v>
          </cell>
          <cell r="H694" t="str">
            <v>APROVADO</v>
          </cell>
        </row>
        <row r="695">
          <cell r="B695" t="str">
            <v>KELLY CRISTINA BORDIGNON GOMES</v>
          </cell>
          <cell r="E695" t="str">
            <v>APROVADO</v>
          </cell>
          <cell r="F695" t="str">
            <v>APROVADO</v>
          </cell>
          <cell r="G695" t="str">
            <v>APROVADO</v>
          </cell>
          <cell r="H695" t="str">
            <v>APROVADO</v>
          </cell>
        </row>
        <row r="696">
          <cell r="B696" t="str">
            <v>KELLY MAZUTTI MONTEIRO</v>
          </cell>
          <cell r="E696" t="str">
            <v>APROVADO</v>
          </cell>
          <cell r="F696" t="str">
            <v>APROVADO</v>
          </cell>
          <cell r="G696" t="str">
            <v>APROVADO</v>
          </cell>
          <cell r="H696" t="str">
            <v>APROVADO</v>
          </cell>
        </row>
        <row r="697">
          <cell r="B697" t="str">
            <v>KELLY RAFAELA OTEMAIER</v>
          </cell>
          <cell r="E697" t="str">
            <v>APROVADO</v>
          </cell>
          <cell r="F697" t="str">
            <v>APROVADO</v>
          </cell>
          <cell r="G697" t="str">
            <v>APROVADO</v>
          </cell>
          <cell r="H697" t="str">
            <v>APROVADO</v>
          </cell>
        </row>
        <row r="698">
          <cell r="B698" t="str">
            <v>KENZO HOKAZONO</v>
          </cell>
          <cell r="E698" t="str">
            <v>APROVADO</v>
          </cell>
          <cell r="F698" t="str">
            <v>APROVADO</v>
          </cell>
          <cell r="G698" t="str">
            <v>APROVADO</v>
          </cell>
          <cell r="H698" t="str">
            <v>APROVADO</v>
          </cell>
        </row>
        <row r="699">
          <cell r="B699" t="str">
            <v>KEY FONSECA DE LIMA</v>
          </cell>
          <cell r="E699" t="str">
            <v>APROVADO</v>
          </cell>
          <cell r="F699" t="str">
            <v>APROVADO</v>
          </cell>
          <cell r="G699" t="str">
            <v>APROVADO</v>
          </cell>
          <cell r="H699" t="str">
            <v>APROVADO</v>
          </cell>
        </row>
        <row r="700">
          <cell r="B700" t="str">
            <v>KHALIL GIBRAN MARTINS ZERAIK ABDALLA</v>
          </cell>
          <cell r="E700" t="str">
            <v>APROVADO</v>
          </cell>
          <cell r="F700" t="str">
            <v>APROVADO</v>
          </cell>
          <cell r="G700" t="str">
            <v>APROVADO</v>
          </cell>
          <cell r="H700" t="str">
            <v>APROVADO</v>
          </cell>
        </row>
        <row r="701">
          <cell r="B701" t="str">
            <v>KLEBER BEZ BIROLO CANDIOTTO</v>
          </cell>
          <cell r="E701" t="str">
            <v>APROVADO</v>
          </cell>
          <cell r="F701" t="str">
            <v>APROVADO</v>
          </cell>
          <cell r="G701" t="str">
            <v>APROVADO</v>
          </cell>
          <cell r="H701" t="str">
            <v>APROVADO</v>
          </cell>
        </row>
        <row r="702">
          <cell r="B702" t="str">
            <v>KUNG DARH CHI</v>
          </cell>
          <cell r="E702" t="str">
            <v>APROVADO</v>
          </cell>
          <cell r="F702" t="str">
            <v>APROVADO</v>
          </cell>
          <cell r="G702" t="str">
            <v>APROVADO</v>
          </cell>
          <cell r="H702" t="str">
            <v>APROVADO</v>
          </cell>
        </row>
        <row r="703">
          <cell r="B703" t="str">
            <v>LAERCIO UEMURA</v>
          </cell>
          <cell r="E703" t="str">
            <v>APROVADO</v>
          </cell>
          <cell r="F703" t="str">
            <v>APROVADO</v>
          </cell>
          <cell r="G703" t="str">
            <v>APROVADO</v>
          </cell>
          <cell r="H703" t="str">
            <v>APROVADO</v>
          </cell>
        </row>
        <row r="704">
          <cell r="B704" t="str">
            <v>LARA GUERIOS</v>
          </cell>
          <cell r="E704" t="str">
            <v>APROVADO</v>
          </cell>
          <cell r="F704" t="str">
            <v>APROVADO</v>
          </cell>
          <cell r="G704" t="str">
            <v>APROVADO</v>
          </cell>
          <cell r="H704" t="str">
            <v>APROVADO</v>
          </cell>
        </row>
        <row r="705">
          <cell r="B705" t="str">
            <v>LARIANE MORTEAN ONO</v>
          </cell>
          <cell r="E705" t="str">
            <v>APROVADO</v>
          </cell>
          <cell r="F705" t="str">
            <v>APROVADO</v>
          </cell>
          <cell r="G705" t="str">
            <v>APROVADO</v>
          </cell>
          <cell r="H705" t="str">
            <v>APROVADO</v>
          </cell>
        </row>
        <row r="706">
          <cell r="B706" t="str">
            <v>LARISSA CHIOQUETTA LORENSET</v>
          </cell>
          <cell r="E706" t="str">
            <v>NÃO CRIADO</v>
          </cell>
          <cell r="F706" t="str">
            <v>NÃO CRIADO</v>
          </cell>
          <cell r="G706" t="str">
            <v>NÃO CRIADO</v>
          </cell>
          <cell r="H706" t="str">
            <v>NÃO CRIADO</v>
          </cell>
        </row>
        <row r="707">
          <cell r="B707" t="str">
            <v>LARISSA HERMANN DE SOUZA NUNES</v>
          </cell>
          <cell r="E707" t="str">
            <v>APROVADO</v>
          </cell>
          <cell r="F707" t="str">
            <v>APROVADO</v>
          </cell>
          <cell r="G707" t="str">
            <v>APROVADO</v>
          </cell>
          <cell r="H707" t="str">
            <v>APROVADO</v>
          </cell>
        </row>
        <row r="708">
          <cell r="B708" t="str">
            <v>LAURA CINQUINI FRANCO</v>
          </cell>
          <cell r="E708" t="str">
            <v>APROVADO</v>
          </cell>
          <cell r="F708" t="str">
            <v>APROVADO</v>
          </cell>
          <cell r="G708" t="str">
            <v>APROVADO</v>
          </cell>
          <cell r="H708" t="str">
            <v>APROVADO</v>
          </cell>
        </row>
        <row r="709">
          <cell r="B709" t="str">
            <v>LAYS CHEROBIM PAROLIN</v>
          </cell>
          <cell r="E709" t="str">
            <v>APROVADO</v>
          </cell>
          <cell r="F709" t="str">
            <v>APROVADO</v>
          </cell>
          <cell r="G709" t="str">
            <v>APROVADO</v>
          </cell>
          <cell r="H709" t="str">
            <v>APROVADO</v>
          </cell>
        </row>
        <row r="710">
          <cell r="B710" t="str">
            <v>LEANA CAROLINA FERREIRA</v>
          </cell>
          <cell r="E710" t="str">
            <v>APROVADO</v>
          </cell>
          <cell r="F710" t="str">
            <v>APROVADO</v>
          </cell>
          <cell r="G710" t="str">
            <v>APROVADO</v>
          </cell>
          <cell r="H710" t="str">
            <v>APROVADO</v>
          </cell>
        </row>
        <row r="711">
          <cell r="B711" t="str">
            <v>LEANDRO BATISTA COSTA</v>
          </cell>
          <cell r="E711" t="str">
            <v>APROVADO</v>
          </cell>
          <cell r="F711" t="str">
            <v>APROVADO</v>
          </cell>
          <cell r="G711" t="str">
            <v>APROVADO</v>
          </cell>
          <cell r="H711" t="str">
            <v>APROVADO</v>
          </cell>
        </row>
        <row r="712">
          <cell r="B712" t="str">
            <v>LEANDRO FEIJO SONNBERGER</v>
          </cell>
          <cell r="E712" t="str">
            <v>APROVADO</v>
          </cell>
          <cell r="F712" t="str">
            <v>APROVADO</v>
          </cell>
          <cell r="G712" t="str">
            <v>APROVADO</v>
          </cell>
          <cell r="H712" t="str">
            <v>APROVADO</v>
          </cell>
        </row>
        <row r="713">
          <cell r="B713" t="str">
            <v>LEANDRO ZEN KARAM</v>
          </cell>
          <cell r="E713" t="str">
            <v>APROVADO</v>
          </cell>
          <cell r="F713" t="str">
            <v>APROVADO</v>
          </cell>
          <cell r="G713" t="str">
            <v>APROVADO</v>
          </cell>
          <cell r="H713" t="str">
            <v>APROVADO</v>
          </cell>
        </row>
        <row r="714">
          <cell r="B714" t="str">
            <v>LEDA RAMOS MAY</v>
          </cell>
          <cell r="E714" t="str">
            <v>APROVADO</v>
          </cell>
          <cell r="F714" t="str">
            <v>APROVADO</v>
          </cell>
          <cell r="G714" t="str">
            <v>APROVADO</v>
          </cell>
          <cell r="H714" t="str">
            <v>APROVADO</v>
          </cell>
        </row>
        <row r="715">
          <cell r="B715" t="str">
            <v>LEILA ANDRESSA DISSENHA</v>
          </cell>
          <cell r="E715" t="str">
            <v>APROVADO</v>
          </cell>
          <cell r="F715" t="str">
            <v>APROVADO</v>
          </cell>
          <cell r="G715" t="str">
            <v>APROVADO</v>
          </cell>
          <cell r="H715" t="str">
            <v>APROVADO</v>
          </cell>
        </row>
        <row r="716">
          <cell r="B716" t="str">
            <v>LEILA SCUCATO MARCAL</v>
          </cell>
          <cell r="E716" t="str">
            <v>APROVADO</v>
          </cell>
          <cell r="F716" t="str">
            <v>APROVADO</v>
          </cell>
          <cell r="G716" t="str">
            <v>APROVADO</v>
          </cell>
          <cell r="H716" t="str">
            <v>APROVADO</v>
          </cell>
        </row>
        <row r="717">
          <cell r="B717" t="str">
            <v>LENISE AUBRIFT KLENK</v>
          </cell>
          <cell r="E717" t="str">
            <v>APROVADO</v>
          </cell>
          <cell r="F717" t="str">
            <v>APROVADO</v>
          </cell>
          <cell r="G717" t="str">
            <v>APROVADO</v>
          </cell>
          <cell r="H717" t="str">
            <v>APROVADO</v>
          </cell>
        </row>
        <row r="718">
          <cell r="B718" t="str">
            <v>LEO NATAN PASCHOAL</v>
          </cell>
          <cell r="E718" t="str">
            <v>APROVADO</v>
          </cell>
          <cell r="F718" t="str">
            <v>APROVADO</v>
          </cell>
          <cell r="G718" t="str">
            <v>APROVADO</v>
          </cell>
          <cell r="H718" t="str">
            <v>APROVADO</v>
          </cell>
        </row>
        <row r="719">
          <cell r="B719" t="str">
            <v>LEO PERUZZO JUNIOR</v>
          </cell>
          <cell r="E719" t="str">
            <v>APROVADO</v>
          </cell>
          <cell r="F719" t="str">
            <v>APROVADO</v>
          </cell>
          <cell r="G719" t="str">
            <v>APROVADO</v>
          </cell>
          <cell r="H719" t="str">
            <v>APROVADO</v>
          </cell>
        </row>
        <row r="720">
          <cell r="B720" t="str">
            <v>LEONARDO CAMPOS TEIXEIRA</v>
          </cell>
          <cell r="E720" t="str">
            <v>APROVADO</v>
          </cell>
          <cell r="F720" t="str">
            <v>APROVADO</v>
          </cell>
          <cell r="G720" t="str">
            <v>APROVADO</v>
          </cell>
          <cell r="H720" t="str">
            <v>APROVADO</v>
          </cell>
        </row>
        <row r="721">
          <cell r="B721" t="str">
            <v>LEONARDO CAVALHEIRO MARTINEZ</v>
          </cell>
          <cell r="E721" t="str">
            <v>APROVADO</v>
          </cell>
          <cell r="F721" t="str">
            <v>APROVADO</v>
          </cell>
          <cell r="G721" t="str">
            <v>APROVADO</v>
          </cell>
          <cell r="H721" t="str">
            <v>APROVADO</v>
          </cell>
        </row>
        <row r="722">
          <cell r="B722" t="str">
            <v>LEONARDO GONCALVES RODRIGUES DA SILVA</v>
          </cell>
          <cell r="E722" t="str">
            <v>APROVADO</v>
          </cell>
          <cell r="F722" t="str">
            <v>APROVADO</v>
          </cell>
          <cell r="G722" t="str">
            <v>APROVADO</v>
          </cell>
          <cell r="H722" t="str">
            <v>APROVADO</v>
          </cell>
        </row>
        <row r="723">
          <cell r="B723" t="str">
            <v>LEONARDO MURILO NEPOMUCENO</v>
          </cell>
          <cell r="E723" t="str">
            <v>APROVADO</v>
          </cell>
          <cell r="F723" t="str">
            <v>APROVADO</v>
          </cell>
          <cell r="G723" t="str">
            <v>APROVADO</v>
          </cell>
          <cell r="H723" t="str">
            <v>APROVADO</v>
          </cell>
        </row>
        <row r="724">
          <cell r="B724" t="str">
            <v>LEONARDO RAFAEL DE SOUZA</v>
          </cell>
          <cell r="E724" t="str">
            <v>APROVADO</v>
          </cell>
          <cell r="F724" t="str">
            <v>APROVADO</v>
          </cell>
          <cell r="G724" t="str">
            <v>APROVADO</v>
          </cell>
          <cell r="H724" t="str">
            <v>APROVADO</v>
          </cell>
        </row>
        <row r="725">
          <cell r="B725" t="str">
            <v>LEONARDO TOSSIAKI OBA</v>
          </cell>
          <cell r="E725" t="str">
            <v>APROVADO</v>
          </cell>
          <cell r="F725" t="str">
            <v>APROVADO</v>
          </cell>
          <cell r="G725" t="str">
            <v>APROVADO</v>
          </cell>
          <cell r="H725" t="str">
            <v>APROVADO</v>
          </cell>
        </row>
        <row r="726">
          <cell r="B726" t="str">
            <v>LEONARDO VALENTE DE CAMARGO</v>
          </cell>
          <cell r="E726" t="str">
            <v>APROVADO</v>
          </cell>
          <cell r="F726" t="str">
            <v>APROVADO</v>
          </cell>
          <cell r="G726" t="str">
            <v>APROVADO</v>
          </cell>
          <cell r="H726" t="str">
            <v>APROVADO</v>
          </cell>
        </row>
        <row r="727">
          <cell r="B727" t="str">
            <v>LETICIA DE OLIVEIRA BORBA</v>
          </cell>
          <cell r="E727" t="str">
            <v>APROVADO</v>
          </cell>
          <cell r="F727" t="str">
            <v>APROVADO</v>
          </cell>
          <cell r="G727" t="str">
            <v>APROVADO</v>
          </cell>
          <cell r="H727" t="str">
            <v>APROVADO</v>
          </cell>
        </row>
        <row r="728">
          <cell r="B728" t="str">
            <v>LETICIA DE PIERRI</v>
          </cell>
          <cell r="E728" t="str">
            <v>APROVADO</v>
          </cell>
          <cell r="F728" t="str">
            <v>APROVADO</v>
          </cell>
          <cell r="G728" t="str">
            <v>APROVADO</v>
          </cell>
          <cell r="H728" t="str">
            <v>APROVADO</v>
          </cell>
        </row>
        <row r="729">
          <cell r="B729" t="str">
            <v>LETICIA FERNANDES BELO</v>
          </cell>
          <cell r="E729" t="str">
            <v>APROVADO</v>
          </cell>
          <cell r="F729" t="str">
            <v>APROVADO</v>
          </cell>
          <cell r="G729" t="str">
            <v>APROVADO</v>
          </cell>
          <cell r="H729" t="str">
            <v>APROVADO</v>
          </cell>
        </row>
        <row r="730">
          <cell r="B730" t="str">
            <v>LETICIA KRAFT</v>
          </cell>
          <cell r="E730" t="str">
            <v>FINALIZADO</v>
          </cell>
          <cell r="F730" t="str">
            <v>FINALIZADO</v>
          </cell>
          <cell r="G730" t="str">
            <v>FINALIZADO</v>
          </cell>
          <cell r="H730" t="str">
            <v>FINALIZADO</v>
          </cell>
        </row>
        <row r="731">
          <cell r="B731" t="str">
            <v>LETICIA NAZZARI</v>
          </cell>
          <cell r="E731" t="str">
            <v>APROVADO</v>
          </cell>
          <cell r="F731" t="str">
            <v>APROVADO</v>
          </cell>
          <cell r="G731" t="str">
            <v>APROVADO</v>
          </cell>
          <cell r="H731" t="str">
            <v>APROVADO</v>
          </cell>
        </row>
        <row r="732">
          <cell r="B732" t="str">
            <v>LETICIA PASCELLI SANT ANA SANTOS</v>
          </cell>
          <cell r="E732" t="str">
            <v>APROVADO</v>
          </cell>
          <cell r="F732" t="str">
            <v>APROVADO</v>
          </cell>
          <cell r="G732" t="str">
            <v>APROVADO</v>
          </cell>
          <cell r="H732" t="str">
            <v>APROVADO</v>
          </cell>
        </row>
        <row r="733">
          <cell r="B733" t="str">
            <v>LETICIA PERET ANTUNES HARDT</v>
          </cell>
          <cell r="E733" t="str">
            <v>APROVADO</v>
          </cell>
          <cell r="F733" t="str">
            <v>APROVADO</v>
          </cell>
          <cell r="G733" t="str">
            <v>APROVADO</v>
          </cell>
          <cell r="H733" t="str">
            <v>APROVADO</v>
          </cell>
        </row>
        <row r="734">
          <cell r="B734" t="str">
            <v>LETICIA POPHAL CUTISQUE</v>
          </cell>
          <cell r="E734" t="str">
            <v>APROVADO</v>
          </cell>
          <cell r="F734" t="str">
            <v>APROVADO</v>
          </cell>
          <cell r="G734" t="str">
            <v>APROVADO</v>
          </cell>
          <cell r="H734" t="str">
            <v>APROVADO</v>
          </cell>
        </row>
        <row r="735">
          <cell r="B735" t="str">
            <v>LETYCIA BOECHAT FERREIRA GOMES</v>
          </cell>
          <cell r="E735" t="str">
            <v>APROVADO</v>
          </cell>
          <cell r="F735" t="str">
            <v>APROVADO</v>
          </cell>
          <cell r="G735" t="str">
            <v>APROVADO</v>
          </cell>
          <cell r="H735" t="str">
            <v>APROVADO</v>
          </cell>
        </row>
        <row r="736">
          <cell r="B736" t="str">
            <v>LEVINO BERTOCHI JUNIOR</v>
          </cell>
          <cell r="E736" t="str">
            <v>APROVADO</v>
          </cell>
          <cell r="F736" t="str">
            <v>APROVADO</v>
          </cell>
          <cell r="G736" t="str">
            <v>APROVADO</v>
          </cell>
          <cell r="H736" t="str">
            <v>APROVADO</v>
          </cell>
        </row>
        <row r="737">
          <cell r="B737" t="str">
            <v>LIDIA ANA ZYTYNSKI MOURA</v>
          </cell>
          <cell r="E737" t="str">
            <v>APROVADO</v>
          </cell>
          <cell r="F737" t="str">
            <v>APROVADO</v>
          </cell>
          <cell r="G737" t="str">
            <v>APROVADO</v>
          </cell>
          <cell r="H737" t="str">
            <v>APROVADO</v>
          </cell>
        </row>
        <row r="738">
          <cell r="B738" t="str">
            <v>LIGIA ZIEGLER SAMUEL</v>
          </cell>
          <cell r="E738" t="str">
            <v>APROVADO</v>
          </cell>
          <cell r="F738" t="str">
            <v>APROVADO</v>
          </cell>
          <cell r="G738" t="str">
            <v>APROVADO</v>
          </cell>
          <cell r="H738" t="str">
            <v>APROVADO</v>
          </cell>
        </row>
        <row r="739">
          <cell r="B739" t="str">
            <v>LILIAN PAMELA TAPIA CARRENO DORNBUSCH</v>
          </cell>
          <cell r="E739" t="str">
            <v>APROVADO</v>
          </cell>
          <cell r="F739" t="str">
            <v>APROVADO</v>
          </cell>
          <cell r="G739" t="str">
            <v>APROVADO</v>
          </cell>
          <cell r="H739" t="str">
            <v>APROVADO</v>
          </cell>
        </row>
        <row r="740">
          <cell r="B740" t="str">
            <v>LILIANE DO ROCIO MARCONCIN</v>
          </cell>
          <cell r="E740" t="str">
            <v>APROVADO</v>
          </cell>
          <cell r="F740" t="str">
            <v>APROVADO</v>
          </cell>
          <cell r="G740" t="str">
            <v>APROVADO</v>
          </cell>
          <cell r="H740" t="str">
            <v>APROVADO</v>
          </cell>
        </row>
        <row r="741">
          <cell r="B741" t="str">
            <v>LILIANE MARIA BUSATO BATISTA</v>
          </cell>
          <cell r="E741" t="str">
            <v>APROVADO</v>
          </cell>
          <cell r="F741" t="str">
            <v>APROVADO</v>
          </cell>
          <cell r="G741" t="str">
            <v>APROVADO</v>
          </cell>
          <cell r="H741" t="str">
            <v>APROVADO</v>
          </cell>
        </row>
        <row r="742">
          <cell r="B742" t="str">
            <v>LINDOMAR WESSLER BONETI</v>
          </cell>
          <cell r="E742" t="str">
            <v>APROVADO</v>
          </cell>
          <cell r="F742" t="str">
            <v>APROVADO</v>
          </cell>
          <cell r="G742" t="str">
            <v>APROVADO</v>
          </cell>
          <cell r="H742" t="str">
            <v>APROVADO</v>
          </cell>
        </row>
        <row r="743">
          <cell r="B743" t="str">
            <v>LINDSEY MITIE NAKAKOGUE</v>
          </cell>
          <cell r="E743" t="str">
            <v>APROVADO</v>
          </cell>
          <cell r="F743" t="str">
            <v>APROVADO</v>
          </cell>
          <cell r="G743" t="str">
            <v>APROVADO</v>
          </cell>
          <cell r="H743" t="str">
            <v>APROVADO</v>
          </cell>
        </row>
        <row r="744">
          <cell r="B744" t="str">
            <v>LISIANE REIPS</v>
          </cell>
          <cell r="E744" t="str">
            <v>APROVADO</v>
          </cell>
          <cell r="F744" t="str">
            <v>APROVADO</v>
          </cell>
          <cell r="G744" t="str">
            <v>APROVADO</v>
          </cell>
          <cell r="H744" t="str">
            <v>APROVADO</v>
          </cell>
        </row>
        <row r="745">
          <cell r="B745" t="str">
            <v>LIVIA SISSI GONCALVES SOUZA PIECHNIK</v>
          </cell>
          <cell r="E745" t="str">
            <v>APROVADO</v>
          </cell>
          <cell r="F745" t="str">
            <v>APROVADO</v>
          </cell>
          <cell r="G745" t="str">
            <v>APROVADO</v>
          </cell>
          <cell r="H745" t="str">
            <v>APROVADO</v>
          </cell>
        </row>
        <row r="746">
          <cell r="B746" t="str">
            <v>LIZ RIBEIRO WALLIM</v>
          </cell>
          <cell r="E746" t="str">
            <v>APROVADO</v>
          </cell>
          <cell r="F746" t="str">
            <v>APROVADO</v>
          </cell>
          <cell r="G746" t="str">
            <v>APROVADO</v>
          </cell>
          <cell r="H746" t="str">
            <v>APROVADO</v>
          </cell>
        </row>
        <row r="747">
          <cell r="B747" t="str">
            <v>LIZ YUMI SAGUTI</v>
          </cell>
          <cell r="E747" t="str">
            <v>APROVADO</v>
          </cell>
          <cell r="F747" t="str">
            <v>APROVADO</v>
          </cell>
          <cell r="G747" t="str">
            <v>APROVADO</v>
          </cell>
          <cell r="H747" t="str">
            <v>APROVADO</v>
          </cell>
        </row>
        <row r="748">
          <cell r="B748" t="str">
            <v>LORENA BORTOLINI NAVARRO</v>
          </cell>
          <cell r="E748" t="str">
            <v>APROVADO</v>
          </cell>
          <cell r="F748" t="str">
            <v>APROVADO</v>
          </cell>
          <cell r="G748" t="str">
            <v>APROVADO</v>
          </cell>
          <cell r="H748" t="str">
            <v>APROVADO</v>
          </cell>
        </row>
        <row r="749">
          <cell r="B749" t="str">
            <v>LUANA CARLA FALCAO REBOUCAS</v>
          </cell>
          <cell r="E749" t="str">
            <v>APROVADO</v>
          </cell>
          <cell r="F749" t="str">
            <v>APROVADO</v>
          </cell>
          <cell r="G749" t="str">
            <v>APROVADO</v>
          </cell>
          <cell r="H749" t="str">
            <v>APROVADO</v>
          </cell>
        </row>
        <row r="750">
          <cell r="B750" t="str">
            <v>LUANA KAVA</v>
          </cell>
          <cell r="E750" t="str">
            <v>APROVADO</v>
          </cell>
          <cell r="F750" t="str">
            <v>APROVADO</v>
          </cell>
          <cell r="G750" t="str">
            <v>APROVADO</v>
          </cell>
          <cell r="H750" t="str">
            <v>APROVADO</v>
          </cell>
        </row>
        <row r="751">
          <cell r="B751" t="str">
            <v>LUANA TONIN</v>
          </cell>
          <cell r="E751" t="str">
            <v>APROVADO</v>
          </cell>
          <cell r="F751" t="str">
            <v>APROVADO</v>
          </cell>
          <cell r="G751" t="str">
            <v>APROVADO</v>
          </cell>
          <cell r="H751" t="str">
            <v>APROVADO</v>
          </cell>
        </row>
        <row r="752">
          <cell r="B752" t="str">
            <v>LUCAS BACH ADADA</v>
          </cell>
          <cell r="E752" t="str">
            <v>APROVADO</v>
          </cell>
          <cell r="F752" t="str">
            <v>APROVADO</v>
          </cell>
          <cell r="G752" t="str">
            <v>APROVADO</v>
          </cell>
          <cell r="H752" t="str">
            <v>APROVADO</v>
          </cell>
        </row>
        <row r="753">
          <cell r="B753" t="str">
            <v>LUCAS CASONATO JACINTO</v>
          </cell>
          <cell r="E753" t="str">
            <v>APROVADO</v>
          </cell>
          <cell r="F753" t="str">
            <v>APROVADO</v>
          </cell>
          <cell r="G753" t="str">
            <v>APROVADO</v>
          </cell>
          <cell r="H753" t="str">
            <v>APROVADO</v>
          </cell>
        </row>
        <row r="754">
          <cell r="B754" t="str">
            <v>LUCAS DE LIMA</v>
          </cell>
          <cell r="E754" t="str">
            <v>APROVADO</v>
          </cell>
          <cell r="F754" t="str">
            <v>APROVADO</v>
          </cell>
          <cell r="G754" t="str">
            <v>APROVADO</v>
          </cell>
          <cell r="H754" t="str">
            <v>APROVADO</v>
          </cell>
        </row>
        <row r="755">
          <cell r="B755" t="str">
            <v>LUCAS EMANUEL SILVA E OLIVEIRA</v>
          </cell>
          <cell r="E755" t="str">
            <v>APROVADO</v>
          </cell>
          <cell r="F755" t="str">
            <v>APROVADO</v>
          </cell>
          <cell r="G755" t="str">
            <v>APROVADO</v>
          </cell>
          <cell r="H755" t="str">
            <v>APROVADO</v>
          </cell>
        </row>
        <row r="756">
          <cell r="B756" t="str">
            <v>LUCAS LAUTERT DEZORDI</v>
          </cell>
          <cell r="E756" t="str">
            <v>APROVADO</v>
          </cell>
          <cell r="F756" t="str">
            <v>APROVADO</v>
          </cell>
          <cell r="G756" t="str">
            <v>APROVADO</v>
          </cell>
          <cell r="H756" t="str">
            <v>APROVADO</v>
          </cell>
        </row>
        <row r="757">
          <cell r="B757" t="str">
            <v>LUCELIA MARIA GONCALVES</v>
          </cell>
          <cell r="E757" t="str">
            <v>APROVADO</v>
          </cell>
          <cell r="F757" t="str">
            <v>APROVADO</v>
          </cell>
          <cell r="G757" t="str">
            <v>APROVADO</v>
          </cell>
          <cell r="H757" t="str">
            <v>APROVADO</v>
          </cell>
        </row>
        <row r="758">
          <cell r="B758" t="str">
            <v>LUCI KEIKO KUROMOTO DE CASTRO</v>
          </cell>
          <cell r="E758" t="str">
            <v>APROVADO</v>
          </cell>
          <cell r="F758" t="str">
            <v>APROVADO</v>
          </cell>
          <cell r="G758" t="str">
            <v>APROVADO</v>
          </cell>
          <cell r="H758" t="str">
            <v>APROVADO</v>
          </cell>
        </row>
        <row r="759">
          <cell r="B759" t="str">
            <v>LUCI MICHELON LOHMANN</v>
          </cell>
          <cell r="E759" t="str">
            <v>APROVADO</v>
          </cell>
          <cell r="F759" t="str">
            <v>APROVADO</v>
          </cell>
          <cell r="G759" t="str">
            <v>APROVADO</v>
          </cell>
          <cell r="H759" t="str">
            <v>APROVADO</v>
          </cell>
        </row>
        <row r="760">
          <cell r="B760" t="str">
            <v>LUCIA DE NORONHA</v>
          </cell>
          <cell r="E760" t="str">
            <v>APROVADO</v>
          </cell>
          <cell r="F760" t="str">
            <v>APROVADO</v>
          </cell>
          <cell r="G760" t="str">
            <v>APROVADO</v>
          </cell>
          <cell r="H760" t="str">
            <v>APROVADO</v>
          </cell>
        </row>
        <row r="761">
          <cell r="B761" t="str">
            <v>LUCIANA ALVES FOGACA</v>
          </cell>
          <cell r="E761" t="str">
            <v>APROVADO</v>
          </cell>
          <cell r="F761" t="str">
            <v>APROVADO</v>
          </cell>
          <cell r="G761" t="str">
            <v>APROVADO</v>
          </cell>
          <cell r="H761" t="str">
            <v>APROVADO</v>
          </cell>
        </row>
        <row r="762">
          <cell r="B762" t="str">
            <v>LUCIANA ANDREIA LASARO MANGIERI</v>
          </cell>
          <cell r="E762" t="str">
            <v>APROVADO</v>
          </cell>
          <cell r="F762" t="str">
            <v>APROVADO</v>
          </cell>
          <cell r="G762" t="str">
            <v>APROVADO</v>
          </cell>
          <cell r="H762" t="str">
            <v>APROVADO</v>
          </cell>
        </row>
        <row r="763">
          <cell r="B763" t="str">
            <v>LUCIANA BANDEIRA MENDEZ RIBEIRO</v>
          </cell>
          <cell r="E763" t="str">
            <v>APROVADO</v>
          </cell>
          <cell r="F763" t="str">
            <v>APROVADO</v>
          </cell>
          <cell r="G763" t="str">
            <v>APROVADO</v>
          </cell>
          <cell r="H763" t="str">
            <v>APROVADO</v>
          </cell>
        </row>
        <row r="764">
          <cell r="B764" t="str">
            <v>LUCIANA CAETANO DA SILVA</v>
          </cell>
          <cell r="E764" t="str">
            <v>APROVADO</v>
          </cell>
          <cell r="F764" t="str">
            <v>APROVADO</v>
          </cell>
          <cell r="G764" t="str">
            <v>APROVADO</v>
          </cell>
          <cell r="H764" t="str">
            <v>APROVADO</v>
          </cell>
        </row>
        <row r="765">
          <cell r="B765" t="str">
            <v>LUCIANA ELISABETE SAVARIS</v>
          </cell>
          <cell r="E765" t="str">
            <v>APROVADO</v>
          </cell>
          <cell r="F765" t="str">
            <v>APROVADO</v>
          </cell>
          <cell r="G765" t="str">
            <v>APROVADO</v>
          </cell>
          <cell r="H765" t="str">
            <v>APROVADO</v>
          </cell>
        </row>
        <row r="766">
          <cell r="B766" t="str">
            <v>LUCIANA GIBBERT</v>
          </cell>
          <cell r="E766" t="str">
            <v>APROVADO</v>
          </cell>
          <cell r="F766" t="str">
            <v>APROVADO</v>
          </cell>
          <cell r="G766" t="str">
            <v>APROVADO</v>
          </cell>
          <cell r="H766" t="str">
            <v>APROVADO</v>
          </cell>
        </row>
        <row r="767">
          <cell r="B767" t="str">
            <v>LUCIANA REIS AZEVEDO ALANIS</v>
          </cell>
          <cell r="E767" t="str">
            <v>APROVADO</v>
          </cell>
          <cell r="F767" t="str">
            <v>APROVADO</v>
          </cell>
          <cell r="G767" t="str">
            <v>APROVADO</v>
          </cell>
          <cell r="H767" t="str">
            <v>APROVADO</v>
          </cell>
        </row>
        <row r="768">
          <cell r="B768" t="str">
            <v>LUCIANE HILU</v>
          </cell>
          <cell r="E768" t="str">
            <v>APROVADO</v>
          </cell>
          <cell r="F768" t="str">
            <v>APROVADO</v>
          </cell>
          <cell r="G768" t="str">
            <v>APROVADO</v>
          </cell>
          <cell r="H768" t="str">
            <v>APROVADO</v>
          </cell>
        </row>
        <row r="769">
          <cell r="B769" t="str">
            <v>LUCIANO ALVES LEANDRO</v>
          </cell>
          <cell r="E769" t="str">
            <v>APROVADO</v>
          </cell>
          <cell r="F769" t="str">
            <v>APROVADO</v>
          </cell>
          <cell r="G769" t="str">
            <v>APROVADO</v>
          </cell>
          <cell r="H769" t="str">
            <v>APROVADO</v>
          </cell>
        </row>
        <row r="770">
          <cell r="B770" t="str">
            <v>LUCIANO AYRES DE MELLO</v>
          </cell>
          <cell r="E770" t="str">
            <v>APROVADO</v>
          </cell>
          <cell r="F770" t="str">
            <v>APROVADO</v>
          </cell>
          <cell r="G770" t="str">
            <v>APROVADO</v>
          </cell>
          <cell r="H770" t="str">
            <v>APROVADO</v>
          </cell>
        </row>
        <row r="771">
          <cell r="B771" t="str">
            <v>LUCIENE MARTINS MOREIRA</v>
          </cell>
          <cell r="E771" t="str">
            <v>APROVADO</v>
          </cell>
          <cell r="F771" t="str">
            <v>APROVADO</v>
          </cell>
          <cell r="G771" t="str">
            <v>APROVADO</v>
          </cell>
          <cell r="H771" t="str">
            <v>APROVADO</v>
          </cell>
        </row>
        <row r="772">
          <cell r="B772" t="str">
            <v>LUCIENE PIMENTEL DA SILVA</v>
          </cell>
          <cell r="E772" t="str">
            <v>APROVADO</v>
          </cell>
          <cell r="F772" t="str">
            <v>APROVADO</v>
          </cell>
          <cell r="G772" t="str">
            <v>APROVADO</v>
          </cell>
          <cell r="H772" t="str">
            <v>APROVADO</v>
          </cell>
        </row>
        <row r="773">
          <cell r="B773" t="str">
            <v>LUCIMARY DE CASTRO SYLVESTRE</v>
          </cell>
          <cell r="E773" t="str">
            <v>APROVADO</v>
          </cell>
          <cell r="F773" t="str">
            <v>APROVADO</v>
          </cell>
          <cell r="G773" t="str">
            <v>APROVADO</v>
          </cell>
          <cell r="H773" t="str">
            <v>APROVADO</v>
          </cell>
        </row>
        <row r="774">
          <cell r="B774" t="str">
            <v>LUCIO BAENA DE MELO</v>
          </cell>
          <cell r="E774" t="str">
            <v>APROVADO</v>
          </cell>
          <cell r="F774" t="str">
            <v>APROVADO</v>
          </cell>
          <cell r="G774" t="str">
            <v>APROVADO</v>
          </cell>
          <cell r="H774" t="str">
            <v>APROVADO</v>
          </cell>
        </row>
        <row r="775">
          <cell r="B775" t="str">
            <v>LUCIO TRACZ</v>
          </cell>
          <cell r="E775" t="str">
            <v>APROVADO</v>
          </cell>
          <cell r="F775" t="str">
            <v>APROVADO</v>
          </cell>
          <cell r="G775" t="str">
            <v>APROVADO</v>
          </cell>
          <cell r="H775" t="str">
            <v>APROVADO</v>
          </cell>
        </row>
        <row r="776">
          <cell r="B776" t="str">
            <v>LUDMILA ANDRZEJEWSKI CULPI</v>
          </cell>
          <cell r="E776" t="str">
            <v>APROVADO</v>
          </cell>
          <cell r="F776" t="str">
            <v>APROVADO</v>
          </cell>
          <cell r="G776" t="str">
            <v>APROVADO</v>
          </cell>
          <cell r="H776" t="str">
            <v>APROVADO</v>
          </cell>
        </row>
        <row r="777">
          <cell r="B777" t="str">
            <v>LUIS ALEXANDRE CARTA WINTER</v>
          </cell>
          <cell r="E777" t="str">
            <v>APROVADO</v>
          </cell>
          <cell r="F777" t="str">
            <v>APROVADO</v>
          </cell>
          <cell r="G777" t="str">
            <v>APROVADO</v>
          </cell>
          <cell r="H777" t="str">
            <v>APROVADO</v>
          </cell>
        </row>
        <row r="778">
          <cell r="B778" t="str">
            <v>LUIS CESAR DE CARLI TURCO</v>
          </cell>
          <cell r="E778" t="str">
            <v>APROVADO</v>
          </cell>
          <cell r="F778" t="str">
            <v>APROVADO</v>
          </cell>
          <cell r="G778" t="str">
            <v>APROVADO</v>
          </cell>
          <cell r="H778" t="str">
            <v>APROVADO</v>
          </cell>
        </row>
        <row r="779">
          <cell r="B779" t="str">
            <v>LUIS DARIO SEPULVEDA</v>
          </cell>
          <cell r="E779" t="str">
            <v>APROVADO</v>
          </cell>
          <cell r="F779" t="str">
            <v>APROVADO</v>
          </cell>
          <cell r="G779" t="str">
            <v>APROVADO</v>
          </cell>
          <cell r="H779" t="str">
            <v>APROVADO</v>
          </cell>
        </row>
        <row r="780">
          <cell r="B780" t="str">
            <v>LUIS FERNANDO FONSECA KASPRZAK</v>
          </cell>
          <cell r="E780" t="str">
            <v>APROVADO</v>
          </cell>
          <cell r="F780" t="str">
            <v>APROVADO</v>
          </cell>
          <cell r="G780" t="str">
            <v>APROVADO</v>
          </cell>
          <cell r="H780" t="str">
            <v>APROVADO</v>
          </cell>
        </row>
        <row r="781">
          <cell r="B781" t="str">
            <v>LUIS MAURO MOURA</v>
          </cell>
          <cell r="E781" t="str">
            <v>APROVADO</v>
          </cell>
          <cell r="F781" t="str">
            <v>APROVADO</v>
          </cell>
          <cell r="G781" t="str">
            <v>APROVADO</v>
          </cell>
          <cell r="H781" t="str">
            <v>APROVADO</v>
          </cell>
        </row>
        <row r="782">
          <cell r="B782" t="str">
            <v>LUIS SALVADOR PETRUCCI GNOATO</v>
          </cell>
          <cell r="E782" t="str">
            <v>APROVADO</v>
          </cell>
          <cell r="F782" t="str">
            <v>APROVADO</v>
          </cell>
          <cell r="G782" t="str">
            <v>APROVADO</v>
          </cell>
          <cell r="H782" t="str">
            <v>APROVADO</v>
          </cell>
        </row>
        <row r="783">
          <cell r="B783" t="str">
            <v>LUIZ ALBERTO BLANCHET</v>
          </cell>
          <cell r="E783" t="str">
            <v>APROVADO</v>
          </cell>
          <cell r="F783" t="str">
            <v>APROVADO</v>
          </cell>
          <cell r="G783" t="str">
            <v>APROVADO</v>
          </cell>
          <cell r="H783" t="str">
            <v>APROVADO</v>
          </cell>
        </row>
        <row r="784">
          <cell r="B784" t="str">
            <v>LUIZ ALBERTO PEREIRA RIBEIRO</v>
          </cell>
          <cell r="E784" t="str">
            <v>APROVADO</v>
          </cell>
          <cell r="F784" t="str">
            <v>APROVADO</v>
          </cell>
          <cell r="G784" t="str">
            <v>APROVADO</v>
          </cell>
          <cell r="H784" t="str">
            <v>APROVADO</v>
          </cell>
        </row>
        <row r="785">
          <cell r="B785" t="str">
            <v>LUIZ ALEXANDRE SOLANO ROSSI</v>
          </cell>
          <cell r="E785" t="str">
            <v>APROVADO</v>
          </cell>
          <cell r="F785" t="str">
            <v>APROVADO</v>
          </cell>
          <cell r="G785" t="str">
            <v>APROVADO</v>
          </cell>
          <cell r="H785" t="str">
            <v>APROVADO</v>
          </cell>
        </row>
        <row r="786">
          <cell r="B786" t="str">
            <v>LUIZ ANTONIO MARTINS BARBOSA JUNIOR</v>
          </cell>
          <cell r="E786" t="str">
            <v>APROVADO</v>
          </cell>
          <cell r="F786" t="str">
            <v>APROVADO</v>
          </cell>
          <cell r="G786" t="str">
            <v>APROVADO</v>
          </cell>
          <cell r="H786" t="str">
            <v>APROVADO</v>
          </cell>
        </row>
        <row r="787">
          <cell r="B787" t="str">
            <v>LUIZ ANTONIO PAVAO</v>
          </cell>
          <cell r="E787" t="str">
            <v>APROVADO</v>
          </cell>
          <cell r="F787" t="str">
            <v>APROVADO</v>
          </cell>
          <cell r="G787" t="str">
            <v>APROVADO</v>
          </cell>
          <cell r="H787" t="str">
            <v>APROVADO</v>
          </cell>
        </row>
        <row r="788">
          <cell r="B788" t="str">
            <v>LUIZ AUGUSTO DE PAULA LIMA JUNIOR</v>
          </cell>
          <cell r="E788" t="str">
            <v>APROVADO</v>
          </cell>
          <cell r="F788" t="str">
            <v>APROVADO</v>
          </cell>
          <cell r="G788" t="str">
            <v>APROVADO</v>
          </cell>
          <cell r="H788" t="str">
            <v>APROVADO</v>
          </cell>
        </row>
        <row r="789">
          <cell r="B789" t="str">
            <v>LUIZ CARLOS PY FLORES</v>
          </cell>
          <cell r="E789" t="str">
            <v>APROVADO</v>
          </cell>
          <cell r="F789" t="str">
            <v>APROVADO</v>
          </cell>
          <cell r="G789" t="str">
            <v>APROVADO</v>
          </cell>
          <cell r="H789" t="str">
            <v>APROVADO</v>
          </cell>
        </row>
        <row r="790">
          <cell r="B790" t="str">
            <v>LUIZ CARLOS RIBEIRO NEDUZIAK</v>
          </cell>
          <cell r="E790" t="str">
            <v>APROVADO</v>
          </cell>
          <cell r="F790" t="str">
            <v>APROVADO</v>
          </cell>
          <cell r="G790" t="str">
            <v>APROVADO</v>
          </cell>
          <cell r="H790" t="str">
            <v>APROVADO</v>
          </cell>
        </row>
        <row r="791">
          <cell r="B791" t="str">
            <v>LUIZ CARLOS VON BAHTEN</v>
          </cell>
          <cell r="E791" t="str">
            <v>APROVADO</v>
          </cell>
          <cell r="F791" t="str">
            <v>APROVADO</v>
          </cell>
          <cell r="G791" t="str">
            <v>APROVADO</v>
          </cell>
          <cell r="H791" t="str">
            <v>APROVADO</v>
          </cell>
        </row>
        <row r="792">
          <cell r="B792" t="str">
            <v>LUIZ CESAR GUARITA SOUZA</v>
          </cell>
          <cell r="E792" t="str">
            <v>APROVADO</v>
          </cell>
          <cell r="F792" t="str">
            <v>APROVADO</v>
          </cell>
          <cell r="G792" t="str">
            <v>APROVADO</v>
          </cell>
          <cell r="H792" t="str">
            <v>APROVADO</v>
          </cell>
        </row>
        <row r="793">
          <cell r="B793" t="str">
            <v>LUIZ EDUARDO DE PAULA</v>
          </cell>
          <cell r="E793" t="str">
            <v>APROVADO</v>
          </cell>
          <cell r="F793" t="str">
            <v>APROVADO</v>
          </cell>
          <cell r="G793" t="str">
            <v>APROVADO</v>
          </cell>
          <cell r="H793" t="str">
            <v>APROVADO</v>
          </cell>
        </row>
        <row r="794">
          <cell r="B794" t="str">
            <v>LUIZ ERNANDES KOZICKI</v>
          </cell>
          <cell r="E794" t="str">
            <v>APROVADO</v>
          </cell>
          <cell r="F794" t="str">
            <v>APROVADO</v>
          </cell>
          <cell r="G794" t="str">
            <v>APROVADO</v>
          </cell>
          <cell r="H794" t="str">
            <v>APROVADO</v>
          </cell>
        </row>
        <row r="795">
          <cell r="B795" t="str">
            <v>LUIZ FELIPE DE OLIVEIRA PEREIRA</v>
          </cell>
          <cell r="E795" t="str">
            <v>APROVADO</v>
          </cell>
          <cell r="F795" t="str">
            <v>APROVADO</v>
          </cell>
          <cell r="G795" t="str">
            <v>APROVADO</v>
          </cell>
          <cell r="H795" t="str">
            <v>APROVADO</v>
          </cell>
        </row>
        <row r="796">
          <cell r="B796" t="str">
            <v>LUIZ FERNANDO BIANCHINI</v>
          </cell>
          <cell r="E796" t="str">
            <v>APROVADO</v>
          </cell>
          <cell r="F796" t="str">
            <v>APROVADO</v>
          </cell>
          <cell r="G796" t="str">
            <v>APROVADO</v>
          </cell>
          <cell r="H796" t="str">
            <v>APROVADO</v>
          </cell>
        </row>
        <row r="797">
          <cell r="B797" t="str">
            <v>LUIZ FERNANDO KUNII</v>
          </cell>
          <cell r="E797" t="str">
            <v>APROVADO</v>
          </cell>
          <cell r="F797" t="str">
            <v>APROVADO</v>
          </cell>
          <cell r="G797" t="str">
            <v>APROVADO</v>
          </cell>
          <cell r="H797" t="str">
            <v>APROVADO</v>
          </cell>
        </row>
        <row r="798">
          <cell r="B798" t="str">
            <v>LUIZ FERNANDO PEREIRA</v>
          </cell>
          <cell r="E798" t="str">
            <v>APROVADO</v>
          </cell>
          <cell r="F798" t="str">
            <v>APROVADO</v>
          </cell>
          <cell r="G798" t="str">
            <v>APROVADO</v>
          </cell>
          <cell r="H798" t="str">
            <v>APROVADO</v>
          </cell>
        </row>
        <row r="799">
          <cell r="B799" t="str">
            <v>LUIZ FERNANDO VELOSO BORBA NAVOLAR</v>
          </cell>
          <cell r="E799" t="str">
            <v>APROVADO</v>
          </cell>
          <cell r="F799" t="str">
            <v>APROVADO</v>
          </cell>
          <cell r="G799" t="str">
            <v>APROVADO</v>
          </cell>
          <cell r="H799" t="str">
            <v>APROVADO</v>
          </cell>
        </row>
        <row r="800">
          <cell r="B800" t="str">
            <v>LUIZ GUILHERME ACHCAR CAPRIGLIONE</v>
          </cell>
          <cell r="E800" t="str">
            <v>APROVADO</v>
          </cell>
          <cell r="F800" t="str">
            <v>APROVADO</v>
          </cell>
          <cell r="G800" t="str">
            <v>APROVADO</v>
          </cell>
          <cell r="H800" t="str">
            <v>APROVADO</v>
          </cell>
        </row>
        <row r="801">
          <cell r="B801" t="str">
            <v>LUIZ GUILHERME NUNES CICOTTE</v>
          </cell>
          <cell r="E801" t="str">
            <v>APROVADO</v>
          </cell>
          <cell r="F801" t="str">
            <v>APROVADO</v>
          </cell>
          <cell r="G801" t="str">
            <v>APROVADO</v>
          </cell>
          <cell r="H801" t="str">
            <v>APROVADO</v>
          </cell>
        </row>
        <row r="802">
          <cell r="B802" t="str">
            <v>LUIZ GUSTAVO PICCOLI DE MELO</v>
          </cell>
          <cell r="E802" t="str">
            <v>APROVADO</v>
          </cell>
          <cell r="F802" t="str">
            <v>APROVADO</v>
          </cell>
          <cell r="G802" t="str">
            <v>APROVADO</v>
          </cell>
          <cell r="H802" t="str">
            <v>APROVADO</v>
          </cell>
        </row>
        <row r="803">
          <cell r="B803" t="str">
            <v>LUIZ GUSTAVO PUJOL</v>
          </cell>
          <cell r="E803" t="str">
            <v>APROVADO</v>
          </cell>
          <cell r="F803" t="str">
            <v>APROVADO</v>
          </cell>
          <cell r="G803" t="str">
            <v>APROVADO</v>
          </cell>
          <cell r="H803" t="str">
            <v>APROVADO</v>
          </cell>
        </row>
        <row r="804">
          <cell r="B804" t="str">
            <v>LUIZ GUSTAVO THADEO BRAGA</v>
          </cell>
          <cell r="E804" t="str">
            <v>APROVADO</v>
          </cell>
          <cell r="F804" t="str">
            <v>APROVADO</v>
          </cell>
          <cell r="G804" t="str">
            <v>APROVADO</v>
          </cell>
          <cell r="H804" t="str">
            <v>APROVADO</v>
          </cell>
        </row>
        <row r="805">
          <cell r="B805" t="str">
            <v>LUIZ HENRIQUE ELOY AMADO</v>
          </cell>
          <cell r="E805" t="str">
            <v>APROVADO</v>
          </cell>
          <cell r="F805" t="str">
            <v>APROVADO</v>
          </cell>
          <cell r="G805" t="str">
            <v>APROVADO</v>
          </cell>
          <cell r="H805" t="str">
            <v>APROVADO</v>
          </cell>
        </row>
        <row r="806">
          <cell r="B806" t="str">
            <v>LUIZA SVIESK SPRUNG</v>
          </cell>
          <cell r="E806" t="str">
            <v>APROVADO</v>
          </cell>
          <cell r="F806" t="str">
            <v>APROVADO</v>
          </cell>
          <cell r="G806" t="str">
            <v>APROVADO</v>
          </cell>
          <cell r="H806" t="str">
            <v>APROVADO</v>
          </cell>
        </row>
        <row r="807">
          <cell r="B807" t="str">
            <v>LUKA DAVID LECHINEWSKI</v>
          </cell>
          <cell r="E807" t="str">
            <v>APROVADO</v>
          </cell>
          <cell r="F807" t="str">
            <v>APROVADO</v>
          </cell>
          <cell r="G807" t="str">
            <v>APROVADO</v>
          </cell>
          <cell r="H807" t="str">
            <v>APROVADO</v>
          </cell>
        </row>
        <row r="808">
          <cell r="B808" t="str">
            <v>LYDIA VARELA GUERINO</v>
          </cell>
          <cell r="E808" t="str">
            <v>APROVADO</v>
          </cell>
          <cell r="F808" t="str">
            <v>APROVADO</v>
          </cell>
          <cell r="G808" t="str">
            <v>APROVADO</v>
          </cell>
          <cell r="H808" t="str">
            <v>APROVADO</v>
          </cell>
        </row>
        <row r="809">
          <cell r="B809" t="str">
            <v>MADALENA DE FARIA SAMPAIO</v>
          </cell>
          <cell r="E809" t="str">
            <v>APROVADO</v>
          </cell>
          <cell r="F809" t="str">
            <v>APROVADO</v>
          </cell>
          <cell r="G809" t="str">
            <v>APROVADO</v>
          </cell>
          <cell r="H809" t="str">
            <v>APROVADO</v>
          </cell>
        </row>
        <row r="810">
          <cell r="B810" t="str">
            <v>MAGDA ROSA RAMOS DA CRUZ</v>
          </cell>
          <cell r="E810" t="str">
            <v>APROVADO</v>
          </cell>
          <cell r="F810" t="str">
            <v>APROVADO</v>
          </cell>
          <cell r="G810" t="str">
            <v>APROVADO</v>
          </cell>
          <cell r="H810" t="str">
            <v>APROVADO</v>
          </cell>
        </row>
        <row r="811">
          <cell r="B811" t="str">
            <v>MAIARA SILVA TRAMONTE</v>
          </cell>
          <cell r="E811" t="str">
            <v>APROVADO</v>
          </cell>
          <cell r="F811" t="str">
            <v>APROVADO</v>
          </cell>
          <cell r="G811" t="str">
            <v>APROVADO</v>
          </cell>
          <cell r="H811" t="str">
            <v>APROVADO</v>
          </cell>
        </row>
        <row r="812">
          <cell r="B812" t="str">
            <v>MAICRIS FERNANDES</v>
          </cell>
          <cell r="E812" t="str">
            <v>APROVADO</v>
          </cell>
          <cell r="F812" t="str">
            <v>APROVADO</v>
          </cell>
          <cell r="G812" t="str">
            <v>APROVADO</v>
          </cell>
          <cell r="H812" t="str">
            <v>APROVADO</v>
          </cell>
        </row>
        <row r="813">
          <cell r="B813" t="str">
            <v>MAIRA CARVALHO GALLUCCI</v>
          </cell>
          <cell r="E813" t="str">
            <v>APROVADO</v>
          </cell>
          <cell r="F813" t="str">
            <v>APROVADO</v>
          </cell>
          <cell r="G813" t="str">
            <v>APROVADO</v>
          </cell>
          <cell r="H813" t="str">
            <v>APROVADO</v>
          </cell>
        </row>
        <row r="814">
          <cell r="B814" t="str">
            <v>MAISA KELLY NODARI</v>
          </cell>
          <cell r="E814" t="str">
            <v>APROVADO</v>
          </cell>
          <cell r="F814" t="str">
            <v>APROVADO</v>
          </cell>
          <cell r="G814" t="str">
            <v>APROVADO</v>
          </cell>
          <cell r="H814" t="str">
            <v>APROVADO</v>
          </cell>
        </row>
        <row r="815">
          <cell r="B815" t="str">
            <v>MANOEL VALERIO DA SILVEIRA NETO</v>
          </cell>
          <cell r="E815" t="str">
            <v>APROVADO</v>
          </cell>
          <cell r="F815" t="str">
            <v>APROVADO</v>
          </cell>
          <cell r="G815" t="str">
            <v>APROVADO</v>
          </cell>
          <cell r="H815" t="str">
            <v>APROVADO</v>
          </cell>
        </row>
        <row r="816">
          <cell r="B816" t="str">
            <v>MANOELA MASSUCHETTO JAZAR</v>
          </cell>
          <cell r="E816" t="str">
            <v>APROVADO</v>
          </cell>
          <cell r="F816" t="str">
            <v>APROVADO</v>
          </cell>
          <cell r="G816" t="str">
            <v>APROVADO</v>
          </cell>
          <cell r="H816" t="str">
            <v>APROVADO</v>
          </cell>
        </row>
        <row r="817">
          <cell r="B817" t="str">
            <v>MARA FRANCIELI MOTIN</v>
          </cell>
          <cell r="E817" t="str">
            <v>APROVADO</v>
          </cell>
          <cell r="F817" t="str">
            <v>APROVADO</v>
          </cell>
          <cell r="G817" t="str">
            <v>APROVADO</v>
          </cell>
          <cell r="H817" t="str">
            <v>APROVADO</v>
          </cell>
        </row>
        <row r="818">
          <cell r="B818" t="str">
            <v>MARCEL JAQUETO</v>
          </cell>
          <cell r="E818" t="str">
            <v>APROVADO</v>
          </cell>
          <cell r="F818" t="str">
            <v>APROVADO</v>
          </cell>
          <cell r="G818" t="str">
            <v>APROVADO</v>
          </cell>
          <cell r="H818" t="str">
            <v>APROVADO</v>
          </cell>
        </row>
        <row r="819">
          <cell r="B819" t="str">
            <v>MARCELO AUGUSTO GONCALVES BARDI</v>
          </cell>
          <cell r="E819" t="str">
            <v>APROVADO</v>
          </cell>
          <cell r="F819" t="str">
            <v>APROVADO</v>
          </cell>
          <cell r="G819" t="str">
            <v>APROVADO</v>
          </cell>
          <cell r="H819" t="str">
            <v>APROVADO</v>
          </cell>
        </row>
        <row r="820">
          <cell r="B820" t="str">
            <v>MARCELO CARDOSO FERRARI</v>
          </cell>
          <cell r="E820" t="str">
            <v>APROVADO</v>
          </cell>
          <cell r="F820" t="str">
            <v>APROVADO</v>
          </cell>
          <cell r="G820" t="str">
            <v>APROVADO</v>
          </cell>
          <cell r="H820" t="str">
            <v>APROVADO</v>
          </cell>
        </row>
        <row r="821">
          <cell r="B821" t="str">
            <v>MARCELO CICHACZ</v>
          </cell>
          <cell r="E821" t="str">
            <v>APROVADO</v>
          </cell>
          <cell r="F821" t="str">
            <v>APROVADO</v>
          </cell>
          <cell r="G821" t="str">
            <v>APROVADO</v>
          </cell>
          <cell r="H821" t="str">
            <v>APROVADO</v>
          </cell>
        </row>
        <row r="822">
          <cell r="B822" t="str">
            <v>MARCELO DAUDT VON DER HEYDE</v>
          </cell>
          <cell r="E822" t="str">
            <v>APROVADO</v>
          </cell>
          <cell r="F822" t="str">
            <v>APROVADO</v>
          </cell>
          <cell r="G822" t="str">
            <v>APROVADO</v>
          </cell>
          <cell r="H822" t="str">
            <v>APROVADO</v>
          </cell>
        </row>
        <row r="823">
          <cell r="B823" t="str">
            <v>MARCELO DO CARMO CAMARGO GAIOTTO</v>
          </cell>
          <cell r="E823" t="str">
            <v>APROVADO</v>
          </cell>
          <cell r="F823" t="str">
            <v>APROVADO</v>
          </cell>
          <cell r="G823" t="str">
            <v>APROVADO</v>
          </cell>
          <cell r="H823" t="str">
            <v>APROVADO</v>
          </cell>
        </row>
        <row r="824">
          <cell r="B824" t="str">
            <v>MARCELO EDUARDO PELLENZ</v>
          </cell>
          <cell r="E824" t="str">
            <v>APROVADO</v>
          </cell>
          <cell r="F824" t="str">
            <v>APROVADO</v>
          </cell>
          <cell r="G824" t="str">
            <v>APROVADO</v>
          </cell>
          <cell r="H824" t="str">
            <v>APROVADO</v>
          </cell>
        </row>
        <row r="825">
          <cell r="B825" t="str">
            <v>MARCELO JOSE MARCOLLA</v>
          </cell>
          <cell r="E825" t="str">
            <v>APROVADO</v>
          </cell>
          <cell r="F825" t="str">
            <v>APROVADO</v>
          </cell>
          <cell r="G825" t="str">
            <v>APROVADO</v>
          </cell>
          <cell r="H825" t="str">
            <v>APROVADO</v>
          </cell>
        </row>
        <row r="826">
          <cell r="B826" t="str">
            <v>MARCELO ORTEGA MASSAMBANI</v>
          </cell>
          <cell r="E826" t="str">
            <v>APROVADO</v>
          </cell>
          <cell r="F826" t="str">
            <v>APROVADO</v>
          </cell>
          <cell r="G826" t="str">
            <v>APROVADO</v>
          </cell>
          <cell r="H826" t="str">
            <v>APROVADO</v>
          </cell>
        </row>
        <row r="827">
          <cell r="B827" t="str">
            <v>MARCELO PILLONETTO</v>
          </cell>
          <cell r="E827" t="str">
            <v>APROVADO</v>
          </cell>
          <cell r="F827" t="str">
            <v>APROVADO</v>
          </cell>
          <cell r="G827" t="str">
            <v>APROVADO</v>
          </cell>
          <cell r="H827" t="str">
            <v>APROVADO</v>
          </cell>
        </row>
        <row r="828">
          <cell r="B828" t="str">
            <v>MARCELO PONESTKI OLIVEIRA</v>
          </cell>
          <cell r="E828" t="str">
            <v>APROVADO</v>
          </cell>
          <cell r="F828" t="str">
            <v>APROVADO</v>
          </cell>
          <cell r="G828" t="str">
            <v>APROVADO</v>
          </cell>
          <cell r="H828" t="str">
            <v>APROVADO</v>
          </cell>
        </row>
        <row r="829">
          <cell r="B829" t="str">
            <v>MARCELO PUPPI MUNHOZ</v>
          </cell>
          <cell r="E829" t="str">
            <v>APROVADO</v>
          </cell>
          <cell r="F829" t="str">
            <v>APROVADO</v>
          </cell>
          <cell r="G829" t="str">
            <v>APROVADO</v>
          </cell>
          <cell r="H829" t="str">
            <v>APROVADO</v>
          </cell>
        </row>
        <row r="830">
          <cell r="B830" t="str">
            <v>MARCELO RUDEK</v>
          </cell>
          <cell r="E830" t="str">
            <v>APROVADO</v>
          </cell>
          <cell r="F830" t="str">
            <v>APROVADO</v>
          </cell>
          <cell r="G830" t="str">
            <v>APROVADO</v>
          </cell>
          <cell r="H830" t="str">
            <v>APROVADO</v>
          </cell>
        </row>
        <row r="831">
          <cell r="B831" t="str">
            <v>MARCELO TAVORA MIRA</v>
          </cell>
          <cell r="E831" t="str">
            <v>APROVADO</v>
          </cell>
          <cell r="F831" t="str">
            <v>APROVADO</v>
          </cell>
          <cell r="G831" t="str">
            <v>APROVADO</v>
          </cell>
          <cell r="H831" t="str">
            <v>APROVADO</v>
          </cell>
        </row>
        <row r="832">
          <cell r="B832" t="str">
            <v>MARCIA DE HOLANDA NOZAKI</v>
          </cell>
          <cell r="E832" t="str">
            <v>APROVADO</v>
          </cell>
          <cell r="F832" t="str">
            <v>APROVADO</v>
          </cell>
          <cell r="G832" t="str">
            <v>APROVADO</v>
          </cell>
          <cell r="H832" t="str">
            <v>APROVADO</v>
          </cell>
        </row>
        <row r="833">
          <cell r="B833" t="str">
            <v>MARCIA OLANDOSKI</v>
          </cell>
          <cell r="E833" t="str">
            <v>APROVADO</v>
          </cell>
          <cell r="F833" t="str">
            <v>APROVADO</v>
          </cell>
          <cell r="G833" t="str">
            <v>APROVADO</v>
          </cell>
          <cell r="H833" t="str">
            <v>APROVADO</v>
          </cell>
        </row>
        <row r="834">
          <cell r="B834" t="str">
            <v>MARCIA RAPACCI</v>
          </cell>
          <cell r="E834" t="str">
            <v>APROVADO</v>
          </cell>
          <cell r="F834" t="str">
            <v>APROVADO</v>
          </cell>
          <cell r="G834" t="str">
            <v>APROVADO</v>
          </cell>
          <cell r="H834" t="str">
            <v>APROVADO</v>
          </cell>
        </row>
        <row r="835">
          <cell r="B835" t="str">
            <v>MARCIA REGINA CUBAS</v>
          </cell>
          <cell r="E835" t="str">
            <v>APROVADO</v>
          </cell>
          <cell r="F835" t="str">
            <v>APROVADO</v>
          </cell>
          <cell r="G835" t="str">
            <v>APROVADO</v>
          </cell>
          <cell r="H835" t="str">
            <v>APROVADO</v>
          </cell>
        </row>
        <row r="836">
          <cell r="B836" t="str">
            <v>MARCIA TEREZINHA DE OLIVEIRA</v>
          </cell>
          <cell r="E836" t="str">
            <v>APROVADO</v>
          </cell>
          <cell r="F836" t="str">
            <v>APROVADO</v>
          </cell>
          <cell r="G836" t="str">
            <v>APROVADO</v>
          </cell>
          <cell r="H836" t="str">
            <v>APROVADO</v>
          </cell>
        </row>
        <row r="837">
          <cell r="B837" t="str">
            <v>MARCIAL MACANEIRO</v>
          </cell>
          <cell r="E837" t="str">
            <v>APROVADO</v>
          </cell>
          <cell r="F837" t="str">
            <v>APROVADO</v>
          </cell>
          <cell r="G837" t="str">
            <v>APROVADO</v>
          </cell>
          <cell r="H837" t="str">
            <v>APROVADO</v>
          </cell>
        </row>
        <row r="838">
          <cell r="B838" t="str">
            <v>MARCIO DE ABREU MOREIRA</v>
          </cell>
          <cell r="E838" t="str">
            <v>APROVADO</v>
          </cell>
          <cell r="F838" t="str">
            <v>APROVADO</v>
          </cell>
          <cell r="G838" t="str">
            <v>APROVADO</v>
          </cell>
          <cell r="H838" t="str">
            <v>APROVADO</v>
          </cell>
        </row>
        <row r="839">
          <cell r="B839" t="str">
            <v>MARCIO LUIZ FERNANDES</v>
          </cell>
          <cell r="E839" t="str">
            <v>APROVADO</v>
          </cell>
          <cell r="F839" t="str">
            <v>APROVADO</v>
          </cell>
          <cell r="G839" t="str">
            <v>APROVADO</v>
          </cell>
          <cell r="H839" t="str">
            <v>APROVADO</v>
          </cell>
        </row>
        <row r="840">
          <cell r="B840" t="str">
            <v>MARCIO RODRIGUES DA FONSECA</v>
          </cell>
          <cell r="E840" t="str">
            <v>APROVADO</v>
          </cell>
          <cell r="F840" t="str">
            <v>APROVADO</v>
          </cell>
          <cell r="G840" t="str">
            <v>APROVADO</v>
          </cell>
          <cell r="H840" t="str">
            <v>APROVADO</v>
          </cell>
        </row>
        <row r="841">
          <cell r="B841" t="str">
            <v>MARCIO SAPORSKI SEGUI</v>
          </cell>
          <cell r="E841" t="str">
            <v>APROVADO</v>
          </cell>
          <cell r="F841" t="str">
            <v>APROVADO</v>
          </cell>
          <cell r="G841" t="str">
            <v>APROVADO</v>
          </cell>
          <cell r="H841" t="str">
            <v>APROVADO</v>
          </cell>
        </row>
        <row r="842">
          <cell r="B842" t="str">
            <v>MARCO ANTONIO GONZALEZ MORAES</v>
          </cell>
          <cell r="E842" t="str">
            <v>APROVADO</v>
          </cell>
          <cell r="F842" t="str">
            <v>APROVADO</v>
          </cell>
          <cell r="G842" t="str">
            <v>APROVADO</v>
          </cell>
          <cell r="H842" t="str">
            <v>APROVADO</v>
          </cell>
        </row>
        <row r="843">
          <cell r="B843" t="str">
            <v>MARCO ANTONIO PALUDO</v>
          </cell>
          <cell r="E843" t="str">
            <v>APROVADO</v>
          </cell>
          <cell r="F843" t="str">
            <v>APROVADO</v>
          </cell>
          <cell r="G843" t="str">
            <v>APROVADO</v>
          </cell>
          <cell r="H843" t="str">
            <v>APROVADO</v>
          </cell>
        </row>
        <row r="844">
          <cell r="B844" t="str">
            <v>MARCO ANTONIO PEDRONI</v>
          </cell>
          <cell r="E844" t="str">
            <v>APROVADO</v>
          </cell>
          <cell r="F844" t="str">
            <v>APROVADO</v>
          </cell>
          <cell r="G844" t="str">
            <v>APROVADO</v>
          </cell>
          <cell r="H844" t="str">
            <v>APROVADO</v>
          </cell>
        </row>
        <row r="845">
          <cell r="B845" t="str">
            <v>MARCO ANTONIO SIMOES TEIXEIRA</v>
          </cell>
          <cell r="E845" t="str">
            <v>APROVADO</v>
          </cell>
          <cell r="F845" t="str">
            <v>APROVADO</v>
          </cell>
          <cell r="G845" t="str">
            <v>APROVADO</v>
          </cell>
          <cell r="H845" t="str">
            <v>APROVADO</v>
          </cell>
        </row>
        <row r="846">
          <cell r="B846" t="str">
            <v>MARCO AURELIO CRUCIOL RODRIGUES</v>
          </cell>
          <cell r="E846" t="str">
            <v>APROVADO</v>
          </cell>
          <cell r="F846" t="str">
            <v>APROVADO</v>
          </cell>
          <cell r="G846" t="str">
            <v>APROVADO</v>
          </cell>
          <cell r="H846" t="str">
            <v>APROVADO</v>
          </cell>
        </row>
        <row r="847">
          <cell r="B847" t="str">
            <v>MARCO AURELIO FORNAZIERI</v>
          </cell>
          <cell r="E847" t="str">
            <v>APROVADO</v>
          </cell>
          <cell r="F847" t="str">
            <v>APROVADO</v>
          </cell>
          <cell r="G847" t="str">
            <v>APROVADO</v>
          </cell>
          <cell r="H847" t="str">
            <v>APROVADO</v>
          </cell>
        </row>
        <row r="848">
          <cell r="B848" t="str">
            <v>MARCO AURELIO GUIMARAES</v>
          </cell>
          <cell r="E848" t="str">
            <v>APROVADO</v>
          </cell>
          <cell r="F848" t="str">
            <v>APROVADO</v>
          </cell>
          <cell r="G848" t="str">
            <v>APROVADO</v>
          </cell>
          <cell r="H848" t="str">
            <v>APROVADO</v>
          </cell>
        </row>
        <row r="849">
          <cell r="B849" t="str">
            <v>MARCO CESAR JORGE DOS SANTOS</v>
          </cell>
          <cell r="E849" t="str">
            <v>RASCUNHO</v>
          </cell>
          <cell r="F849" t="str">
            <v>RASCUNHO</v>
          </cell>
          <cell r="G849" t="str">
            <v>RASCUNHO</v>
          </cell>
          <cell r="H849" t="str">
            <v>RASCUNHO</v>
          </cell>
        </row>
        <row r="850">
          <cell r="B850" t="str">
            <v>MARCONI RODRIGUES DE FARIAS</v>
          </cell>
          <cell r="E850" t="str">
            <v>APROVADO</v>
          </cell>
          <cell r="F850" t="str">
            <v>APROVADO</v>
          </cell>
          <cell r="G850" t="str">
            <v>APROVADO</v>
          </cell>
          <cell r="H850" t="str">
            <v>APROVADO</v>
          </cell>
        </row>
        <row r="851">
          <cell r="B851" t="str">
            <v>MARCOS BATISTELLA LOPES</v>
          </cell>
          <cell r="E851" t="str">
            <v>APROVADO</v>
          </cell>
          <cell r="F851" t="str">
            <v>APROVADO</v>
          </cell>
          <cell r="G851" t="str">
            <v>APROVADO</v>
          </cell>
          <cell r="H851" t="str">
            <v>APROVADO</v>
          </cell>
        </row>
        <row r="852">
          <cell r="B852" t="str">
            <v>MARCOS FELIPE IPARRAGUIRRE NUNOVERO</v>
          </cell>
          <cell r="E852" t="str">
            <v>APROVADO</v>
          </cell>
          <cell r="F852" t="str">
            <v>APROVADO</v>
          </cell>
          <cell r="G852" t="str">
            <v>APROVADO</v>
          </cell>
          <cell r="H852" t="str">
            <v>APROVADO</v>
          </cell>
        </row>
        <row r="853">
          <cell r="B853" t="str">
            <v>MARCOS JOSE ZABLONSKY</v>
          </cell>
          <cell r="E853" t="str">
            <v>APROVADO</v>
          </cell>
          <cell r="F853" t="str">
            <v>APROVADO</v>
          </cell>
          <cell r="G853" t="str">
            <v>APROVADO</v>
          </cell>
          <cell r="H853" t="str">
            <v>APROVADO</v>
          </cell>
        </row>
        <row r="854">
          <cell r="B854" t="str">
            <v>MARCOS ROBERTO ALMEIDA DOS SANTOS</v>
          </cell>
          <cell r="E854" t="str">
            <v>APROVADO</v>
          </cell>
          <cell r="F854" t="str">
            <v>APROVADO</v>
          </cell>
          <cell r="G854" t="str">
            <v>APROVADO</v>
          </cell>
          <cell r="H854" t="str">
            <v>APROVADO</v>
          </cell>
        </row>
        <row r="855">
          <cell r="B855" t="str">
            <v>MARCOS ROBERTO GARCIA</v>
          </cell>
          <cell r="E855" t="str">
            <v>APROVADO</v>
          </cell>
          <cell r="F855" t="str">
            <v>APROVADO</v>
          </cell>
          <cell r="G855" t="str">
            <v>APROVADO</v>
          </cell>
          <cell r="H855" t="str">
            <v>APROVADO</v>
          </cell>
        </row>
        <row r="856">
          <cell r="B856" t="str">
            <v>MARGARETE WINKLER MARQUES MACHADO</v>
          </cell>
          <cell r="E856" t="str">
            <v>APROVADO</v>
          </cell>
          <cell r="F856" t="str">
            <v>APROVADO</v>
          </cell>
          <cell r="G856" t="str">
            <v>APROVADO</v>
          </cell>
          <cell r="H856" t="str">
            <v>APROVADO</v>
          </cell>
        </row>
        <row r="857">
          <cell r="B857" t="str">
            <v>MARI REGINA ANASTACIO</v>
          </cell>
          <cell r="E857" t="str">
            <v>APROVADO</v>
          </cell>
          <cell r="F857" t="str">
            <v>APROVADO</v>
          </cell>
          <cell r="G857" t="str">
            <v>APROVADO</v>
          </cell>
          <cell r="H857" t="str">
            <v>APROVADO</v>
          </cell>
        </row>
        <row r="858">
          <cell r="B858" t="str">
            <v>MARIA ALICE WITT</v>
          </cell>
          <cell r="E858" t="str">
            <v>APROVADO</v>
          </cell>
          <cell r="F858" t="str">
            <v>APROVADO</v>
          </cell>
          <cell r="G858" t="str">
            <v>APROVADO</v>
          </cell>
          <cell r="H858" t="str">
            <v>APROVADO</v>
          </cell>
        </row>
        <row r="859">
          <cell r="B859" t="str">
            <v>MARIA ANGELA MOSCALEWSKI ROVEREDO DOS SANTOS</v>
          </cell>
          <cell r="E859" t="str">
            <v>NÃO CRIADO</v>
          </cell>
          <cell r="F859" t="str">
            <v>NÃO CRIADO</v>
          </cell>
          <cell r="G859" t="str">
            <v>NÃO CRIADO</v>
          </cell>
          <cell r="H859" t="str">
            <v>NÃO CRIADO</v>
          </cell>
        </row>
        <row r="860">
          <cell r="B860" t="str">
            <v>MARIA ANGELA MOSCALEWSKI ROVEREDO DOS SANTOS</v>
          </cell>
          <cell r="E860" t="str">
            <v>APROVADO</v>
          </cell>
          <cell r="F860" t="str">
            <v>APROVADO</v>
          </cell>
          <cell r="G860" t="str">
            <v>APROVADO</v>
          </cell>
          <cell r="H860" t="str">
            <v>APROVADO</v>
          </cell>
        </row>
        <row r="861">
          <cell r="B861" t="str">
            <v>MARIA CECILIA BARRETO AMORIM PILLA</v>
          </cell>
          <cell r="E861" t="str">
            <v>APROVADO</v>
          </cell>
          <cell r="F861" t="str">
            <v>APROVADO</v>
          </cell>
          <cell r="G861" t="str">
            <v>APROVADO</v>
          </cell>
          <cell r="H861" t="str">
            <v>APROVADO</v>
          </cell>
        </row>
        <row r="862">
          <cell r="B862" t="str">
            <v>MARIA CECILIA DE LIMA RORIG</v>
          </cell>
          <cell r="E862" t="str">
            <v>APROVADO</v>
          </cell>
          <cell r="F862" t="str">
            <v>APROVADO</v>
          </cell>
          <cell r="G862" t="str">
            <v>APROVADO</v>
          </cell>
          <cell r="H862" t="str">
            <v>APROVADO</v>
          </cell>
        </row>
        <row r="863">
          <cell r="B863" t="str">
            <v>MARIA CELIA BARBOSA FABRICIO DE MELO</v>
          </cell>
          <cell r="E863" t="str">
            <v>APROVADO</v>
          </cell>
          <cell r="F863" t="str">
            <v>APROVADO</v>
          </cell>
          <cell r="G863" t="str">
            <v>APROVADO</v>
          </cell>
          <cell r="H863" t="str">
            <v>APROVADO</v>
          </cell>
        </row>
        <row r="864">
          <cell r="B864" t="str">
            <v>MARIA CELIA NOGUEIRA PINTO E BORGO BZUNECK</v>
          </cell>
          <cell r="E864" t="str">
            <v>APROVADO</v>
          </cell>
          <cell r="F864" t="str">
            <v>APROVADO</v>
          </cell>
          <cell r="G864" t="str">
            <v>APROVADO</v>
          </cell>
          <cell r="H864" t="str">
            <v>APROVADO</v>
          </cell>
        </row>
        <row r="865">
          <cell r="B865" t="str">
            <v>MARIA CLARA JAEGER GODOY</v>
          </cell>
          <cell r="E865" t="str">
            <v>APROVADO</v>
          </cell>
          <cell r="F865" t="str">
            <v>APROVADO</v>
          </cell>
          <cell r="G865" t="str">
            <v>APROVADO</v>
          </cell>
          <cell r="H865" t="str">
            <v>APROVADO</v>
          </cell>
        </row>
        <row r="866">
          <cell r="B866" t="str">
            <v>MARIA CRISTINA FIGUEROA MAGALHAES</v>
          </cell>
          <cell r="E866" t="str">
            <v>APROVADO</v>
          </cell>
          <cell r="F866" t="str">
            <v>APROVADO</v>
          </cell>
          <cell r="G866" t="str">
            <v>APROVADO</v>
          </cell>
          <cell r="H866" t="str">
            <v>APROVADO</v>
          </cell>
        </row>
        <row r="867">
          <cell r="B867" t="str">
            <v>MARIA ESTER CONTIN DE OLIVEIRA KLOSS</v>
          </cell>
          <cell r="E867" t="str">
            <v>APROVADO</v>
          </cell>
          <cell r="F867" t="str">
            <v>APROVADO</v>
          </cell>
          <cell r="G867" t="str">
            <v>APROVADO</v>
          </cell>
          <cell r="H867" t="str">
            <v>APROVADO</v>
          </cell>
        </row>
        <row r="868">
          <cell r="B868" t="str">
            <v>MARIA HELENA CAMARGO PERALTA DEL VALLE</v>
          </cell>
          <cell r="E868" t="str">
            <v>APROVADO</v>
          </cell>
          <cell r="F868" t="str">
            <v>APROVADO</v>
          </cell>
          <cell r="G868" t="str">
            <v>APROVADO</v>
          </cell>
          <cell r="H868" t="str">
            <v>APROVADO</v>
          </cell>
        </row>
        <row r="869">
          <cell r="B869" t="str">
            <v>MARIA HELOISA MADRUGA CHAVES</v>
          </cell>
          <cell r="E869" t="str">
            <v>APROVADO</v>
          </cell>
          <cell r="F869" t="str">
            <v>APROVADO</v>
          </cell>
          <cell r="G869" t="str">
            <v>APROVADO</v>
          </cell>
          <cell r="H869" t="str">
            <v>APROVADO</v>
          </cell>
        </row>
        <row r="870">
          <cell r="B870" t="str">
            <v>MARIA INES PINTO BOGISCH</v>
          </cell>
          <cell r="E870" t="str">
            <v>APROVADO</v>
          </cell>
          <cell r="F870" t="str">
            <v>APROVADO</v>
          </cell>
          <cell r="G870" t="str">
            <v>APROVADO</v>
          </cell>
          <cell r="H870" t="str">
            <v>APROVADO</v>
          </cell>
        </row>
        <row r="871">
          <cell r="B871" t="str">
            <v>MARIA ISABEL LOVO MARTINS BUSCH PEREIRA</v>
          </cell>
          <cell r="E871" t="str">
            <v>APROVADO</v>
          </cell>
          <cell r="F871" t="str">
            <v>APROVADO</v>
          </cell>
          <cell r="G871" t="str">
            <v>APROVADO</v>
          </cell>
          <cell r="H871" t="str">
            <v>APROVADO</v>
          </cell>
        </row>
        <row r="872">
          <cell r="B872" t="str">
            <v>MARIA LAURA MEDEIROS ASSEF</v>
          </cell>
          <cell r="E872" t="str">
            <v>APROVADO</v>
          </cell>
          <cell r="F872" t="str">
            <v>APROVADO</v>
          </cell>
          <cell r="G872" t="str">
            <v>APROVADO</v>
          </cell>
          <cell r="H872" t="str">
            <v>APROVADO</v>
          </cell>
        </row>
        <row r="873">
          <cell r="B873" t="str">
            <v>MARIANA COLLETE</v>
          </cell>
          <cell r="E873" t="str">
            <v>APROVADO</v>
          </cell>
          <cell r="F873" t="str">
            <v>APROVADO</v>
          </cell>
          <cell r="G873" t="str">
            <v>APROVADO</v>
          </cell>
          <cell r="H873" t="str">
            <v>APROVADO</v>
          </cell>
        </row>
        <row r="874">
          <cell r="B874" t="str">
            <v>MARIANA CORCAO</v>
          </cell>
          <cell r="E874" t="str">
            <v>APROVADO</v>
          </cell>
          <cell r="F874" t="str">
            <v>APROVADO</v>
          </cell>
          <cell r="G874" t="str">
            <v>APROVADO</v>
          </cell>
          <cell r="H874" t="str">
            <v>APROVADO</v>
          </cell>
        </row>
        <row r="875">
          <cell r="B875" t="str">
            <v>MARIANA COUTO SIQUEIRA</v>
          </cell>
          <cell r="E875" t="str">
            <v>APROVADO</v>
          </cell>
          <cell r="F875" t="str">
            <v>APROVADO</v>
          </cell>
          <cell r="G875" t="str">
            <v>APROVADO</v>
          </cell>
          <cell r="H875" t="str">
            <v>APROVADO</v>
          </cell>
        </row>
        <row r="876">
          <cell r="B876" t="str">
            <v>MARIANA DE MELLO GUSSO ESPINOLA</v>
          </cell>
          <cell r="E876" t="str">
            <v>APROVADO</v>
          </cell>
          <cell r="F876" t="str">
            <v>APROVADO</v>
          </cell>
          <cell r="G876" t="str">
            <v>APROVADO</v>
          </cell>
          <cell r="H876" t="str">
            <v>APROVADO</v>
          </cell>
        </row>
        <row r="877">
          <cell r="B877" t="str">
            <v>MARIANA GRASSI NOYA</v>
          </cell>
          <cell r="E877" t="str">
            <v>APROVADO</v>
          </cell>
          <cell r="F877" t="str">
            <v>APROVADO</v>
          </cell>
          <cell r="G877" t="str">
            <v>APROVADO</v>
          </cell>
          <cell r="H877" t="str">
            <v>APROVADO</v>
          </cell>
        </row>
        <row r="878">
          <cell r="B878" t="str">
            <v>MARIANA MALUCELLI</v>
          </cell>
          <cell r="E878" t="str">
            <v>APROVADO</v>
          </cell>
          <cell r="F878" t="str">
            <v>APROVADO</v>
          </cell>
          <cell r="G878" t="str">
            <v>APROVADO</v>
          </cell>
          <cell r="H878" t="str">
            <v>APROVADO</v>
          </cell>
        </row>
        <row r="879">
          <cell r="B879" t="str">
            <v>MARIANA MUZZOLON</v>
          </cell>
          <cell r="E879" t="str">
            <v>APROVADO</v>
          </cell>
          <cell r="F879" t="str">
            <v>APROVADO</v>
          </cell>
          <cell r="G879" t="str">
            <v>APROVADO</v>
          </cell>
          <cell r="H879" t="str">
            <v>APROVADO</v>
          </cell>
        </row>
        <row r="880">
          <cell r="B880" t="str">
            <v>MARIANA XAVIER DE LIMA</v>
          </cell>
          <cell r="E880" t="str">
            <v>APROVADO</v>
          </cell>
          <cell r="F880" t="str">
            <v>APROVADO</v>
          </cell>
          <cell r="G880" t="str">
            <v>APROVADO</v>
          </cell>
          <cell r="H880" t="str">
            <v>APROVADO</v>
          </cell>
        </row>
        <row r="881">
          <cell r="B881" t="str">
            <v>MARIANNA SEIXAS GRECA</v>
          </cell>
          <cell r="E881" t="str">
            <v>APROVADO</v>
          </cell>
          <cell r="F881" t="str">
            <v>APROVADO</v>
          </cell>
          <cell r="G881" t="str">
            <v>APROVADO</v>
          </cell>
          <cell r="H881" t="str">
            <v>APROVADO</v>
          </cell>
        </row>
        <row r="882">
          <cell r="B882" t="str">
            <v>MARIANO DE ALMEIDA MENEZES</v>
          </cell>
          <cell r="E882" t="str">
            <v>APROVADO</v>
          </cell>
          <cell r="F882" t="str">
            <v>APROVADO</v>
          </cell>
          <cell r="G882" t="str">
            <v>APROVADO</v>
          </cell>
          <cell r="H882" t="str">
            <v>APROVADO</v>
          </cell>
        </row>
        <row r="883">
          <cell r="B883" t="str">
            <v>MARICE TAQUES PEREIRA</v>
          </cell>
          <cell r="E883" t="str">
            <v>APROVADO</v>
          </cell>
          <cell r="F883" t="str">
            <v>APROVADO</v>
          </cell>
          <cell r="G883" t="str">
            <v>APROVADO</v>
          </cell>
          <cell r="H883" t="str">
            <v>APROVADO</v>
          </cell>
        </row>
        <row r="884">
          <cell r="B884" t="str">
            <v>MARILENA INDIRA WINTER</v>
          </cell>
          <cell r="E884" t="str">
            <v>AGUARDANDO APROVAÇÃO</v>
          </cell>
          <cell r="F884" t="str">
            <v>AGUARDANDO APROVAÇÃO</v>
          </cell>
          <cell r="G884" t="str">
            <v>AGUARDANDO APROVAÇÃO</v>
          </cell>
          <cell r="H884" t="str">
            <v>AGUARDANDO APROVAÇÃO</v>
          </cell>
        </row>
        <row r="885">
          <cell r="B885" t="str">
            <v>MARILENE DA COSTA SANTOS</v>
          </cell>
          <cell r="E885" t="str">
            <v>APROVADO</v>
          </cell>
          <cell r="F885" t="str">
            <v>APROVADO</v>
          </cell>
          <cell r="G885" t="str">
            <v>APROVADO</v>
          </cell>
          <cell r="H885" t="str">
            <v>APROVADO</v>
          </cell>
        </row>
        <row r="886">
          <cell r="B886" t="str">
            <v>MARILIA SILVA MALVEZZI KARWOWSKI</v>
          </cell>
          <cell r="E886" t="str">
            <v>APROVADO</v>
          </cell>
          <cell r="F886" t="str">
            <v>APROVADO</v>
          </cell>
          <cell r="G886" t="str">
            <v>APROVADO</v>
          </cell>
          <cell r="H886" t="str">
            <v>APROVADO</v>
          </cell>
        </row>
        <row r="887">
          <cell r="B887" t="str">
            <v>MARILIN HOHL</v>
          </cell>
          <cell r="E887" t="str">
            <v>APROVADO</v>
          </cell>
          <cell r="F887" t="str">
            <v>APROVADO</v>
          </cell>
          <cell r="G887" t="str">
            <v>APROVADO</v>
          </cell>
          <cell r="H887" t="str">
            <v>APROVADO</v>
          </cell>
        </row>
        <row r="888">
          <cell r="B888" t="str">
            <v>MARINA DE LARA</v>
          </cell>
          <cell r="E888" t="str">
            <v>APROVADO</v>
          </cell>
          <cell r="F888" t="str">
            <v>APROVADO</v>
          </cell>
          <cell r="G888" t="str">
            <v>APROVADO</v>
          </cell>
          <cell r="H888" t="str">
            <v>APROVADO</v>
          </cell>
        </row>
        <row r="889">
          <cell r="B889" t="str">
            <v>MARINA LUISE VIOLA DE AZEVEDO</v>
          </cell>
          <cell r="E889" t="str">
            <v>APROVADO</v>
          </cell>
          <cell r="F889" t="str">
            <v>APROVADO</v>
          </cell>
          <cell r="G889" t="str">
            <v>APROVADO</v>
          </cell>
          <cell r="H889" t="str">
            <v>APROVADO</v>
          </cell>
        </row>
        <row r="890">
          <cell r="B890" t="str">
            <v>MARIO ANTONIO SANCHES</v>
          </cell>
          <cell r="E890" t="str">
            <v>APROVADO</v>
          </cell>
          <cell r="F890" t="str">
            <v>APROVADO</v>
          </cell>
          <cell r="G890" t="str">
            <v>APROVADO</v>
          </cell>
          <cell r="H890" t="str">
            <v>APROVADO</v>
          </cell>
        </row>
        <row r="891">
          <cell r="B891" t="str">
            <v>MARIO PROKOPIUK</v>
          </cell>
          <cell r="E891" t="str">
            <v>APROVADO</v>
          </cell>
          <cell r="F891" t="str">
            <v>APROVADO</v>
          </cell>
          <cell r="G891" t="str">
            <v>APROVADO</v>
          </cell>
          <cell r="H891" t="str">
            <v>APROVADO</v>
          </cell>
        </row>
        <row r="892">
          <cell r="B892" t="str">
            <v>MARIO SERGIO LEPRE</v>
          </cell>
          <cell r="E892" t="str">
            <v>APROVADO</v>
          </cell>
          <cell r="F892" t="str">
            <v>APROVADO</v>
          </cell>
          <cell r="G892" t="str">
            <v>APROVADO</v>
          </cell>
          <cell r="H892" t="str">
            <v>APROVADO</v>
          </cell>
        </row>
        <row r="893">
          <cell r="B893" t="str">
            <v>MARION BURGER</v>
          </cell>
          <cell r="E893" t="str">
            <v>APROVADO</v>
          </cell>
          <cell r="F893" t="str">
            <v>APROVADO</v>
          </cell>
          <cell r="G893" t="str">
            <v>APROVADO</v>
          </cell>
          <cell r="H893" t="str">
            <v>APROVADO</v>
          </cell>
        </row>
        <row r="894">
          <cell r="B894" t="str">
            <v>MARISA INES CORRADI</v>
          </cell>
          <cell r="E894" t="str">
            <v>APROVADO</v>
          </cell>
          <cell r="F894" t="str">
            <v>APROVADO</v>
          </cell>
          <cell r="G894" t="str">
            <v>APROVADO</v>
          </cell>
          <cell r="H894" t="str">
            <v>APROVADO</v>
          </cell>
        </row>
        <row r="895">
          <cell r="B895" t="str">
            <v>MARISSE COSTA DE QUEIROZ</v>
          </cell>
          <cell r="E895" t="str">
            <v>APROVADO</v>
          </cell>
          <cell r="F895" t="str">
            <v>APROVADO</v>
          </cell>
          <cell r="G895" t="str">
            <v>APROVADO</v>
          </cell>
          <cell r="H895" t="str">
            <v>APROVADO</v>
          </cell>
        </row>
        <row r="896">
          <cell r="B896" t="str">
            <v>MARISTELA DENISE MARQUES DE SOUZA</v>
          </cell>
          <cell r="E896" t="str">
            <v>APROVADO</v>
          </cell>
          <cell r="F896" t="str">
            <v>APROVADO</v>
          </cell>
          <cell r="G896" t="str">
            <v>APROVADO</v>
          </cell>
          <cell r="H896" t="str">
            <v>APROVADO</v>
          </cell>
        </row>
        <row r="897">
          <cell r="B897" t="str">
            <v>MARISTELA REGINA WEINFURTER TEIXEIRA</v>
          </cell>
          <cell r="E897" t="str">
            <v>APROVADO</v>
          </cell>
          <cell r="F897" t="str">
            <v>APROVADO</v>
          </cell>
          <cell r="G897" t="str">
            <v>APROVADO</v>
          </cell>
          <cell r="H897" t="str">
            <v>APROVADO</v>
          </cell>
        </row>
        <row r="898">
          <cell r="B898" t="str">
            <v>MARK EIRIK SCORTEGAGNA JOSELLI</v>
          </cell>
          <cell r="E898" t="str">
            <v>APROVADO</v>
          </cell>
          <cell r="F898" t="str">
            <v>APROVADO</v>
          </cell>
          <cell r="G898" t="str">
            <v>APROVADO</v>
          </cell>
          <cell r="H898" t="str">
            <v>APROVADO</v>
          </cell>
        </row>
        <row r="899">
          <cell r="B899" t="str">
            <v>MARLOS HARDT</v>
          </cell>
          <cell r="E899" t="str">
            <v>APROVADO</v>
          </cell>
          <cell r="F899" t="str">
            <v>APROVADO</v>
          </cell>
          <cell r="G899" t="str">
            <v>APROVADO</v>
          </cell>
          <cell r="H899" t="str">
            <v>APROVADO</v>
          </cell>
        </row>
        <row r="900">
          <cell r="B900" t="str">
            <v>MARTA LUCIANE FISCHER</v>
          </cell>
          <cell r="E900" t="str">
            <v>APROVADO</v>
          </cell>
          <cell r="F900" t="str">
            <v>APROVADO</v>
          </cell>
          <cell r="G900" t="str">
            <v>APROVADO</v>
          </cell>
          <cell r="H900" t="str">
            <v>APROVADO</v>
          </cell>
        </row>
        <row r="901">
          <cell r="B901" t="str">
            <v>MARTA MARIA BERTAN SELLA GABARDO</v>
          </cell>
          <cell r="E901" t="str">
            <v>APROVADO</v>
          </cell>
          <cell r="F901" t="str">
            <v>APROVADO</v>
          </cell>
          <cell r="G901" t="str">
            <v>APROVADO</v>
          </cell>
          <cell r="H901" t="str">
            <v>APROVADO</v>
          </cell>
        </row>
        <row r="902">
          <cell r="B902" t="str">
            <v>MARTIOS ECCO</v>
          </cell>
          <cell r="E902" t="str">
            <v>APROVADO</v>
          </cell>
          <cell r="F902" t="str">
            <v>APROVADO</v>
          </cell>
          <cell r="G902" t="str">
            <v>APROVADO</v>
          </cell>
          <cell r="H902" t="str">
            <v>APROVADO</v>
          </cell>
        </row>
        <row r="903">
          <cell r="B903" t="str">
            <v>MATEUS JUSTI LUVIZOTTO</v>
          </cell>
          <cell r="E903" t="str">
            <v>APROVADO</v>
          </cell>
          <cell r="F903" t="str">
            <v>APROVADO</v>
          </cell>
          <cell r="G903" t="str">
            <v>APROVADO</v>
          </cell>
          <cell r="H903" t="str">
            <v>APROVADO</v>
          </cell>
        </row>
        <row r="904">
          <cell r="B904" t="str">
            <v>MATEUS NUNES DA SILVA</v>
          </cell>
          <cell r="E904" t="str">
            <v>APROVADO</v>
          </cell>
          <cell r="F904" t="str">
            <v>APROVADO</v>
          </cell>
          <cell r="G904" t="str">
            <v>APROVADO</v>
          </cell>
          <cell r="H904" t="str">
            <v>APROVADO</v>
          </cell>
        </row>
        <row r="905">
          <cell r="B905" t="str">
            <v>MATHEUS BELTRAME CANCIGLIERI</v>
          </cell>
          <cell r="E905" t="str">
            <v>APROVADO</v>
          </cell>
          <cell r="F905" t="str">
            <v>APROVADO</v>
          </cell>
          <cell r="G905" t="str">
            <v>APROVADO</v>
          </cell>
          <cell r="H905" t="str">
            <v>APROVADO</v>
          </cell>
        </row>
        <row r="906">
          <cell r="B906" t="str">
            <v>MATHEUS DE LIMA GOEDERT</v>
          </cell>
          <cell r="E906" t="str">
            <v>APROVADO</v>
          </cell>
          <cell r="F906" t="str">
            <v>APROVADO</v>
          </cell>
          <cell r="G906" t="str">
            <v>APROVADO</v>
          </cell>
          <cell r="H906" t="str">
            <v>APROVADO</v>
          </cell>
        </row>
        <row r="907">
          <cell r="B907" t="str">
            <v>MATHEUS LENCI MARQUES</v>
          </cell>
          <cell r="E907" t="str">
            <v>APROVADO</v>
          </cell>
          <cell r="F907" t="str">
            <v>APROVADO</v>
          </cell>
          <cell r="G907" t="str">
            <v>APROVADO</v>
          </cell>
          <cell r="H907" t="str">
            <v>APROVADO</v>
          </cell>
        </row>
        <row r="908">
          <cell r="B908" t="str">
            <v>MATHEUS MURMEL GUIMARAES</v>
          </cell>
          <cell r="E908" t="str">
            <v>APROVADO</v>
          </cell>
          <cell r="F908" t="str">
            <v>APROVADO</v>
          </cell>
          <cell r="G908" t="str">
            <v>APROVADO</v>
          </cell>
          <cell r="H908" t="str">
            <v>APROVADO</v>
          </cell>
        </row>
        <row r="909">
          <cell r="B909" t="str">
            <v>MAUREN ABREU DE SOUZA</v>
          </cell>
          <cell r="E909" t="str">
            <v>APROVADO</v>
          </cell>
          <cell r="F909" t="str">
            <v>APROVADO</v>
          </cell>
          <cell r="G909" t="str">
            <v>APROVADO</v>
          </cell>
          <cell r="H909" t="str">
            <v>APROVADO</v>
          </cell>
        </row>
        <row r="910">
          <cell r="B910" t="str">
            <v>MAURICIO CESAR IUNG</v>
          </cell>
          <cell r="E910" t="str">
            <v>APROVADO</v>
          </cell>
          <cell r="F910" t="str">
            <v>APROVADO</v>
          </cell>
          <cell r="G910" t="str">
            <v>APROVADO</v>
          </cell>
          <cell r="H910" t="str">
            <v>APROVADO</v>
          </cell>
        </row>
        <row r="911">
          <cell r="B911" t="str">
            <v>MAURICIO DE CARVALHO</v>
          </cell>
          <cell r="E911" t="str">
            <v>APROVADO</v>
          </cell>
          <cell r="F911" t="str">
            <v>APROVADO</v>
          </cell>
          <cell r="G911" t="str">
            <v>APROVADO</v>
          </cell>
          <cell r="H911" t="str">
            <v>APROVADO</v>
          </cell>
        </row>
        <row r="912">
          <cell r="B912" t="str">
            <v>MAURICIO MONTEMEZZO</v>
          </cell>
          <cell r="E912" t="str">
            <v>APROVADO</v>
          </cell>
          <cell r="F912" t="str">
            <v>APROVADO</v>
          </cell>
          <cell r="G912" t="str">
            <v>APROVADO</v>
          </cell>
          <cell r="H912" t="str">
            <v>APROVADO</v>
          </cell>
        </row>
        <row r="913">
          <cell r="B913" t="str">
            <v>MAURICIO ORLANDO WILMSEN</v>
          </cell>
          <cell r="E913" t="str">
            <v>APROVADO</v>
          </cell>
          <cell r="F913" t="str">
            <v>APROVADO</v>
          </cell>
          <cell r="G913" t="str">
            <v>APROVADO</v>
          </cell>
          <cell r="H913" t="str">
            <v>APROVADO</v>
          </cell>
        </row>
        <row r="914">
          <cell r="B914" t="str">
            <v>MAURICIO PERIN NEVES DA SILVA</v>
          </cell>
          <cell r="E914" t="str">
            <v>APROVADO</v>
          </cell>
          <cell r="F914" t="str">
            <v>APROVADO</v>
          </cell>
          <cell r="G914" t="str">
            <v>APROVADO</v>
          </cell>
          <cell r="H914" t="str">
            <v>APROVADO</v>
          </cell>
        </row>
        <row r="915">
          <cell r="B915" t="str">
            <v>MAURO BUSS</v>
          </cell>
          <cell r="E915" t="str">
            <v>APROVADO</v>
          </cell>
          <cell r="F915" t="str">
            <v>APROVADO</v>
          </cell>
          <cell r="G915" t="str">
            <v>APROVADO</v>
          </cell>
          <cell r="H915" t="str">
            <v>APROVADO</v>
          </cell>
        </row>
        <row r="916">
          <cell r="B916" t="str">
            <v>MAURO PELLISSARI</v>
          </cell>
          <cell r="E916" t="str">
            <v>APROVADO</v>
          </cell>
          <cell r="F916" t="str">
            <v>APROVADO</v>
          </cell>
          <cell r="G916" t="str">
            <v>APROVADO</v>
          </cell>
          <cell r="H916" t="str">
            <v>APROVADO</v>
          </cell>
        </row>
        <row r="917">
          <cell r="B917" t="str">
            <v>MAXILIANO RIBEIRO</v>
          </cell>
          <cell r="E917" t="str">
            <v>APROVADO</v>
          </cell>
          <cell r="F917" t="str">
            <v>APROVADO</v>
          </cell>
          <cell r="G917" t="str">
            <v>APROVADO</v>
          </cell>
          <cell r="H917" t="str">
            <v>APROVADO</v>
          </cell>
        </row>
        <row r="918">
          <cell r="B918" t="str">
            <v>MAYCON RENAN DA SILVA SANTOS BONI</v>
          </cell>
          <cell r="E918" t="str">
            <v>APROVADO</v>
          </cell>
          <cell r="F918" t="str">
            <v>APROVADO</v>
          </cell>
          <cell r="G918" t="str">
            <v>APROVADO</v>
          </cell>
          <cell r="H918" t="str">
            <v>APROVADO</v>
          </cell>
        </row>
        <row r="919">
          <cell r="B919" t="str">
            <v>MICHAEL HIROMI ZAMPRONIO MIYAZAKI</v>
          </cell>
          <cell r="E919" t="str">
            <v>APROVADO</v>
          </cell>
          <cell r="F919" t="str">
            <v>APROVADO</v>
          </cell>
          <cell r="G919" t="str">
            <v>APROVADO</v>
          </cell>
          <cell r="H919" t="str">
            <v>APROVADO</v>
          </cell>
        </row>
        <row r="920">
          <cell r="B920" t="str">
            <v>MICHAELLA CARLA LAURINDO</v>
          </cell>
          <cell r="E920" t="str">
            <v>APROVADO</v>
          </cell>
          <cell r="F920" t="str">
            <v>APROVADO</v>
          </cell>
          <cell r="G920" t="str">
            <v>APROVADO</v>
          </cell>
          <cell r="H920" t="str">
            <v>APROVADO</v>
          </cell>
        </row>
        <row r="921">
          <cell r="B921" t="str">
            <v>MICHELE ALESSANDRA HASTREITER</v>
          </cell>
          <cell r="E921" t="str">
            <v>APROVADO</v>
          </cell>
          <cell r="F921" t="str">
            <v>APROVADO</v>
          </cell>
          <cell r="G921" t="str">
            <v>APROVADO</v>
          </cell>
          <cell r="H921" t="str">
            <v>APROVADO</v>
          </cell>
        </row>
        <row r="922">
          <cell r="B922" t="str">
            <v>MICHELLA YAMAMURA BARDELLI DA SILVA</v>
          </cell>
          <cell r="E922" t="str">
            <v>APROVADO</v>
          </cell>
          <cell r="F922" t="str">
            <v>APROVADO</v>
          </cell>
          <cell r="G922" t="str">
            <v>APROVADO</v>
          </cell>
          <cell r="H922" t="str">
            <v>APROVADO</v>
          </cell>
        </row>
        <row r="923">
          <cell r="B923" t="str">
            <v>MICHELLE FERNANDA SUSIN</v>
          </cell>
          <cell r="E923" t="str">
            <v>APROVADO</v>
          </cell>
          <cell r="F923" t="str">
            <v>APROVADO</v>
          </cell>
          <cell r="G923" t="str">
            <v>APROVADO</v>
          </cell>
          <cell r="H923" t="str">
            <v>APROVADO</v>
          </cell>
        </row>
        <row r="924">
          <cell r="B924" t="str">
            <v>MICHELLE SANTOS VIANNA</v>
          </cell>
          <cell r="E924" t="str">
            <v>APROVADO</v>
          </cell>
          <cell r="F924" t="str">
            <v>APROVADO</v>
          </cell>
          <cell r="G924" t="str">
            <v>APROVADO</v>
          </cell>
          <cell r="H924" t="str">
            <v>APROVADO</v>
          </cell>
        </row>
        <row r="925">
          <cell r="B925" t="str">
            <v>MICHELLE SILVA ZENY</v>
          </cell>
          <cell r="E925" t="str">
            <v>APROVADO</v>
          </cell>
          <cell r="F925" t="str">
            <v>APROVADO</v>
          </cell>
          <cell r="G925" t="str">
            <v>APROVADO</v>
          </cell>
          <cell r="H925" t="str">
            <v>APROVADO</v>
          </cell>
        </row>
        <row r="926">
          <cell r="B926" t="str">
            <v>MICHELLE SOSTAG MERUVIA</v>
          </cell>
          <cell r="E926" t="str">
            <v>APROVADO</v>
          </cell>
          <cell r="F926" t="str">
            <v>APROVADO</v>
          </cell>
          <cell r="G926" t="str">
            <v>APROVADO</v>
          </cell>
          <cell r="H926" t="str">
            <v>APROVADO</v>
          </cell>
        </row>
        <row r="927">
          <cell r="B927" t="str">
            <v>MIGUEL IBRAIM ABBOUD HANNA SOBRINHO</v>
          </cell>
          <cell r="E927" t="str">
            <v>APROVADO</v>
          </cell>
          <cell r="F927" t="str">
            <v>APROVADO</v>
          </cell>
          <cell r="G927" t="str">
            <v>APROVADO</v>
          </cell>
          <cell r="H927" t="str">
            <v>APROVADO</v>
          </cell>
        </row>
        <row r="928">
          <cell r="B928" t="str">
            <v>MILENA DA SILVA LORENCETE</v>
          </cell>
          <cell r="E928" t="str">
            <v>APROVADO</v>
          </cell>
          <cell r="F928" t="str">
            <v>APROVADO</v>
          </cell>
          <cell r="G928" t="str">
            <v>APROVADO</v>
          </cell>
          <cell r="H928" t="str">
            <v>APROVADO</v>
          </cell>
        </row>
        <row r="929">
          <cell r="B929" t="str">
            <v>MILENE LEIVAS VIEIRA</v>
          </cell>
          <cell r="E929" t="str">
            <v>APROVADO</v>
          </cell>
          <cell r="F929" t="str">
            <v>APROVADO</v>
          </cell>
          <cell r="G929" t="str">
            <v>APROVADO</v>
          </cell>
          <cell r="H929" t="str">
            <v>APROVADO</v>
          </cell>
        </row>
        <row r="930">
          <cell r="B930" t="str">
            <v>MIRIAM IZOLINA PADOIN DALLA ROSA</v>
          </cell>
          <cell r="E930" t="str">
            <v>APROVADO</v>
          </cell>
          <cell r="F930" t="str">
            <v>APROVADO</v>
          </cell>
          <cell r="G930" t="str">
            <v>APROVADO</v>
          </cell>
          <cell r="H930" t="str">
            <v>APROVADO</v>
          </cell>
        </row>
        <row r="931">
          <cell r="B931" t="str">
            <v>MIRIAM OLIVIA KNOPIK FERRAZ</v>
          </cell>
          <cell r="E931" t="str">
            <v>APROVADO</v>
          </cell>
          <cell r="F931" t="str">
            <v>APROVADO</v>
          </cell>
          <cell r="G931" t="str">
            <v>APROVADO</v>
          </cell>
          <cell r="H931" t="str">
            <v>APROVADO</v>
          </cell>
        </row>
        <row r="932">
          <cell r="B932" t="str">
            <v>MIRIAM STOLSES MAZO</v>
          </cell>
          <cell r="E932" t="str">
            <v>APROVADO</v>
          </cell>
          <cell r="F932" t="str">
            <v>APROVADO</v>
          </cell>
          <cell r="G932" t="str">
            <v>APROVADO</v>
          </cell>
          <cell r="H932" t="str">
            <v>APROVADO</v>
          </cell>
        </row>
        <row r="933">
          <cell r="B933" t="str">
            <v>MIRIAN CELIA CASTELLAIN GUEBERT</v>
          </cell>
          <cell r="E933" t="str">
            <v>APROVADO</v>
          </cell>
          <cell r="F933" t="str">
            <v>APROVADO</v>
          </cell>
          <cell r="G933" t="str">
            <v>APROVADO</v>
          </cell>
          <cell r="H933" t="str">
            <v>APROVADO</v>
          </cell>
        </row>
        <row r="934">
          <cell r="B934" t="str">
            <v>MOARA ZUCCHERELLI</v>
          </cell>
          <cell r="E934" t="str">
            <v>APROVADO</v>
          </cell>
          <cell r="F934" t="str">
            <v>APROVADO</v>
          </cell>
          <cell r="G934" t="str">
            <v>APROVADO</v>
          </cell>
          <cell r="H934" t="str">
            <v>APROVADO</v>
          </cell>
        </row>
        <row r="935">
          <cell r="B935" t="str">
            <v>MONICA JANKE DE CASTRO PROSDOCIMO</v>
          </cell>
          <cell r="E935" t="str">
            <v>APROVADO</v>
          </cell>
          <cell r="F935" t="str">
            <v>APROVADO</v>
          </cell>
          <cell r="G935" t="str">
            <v>APROVADO</v>
          </cell>
          <cell r="H935" t="str">
            <v>APROVADO</v>
          </cell>
        </row>
        <row r="936">
          <cell r="B936" t="str">
            <v>MOZART GONCALVES</v>
          </cell>
          <cell r="E936" t="str">
            <v>APROVADO</v>
          </cell>
          <cell r="F936" t="str">
            <v>APROVADO</v>
          </cell>
          <cell r="G936" t="str">
            <v>APROVADO</v>
          </cell>
          <cell r="H936" t="str">
            <v>APROVADO</v>
          </cell>
        </row>
        <row r="937">
          <cell r="B937" t="str">
            <v>MOZART MARQUES WALZ</v>
          </cell>
          <cell r="E937" t="str">
            <v>APROVADO</v>
          </cell>
          <cell r="F937" t="str">
            <v>APROVADO</v>
          </cell>
          <cell r="G937" t="str">
            <v>APROVADO</v>
          </cell>
          <cell r="H937" t="str">
            <v>APROVADO</v>
          </cell>
        </row>
        <row r="938">
          <cell r="B938" t="str">
            <v>MURILO KARASINSKI</v>
          </cell>
          <cell r="E938" t="str">
            <v>APROVADO</v>
          </cell>
          <cell r="F938" t="str">
            <v>APROVADO</v>
          </cell>
          <cell r="G938" t="str">
            <v>APROVADO</v>
          </cell>
          <cell r="H938" t="str">
            <v>APROVADO</v>
          </cell>
        </row>
        <row r="939">
          <cell r="B939" t="str">
            <v>MYENNE MIEKO AYRES TSUTSUMI</v>
          </cell>
          <cell r="E939" t="str">
            <v>APROVADO</v>
          </cell>
          <cell r="F939" t="str">
            <v>APROVADO</v>
          </cell>
          <cell r="G939" t="str">
            <v>APROVADO</v>
          </cell>
          <cell r="H939" t="str">
            <v>APROVADO</v>
          </cell>
        </row>
        <row r="940">
          <cell r="B940" t="str">
            <v>NADINA APARECIDA MORENO</v>
          </cell>
          <cell r="E940" t="str">
            <v>APROVADO</v>
          </cell>
          <cell r="F940" t="str">
            <v>APROVADO</v>
          </cell>
          <cell r="G940" t="str">
            <v>APROVADO</v>
          </cell>
          <cell r="H940" t="str">
            <v>APROVADO</v>
          </cell>
        </row>
        <row r="941">
          <cell r="B941" t="str">
            <v>NAIRANA RADTKE CANEPPELE BUSSLER</v>
          </cell>
          <cell r="E941" t="str">
            <v>APROVADO</v>
          </cell>
          <cell r="F941" t="str">
            <v>APROVADO</v>
          </cell>
          <cell r="G941" t="str">
            <v>APROVADO</v>
          </cell>
          <cell r="H941" t="str">
            <v>APROVADO</v>
          </cell>
        </row>
        <row r="942">
          <cell r="B942" t="str">
            <v>NANCY VALENTE</v>
          </cell>
          <cell r="E942" t="str">
            <v>APROVADO</v>
          </cell>
          <cell r="F942" t="str">
            <v>APROVADO</v>
          </cell>
          <cell r="G942" t="str">
            <v>APROVADO</v>
          </cell>
          <cell r="H942" t="str">
            <v>APROVADO</v>
          </cell>
        </row>
        <row r="943">
          <cell r="B943" t="str">
            <v>NATALIA CARDOSO DOS SANTOS</v>
          </cell>
          <cell r="E943" t="str">
            <v>NÃO CRIADO</v>
          </cell>
          <cell r="F943" t="str">
            <v>NÃO CRIADO</v>
          </cell>
          <cell r="G943" t="str">
            <v>NÃO CRIADO</v>
          </cell>
          <cell r="H943" t="str">
            <v>NÃO CRIADO</v>
          </cell>
        </row>
        <row r="944">
          <cell r="B944" t="str">
            <v>NATALIA CARDOSO WINTER</v>
          </cell>
          <cell r="E944" t="str">
            <v>APROVADO</v>
          </cell>
          <cell r="F944" t="str">
            <v>APROVADO</v>
          </cell>
          <cell r="G944" t="str">
            <v>APROVADO</v>
          </cell>
          <cell r="H944" t="str">
            <v>APROVADO</v>
          </cell>
        </row>
        <row r="945">
          <cell r="B945" t="str">
            <v>NATHAN MENDES</v>
          </cell>
          <cell r="E945" t="str">
            <v>APROVADO</v>
          </cell>
          <cell r="F945" t="str">
            <v>APROVADO</v>
          </cell>
          <cell r="G945" t="str">
            <v>APROVADO</v>
          </cell>
          <cell r="H945" t="str">
            <v>APROVADO</v>
          </cell>
        </row>
        <row r="946">
          <cell r="B946" t="str">
            <v>NEIDAMAR PEDRINI ARIAS FUGACA</v>
          </cell>
          <cell r="E946" t="str">
            <v>APROVADO</v>
          </cell>
          <cell r="F946" t="str">
            <v>APROVADO</v>
          </cell>
          <cell r="G946" t="str">
            <v>APROVADO</v>
          </cell>
          <cell r="H946" t="str">
            <v>APROVADO</v>
          </cell>
        </row>
        <row r="947">
          <cell r="B947" t="str">
            <v>NELISA SITA PIRES PICOLOTTO MARTIM</v>
          </cell>
          <cell r="E947" t="str">
            <v>APROVADO</v>
          </cell>
          <cell r="F947" t="str">
            <v>APROVADO</v>
          </cell>
          <cell r="G947" t="str">
            <v>APROVADO</v>
          </cell>
          <cell r="H947" t="str">
            <v>APROVADO</v>
          </cell>
        </row>
        <row r="948">
          <cell r="B948" t="str">
            <v>NELSON MASSARU FUKUMOTO</v>
          </cell>
          <cell r="E948" t="str">
            <v>APROVADO</v>
          </cell>
          <cell r="F948" t="str">
            <v>APROVADO</v>
          </cell>
          <cell r="G948" t="str">
            <v>APROVADO</v>
          </cell>
          <cell r="H948" t="str">
            <v>APROVADO</v>
          </cell>
        </row>
        <row r="949">
          <cell r="B949" t="str">
            <v>NEOLI LUCYSZYN SUCKOW</v>
          </cell>
          <cell r="E949" t="str">
            <v>APROVADO</v>
          </cell>
          <cell r="F949" t="str">
            <v>APROVADO</v>
          </cell>
          <cell r="G949" t="str">
            <v>APROVADO</v>
          </cell>
          <cell r="H949" t="str">
            <v>APROVADO</v>
          </cell>
        </row>
        <row r="950">
          <cell r="B950" t="str">
            <v>NEWTON CARVALHAL SANTOS JUNIOR</v>
          </cell>
          <cell r="E950" t="str">
            <v>APROVADO</v>
          </cell>
          <cell r="F950" t="str">
            <v>APROVADO</v>
          </cell>
          <cell r="G950" t="str">
            <v>APROVADO</v>
          </cell>
          <cell r="H950" t="str">
            <v>APROVADO</v>
          </cell>
        </row>
        <row r="951">
          <cell r="B951" t="str">
            <v>NICE MIKA SAKAMOTO KAMINARI</v>
          </cell>
          <cell r="E951" t="str">
            <v>APROVADO</v>
          </cell>
          <cell r="F951" t="str">
            <v>APROVADO</v>
          </cell>
          <cell r="G951" t="str">
            <v>APROVADO</v>
          </cell>
          <cell r="H951" t="str">
            <v>APROVADO</v>
          </cell>
        </row>
        <row r="952">
          <cell r="B952" t="str">
            <v>NICOLE CHAGAS LIMA</v>
          </cell>
          <cell r="E952" t="str">
            <v>APROVADO</v>
          </cell>
          <cell r="F952" t="str">
            <v>APROVADO</v>
          </cell>
          <cell r="G952" t="str">
            <v>APROVADO</v>
          </cell>
          <cell r="H952" t="str">
            <v>APROVADO</v>
          </cell>
        </row>
        <row r="953">
          <cell r="B953" t="str">
            <v>NILSON BARBIERI</v>
          </cell>
          <cell r="E953" t="str">
            <v>APROVADO</v>
          </cell>
          <cell r="F953" t="str">
            <v>APROVADO</v>
          </cell>
          <cell r="G953" t="str">
            <v>APROVADO</v>
          </cell>
          <cell r="H953" t="str">
            <v>APROVADO</v>
          </cell>
        </row>
        <row r="954">
          <cell r="B954" t="str">
            <v>NILZA TERESINHA FAORO</v>
          </cell>
          <cell r="E954" t="str">
            <v>APROVADO</v>
          </cell>
          <cell r="F954" t="str">
            <v>APROVADO</v>
          </cell>
          <cell r="G954" t="str">
            <v>APROVADO</v>
          </cell>
          <cell r="H954" t="str">
            <v>APROVADO</v>
          </cell>
        </row>
        <row r="955">
          <cell r="B955" t="str">
            <v>NOURMIRIO BITTENCOURT TESSEROLI FILHO</v>
          </cell>
          <cell r="E955" t="str">
            <v>APROVADO</v>
          </cell>
          <cell r="F955" t="str">
            <v>APROVADO</v>
          </cell>
          <cell r="G955" t="str">
            <v>APROVADO</v>
          </cell>
          <cell r="H955" t="str">
            <v>APROVADO</v>
          </cell>
        </row>
        <row r="956">
          <cell r="B956" t="str">
            <v>OKSANDRO OSDIVAL GONCALVES</v>
          </cell>
          <cell r="E956" t="str">
            <v>APROVADO</v>
          </cell>
          <cell r="F956" t="str">
            <v>APROVADO</v>
          </cell>
          <cell r="G956" t="str">
            <v>APROVADO</v>
          </cell>
          <cell r="H956" t="str">
            <v>APROVADO</v>
          </cell>
        </row>
        <row r="957">
          <cell r="B957" t="str">
            <v>OLIMPIO DE PAULA XAVIER FILHO</v>
          </cell>
          <cell r="E957" t="str">
            <v>APROVADO</v>
          </cell>
          <cell r="F957" t="str">
            <v>APROVADO</v>
          </cell>
          <cell r="G957" t="str">
            <v>APROVADO</v>
          </cell>
          <cell r="H957" t="str">
            <v>APROVADO</v>
          </cell>
        </row>
        <row r="958">
          <cell r="B958" t="str">
            <v>ORLANDO MOTOHIRO TANAKA</v>
          </cell>
          <cell r="E958" t="str">
            <v>APROVADO</v>
          </cell>
          <cell r="F958" t="str">
            <v>APROVADO</v>
          </cell>
          <cell r="G958" t="str">
            <v>APROVADO</v>
          </cell>
          <cell r="H958" t="str">
            <v>APROVADO</v>
          </cell>
        </row>
        <row r="959">
          <cell r="B959" t="str">
            <v>OSIRIS CANCIGLIERI JUNIOR</v>
          </cell>
          <cell r="E959" t="str">
            <v>APROVADO</v>
          </cell>
          <cell r="F959" t="str">
            <v>APROVADO</v>
          </cell>
          <cell r="G959" t="str">
            <v>APROVADO</v>
          </cell>
          <cell r="H959" t="str">
            <v>APROVADO</v>
          </cell>
        </row>
        <row r="960">
          <cell r="B960" t="str">
            <v>OSNY DE BARROS JUNIOR</v>
          </cell>
          <cell r="E960" t="str">
            <v>APROVADO</v>
          </cell>
          <cell r="F960" t="str">
            <v>APROVADO</v>
          </cell>
          <cell r="G960" t="str">
            <v>APROVADO</v>
          </cell>
          <cell r="H960" t="str">
            <v>APROVADO</v>
          </cell>
        </row>
        <row r="961">
          <cell r="B961" t="str">
            <v>OSWALDO GIACOIA JUNIOR</v>
          </cell>
          <cell r="E961" t="str">
            <v>APROVADO</v>
          </cell>
          <cell r="F961" t="str">
            <v>APROVADO</v>
          </cell>
          <cell r="G961" t="str">
            <v>APROVADO</v>
          </cell>
          <cell r="H961" t="str">
            <v>APROVADO</v>
          </cell>
        </row>
        <row r="962">
          <cell r="B962" t="str">
            <v>OTTO HENRIQUE MARTINS DA SILVA</v>
          </cell>
          <cell r="E962" t="str">
            <v>APROVADO</v>
          </cell>
          <cell r="F962" t="str">
            <v>APROVADO</v>
          </cell>
          <cell r="G962" t="str">
            <v>APROVADO</v>
          </cell>
          <cell r="H962" t="str">
            <v>APROVADO</v>
          </cell>
        </row>
        <row r="963">
          <cell r="B963" t="str">
            <v>OTTO LEOPOLDO WINCK</v>
          </cell>
          <cell r="E963" t="str">
            <v>APROVADO</v>
          </cell>
          <cell r="F963" t="str">
            <v>APROVADO</v>
          </cell>
          <cell r="G963" t="str">
            <v>APROVADO</v>
          </cell>
          <cell r="H963" t="str">
            <v>APROVADO</v>
          </cell>
        </row>
        <row r="964">
          <cell r="B964" t="str">
            <v>PABLO GEORGIO DE SOUZA</v>
          </cell>
          <cell r="E964" t="str">
            <v>APROVADO</v>
          </cell>
          <cell r="F964" t="str">
            <v>APROVADO</v>
          </cell>
          <cell r="G964" t="str">
            <v>APROVADO</v>
          </cell>
          <cell r="H964" t="str">
            <v>APROVADO</v>
          </cell>
        </row>
        <row r="965">
          <cell r="B965" t="str">
            <v>PASQUALINO LAMORTE</v>
          </cell>
          <cell r="E965" t="str">
            <v>APROVADO</v>
          </cell>
          <cell r="F965" t="str">
            <v>APROVADO</v>
          </cell>
          <cell r="G965" t="str">
            <v>APROVADO</v>
          </cell>
          <cell r="H965" t="str">
            <v>APROVADO</v>
          </cell>
        </row>
        <row r="966">
          <cell r="B966" t="str">
            <v>PATRICIA APARECIDA BORTOLLOTI</v>
          </cell>
          <cell r="E966" t="str">
            <v>APROVADO</v>
          </cell>
          <cell r="F966" t="str">
            <v>APROVADO</v>
          </cell>
          <cell r="G966" t="str">
            <v>APROVADO</v>
          </cell>
          <cell r="H966" t="str">
            <v>APROVADO</v>
          </cell>
        </row>
        <row r="967">
          <cell r="B967" t="str">
            <v>PATRICIA CARLA GANDIN PEREIRA</v>
          </cell>
          <cell r="E967" t="str">
            <v>APROVADO</v>
          </cell>
          <cell r="F967" t="str">
            <v>APROVADO</v>
          </cell>
          <cell r="G967" t="str">
            <v>APROVADO</v>
          </cell>
          <cell r="H967" t="str">
            <v>APROVADO</v>
          </cell>
        </row>
        <row r="968">
          <cell r="B968" t="str">
            <v>PATRICIA CARLA ZANELATTO GONCALVES</v>
          </cell>
          <cell r="E968" t="str">
            <v>APROVADO</v>
          </cell>
          <cell r="F968" t="str">
            <v>APROVADO</v>
          </cell>
          <cell r="G968" t="str">
            <v>APROVADO</v>
          </cell>
          <cell r="H968" t="str">
            <v>APROVADO</v>
          </cell>
        </row>
        <row r="969">
          <cell r="B969" t="str">
            <v>PATRICIA ELIANE DA ROSA SARDETO</v>
          </cell>
          <cell r="E969" t="str">
            <v>FINALIZADO</v>
          </cell>
          <cell r="F969" t="str">
            <v>FINALIZADO</v>
          </cell>
          <cell r="G969" t="str">
            <v>APROVADO</v>
          </cell>
          <cell r="H969" t="str">
            <v>APROVADO</v>
          </cell>
        </row>
        <row r="970">
          <cell r="B970" t="str">
            <v>PATRICIA FONSECA FERREIRA FLEURY</v>
          </cell>
          <cell r="E970" t="str">
            <v>APROVADO</v>
          </cell>
          <cell r="F970" t="str">
            <v>APROVADO</v>
          </cell>
          <cell r="G970" t="str">
            <v>APROVADO</v>
          </cell>
          <cell r="H970" t="str">
            <v>APROVADO</v>
          </cell>
        </row>
        <row r="971">
          <cell r="B971" t="str">
            <v>PATRICIA GUILLON RIBEIRO</v>
          </cell>
          <cell r="E971" t="str">
            <v>APROVADO</v>
          </cell>
          <cell r="F971" t="str">
            <v>APROVADO</v>
          </cell>
          <cell r="G971" t="str">
            <v>APROVADO</v>
          </cell>
          <cell r="H971" t="str">
            <v>APROVADO</v>
          </cell>
        </row>
        <row r="972">
          <cell r="B972" t="str">
            <v>PATRICIA LONGHI BUSO</v>
          </cell>
          <cell r="E972" t="str">
            <v>APROVADO</v>
          </cell>
          <cell r="F972" t="str">
            <v>APROVADO</v>
          </cell>
          <cell r="G972" t="str">
            <v>APROVADO</v>
          </cell>
          <cell r="H972" t="str">
            <v>APROVADO</v>
          </cell>
        </row>
        <row r="973">
          <cell r="B973" t="str">
            <v>PATRICIA LUPION TORRES</v>
          </cell>
          <cell r="E973" t="str">
            <v>APROVADO</v>
          </cell>
          <cell r="F973" t="str">
            <v>APROVADO</v>
          </cell>
          <cell r="G973" t="str">
            <v>APROVADO</v>
          </cell>
          <cell r="H973" t="str">
            <v>APROVADO</v>
          </cell>
        </row>
        <row r="974">
          <cell r="B974" t="str">
            <v>PATRICIA MARIA STUELP CAMPELO</v>
          </cell>
          <cell r="E974" t="str">
            <v>APROVADO</v>
          </cell>
          <cell r="F974" t="str">
            <v>APROVADO</v>
          </cell>
          <cell r="G974" t="str">
            <v>APROVADO</v>
          </cell>
          <cell r="H974" t="str">
            <v>APROVADO</v>
          </cell>
        </row>
        <row r="975">
          <cell r="B975" t="str">
            <v>PATRICIA MARTIN</v>
          </cell>
          <cell r="E975" t="str">
            <v>APROVADO</v>
          </cell>
          <cell r="F975" t="str">
            <v>APROVADO</v>
          </cell>
          <cell r="G975" t="str">
            <v>APROVADO</v>
          </cell>
          <cell r="H975" t="str">
            <v>APROVADO</v>
          </cell>
        </row>
        <row r="976">
          <cell r="B976" t="str">
            <v>PATRICIA MINATOVICZ FERREIRA DOBLINSKI</v>
          </cell>
          <cell r="E976" t="str">
            <v>APROVADO</v>
          </cell>
          <cell r="F976" t="str">
            <v>APROVADO</v>
          </cell>
          <cell r="G976" t="str">
            <v>APROVADO</v>
          </cell>
          <cell r="H976" t="str">
            <v>APROVADO</v>
          </cell>
        </row>
        <row r="977">
          <cell r="B977" t="str">
            <v>PATRICIA REGINA PIASECKI CUSTODIO</v>
          </cell>
          <cell r="E977" t="str">
            <v>APROVADO</v>
          </cell>
          <cell r="F977" t="str">
            <v>APROVADO</v>
          </cell>
          <cell r="G977" t="str">
            <v>APROVADO</v>
          </cell>
          <cell r="H977" t="str">
            <v>APROVADO</v>
          </cell>
        </row>
        <row r="978">
          <cell r="B978" t="str">
            <v>PATRICIA RUCKER DE BASSI</v>
          </cell>
          <cell r="E978" t="str">
            <v>APROVADO</v>
          </cell>
          <cell r="F978" t="str">
            <v>APROVADO</v>
          </cell>
          <cell r="G978" t="str">
            <v>APROVADO</v>
          </cell>
          <cell r="H978" t="str">
            <v>APROVADO</v>
          </cell>
        </row>
        <row r="979">
          <cell r="B979" t="str">
            <v>PATRICIA TENDOLINI OLIVEIRA DE MELO</v>
          </cell>
          <cell r="E979" t="str">
            <v>APROVADO</v>
          </cell>
          <cell r="F979" t="str">
            <v>APROVADO</v>
          </cell>
          <cell r="G979" t="str">
            <v>APROVADO</v>
          </cell>
          <cell r="H979" t="str">
            <v>APROVADO</v>
          </cell>
        </row>
        <row r="980">
          <cell r="B980" t="str">
            <v>PATRICIA VERLINGUE RAMIRES MONTEIRO</v>
          </cell>
          <cell r="E980" t="str">
            <v>APROVADO</v>
          </cell>
          <cell r="F980" t="str">
            <v>APROVADO</v>
          </cell>
          <cell r="G980" t="str">
            <v>APROVADO</v>
          </cell>
          <cell r="H980" t="str">
            <v>APROVADO</v>
          </cell>
        </row>
        <row r="981">
          <cell r="B981" t="str">
            <v>PATRICIA ZAGANIN CAMILO ROSA</v>
          </cell>
          <cell r="E981" t="str">
            <v>APROVADO</v>
          </cell>
          <cell r="F981" t="str">
            <v>APROVADO</v>
          </cell>
          <cell r="G981" t="str">
            <v>APROVADO</v>
          </cell>
          <cell r="H981" t="str">
            <v>APROVADO</v>
          </cell>
        </row>
        <row r="982">
          <cell r="B982" t="str">
            <v>PAUL JURGEN KELTER</v>
          </cell>
          <cell r="E982" t="str">
            <v>APROVADO</v>
          </cell>
          <cell r="F982" t="str">
            <v>APROVADO</v>
          </cell>
          <cell r="G982" t="str">
            <v>APROVADO</v>
          </cell>
          <cell r="H982" t="str">
            <v>APROVADO</v>
          </cell>
        </row>
        <row r="983">
          <cell r="B983" t="str">
            <v>PAULA CENIRA SENGER DE CASTRO</v>
          </cell>
          <cell r="E983" t="str">
            <v>APROVADO</v>
          </cell>
          <cell r="F983" t="str">
            <v>APROVADO</v>
          </cell>
          <cell r="G983" t="str">
            <v>APROVADO</v>
          </cell>
          <cell r="H983" t="str">
            <v>APROVADO</v>
          </cell>
        </row>
        <row r="984">
          <cell r="B984" t="str">
            <v>PAULA CHRISTINA PIRES MULLER MAINGUE</v>
          </cell>
          <cell r="E984" t="str">
            <v>APROVADO</v>
          </cell>
          <cell r="F984" t="str">
            <v>APROVADO</v>
          </cell>
          <cell r="G984" t="str">
            <v>APROVADO</v>
          </cell>
          <cell r="H984" t="str">
            <v>APROVADO</v>
          </cell>
        </row>
        <row r="985">
          <cell r="B985" t="str">
            <v>PAULA CRISTINA TREVILATTO</v>
          </cell>
          <cell r="E985" t="str">
            <v>APROVADO</v>
          </cell>
          <cell r="F985" t="str">
            <v>APROVADO</v>
          </cell>
          <cell r="G985" t="str">
            <v>APROVADO</v>
          </cell>
          <cell r="H985" t="str">
            <v>APROVADO</v>
          </cell>
        </row>
        <row r="986">
          <cell r="B986" t="str">
            <v>PAULA HITOMI SAKIYAMA LUCONI</v>
          </cell>
          <cell r="E986" t="str">
            <v>APROVADO</v>
          </cell>
          <cell r="F986" t="str">
            <v>APROVADO</v>
          </cell>
          <cell r="G986" t="str">
            <v>APROVADO</v>
          </cell>
          <cell r="H986" t="str">
            <v>APROVADO</v>
          </cell>
        </row>
        <row r="987">
          <cell r="B987" t="str">
            <v>PAULINA ALEJANDRA SANTANDER PEREZ</v>
          </cell>
          <cell r="E987" t="str">
            <v>APROVADO</v>
          </cell>
          <cell r="F987" t="str">
            <v>APROVADO</v>
          </cell>
          <cell r="G987" t="str">
            <v>APROVADO</v>
          </cell>
          <cell r="H987" t="str">
            <v>APROVADO</v>
          </cell>
        </row>
        <row r="988">
          <cell r="B988" t="str">
            <v>PAULO ADILSON HERRERA</v>
          </cell>
          <cell r="E988" t="str">
            <v>APROVADO</v>
          </cell>
          <cell r="F988" t="str">
            <v>APROVADO</v>
          </cell>
          <cell r="G988" t="str">
            <v>APROVADO</v>
          </cell>
          <cell r="H988" t="str">
            <v>APROVADO</v>
          </cell>
        </row>
        <row r="989">
          <cell r="B989" t="str">
            <v>PAULO AUGUSTO CAUCHICK MIGUEL</v>
          </cell>
          <cell r="E989" t="str">
            <v>APROVADO</v>
          </cell>
          <cell r="F989" t="str">
            <v>APROVADO</v>
          </cell>
          <cell r="G989" t="str">
            <v>APROVADO</v>
          </cell>
          <cell r="H989" t="str">
            <v>APROVADO</v>
          </cell>
        </row>
        <row r="990">
          <cell r="B990" t="str">
            <v>PAULO CESAR BUSATO</v>
          </cell>
          <cell r="E990" t="str">
            <v>APROVADO</v>
          </cell>
          <cell r="F990" t="str">
            <v>APROVADO</v>
          </cell>
          <cell r="G990" t="str">
            <v>APROVADO</v>
          </cell>
          <cell r="H990" t="str">
            <v>APROVADO</v>
          </cell>
        </row>
        <row r="991">
          <cell r="B991" t="str">
            <v>PAULO CESAR DE BARROS</v>
          </cell>
          <cell r="E991" t="str">
            <v>APROVADO</v>
          </cell>
          <cell r="F991" t="str">
            <v>APROVADO</v>
          </cell>
          <cell r="G991" t="str">
            <v>APROVADO</v>
          </cell>
          <cell r="H991" t="str">
            <v>APROVADO</v>
          </cell>
        </row>
        <row r="992">
          <cell r="B992" t="str">
            <v>PAULO CESAR PHILIPPI</v>
          </cell>
          <cell r="E992" t="str">
            <v>APROVADO</v>
          </cell>
          <cell r="F992" t="str">
            <v>APROVADO</v>
          </cell>
          <cell r="G992" t="str">
            <v>APROVADO</v>
          </cell>
          <cell r="H992" t="str">
            <v>APROVADO</v>
          </cell>
        </row>
        <row r="993">
          <cell r="B993" t="str">
            <v>PAULO CESAR PORTO MARTINS</v>
          </cell>
          <cell r="E993" t="str">
            <v>APROVADO</v>
          </cell>
          <cell r="F993" t="str">
            <v>APROVADO</v>
          </cell>
          <cell r="G993" t="str">
            <v>APROVADO</v>
          </cell>
          <cell r="H993" t="str">
            <v>APROVADO</v>
          </cell>
        </row>
        <row r="994">
          <cell r="B994" t="str">
            <v>PAULO CESAR SOARES JUNIOR</v>
          </cell>
          <cell r="E994" t="str">
            <v>APROVADO</v>
          </cell>
          <cell r="F994" t="str">
            <v>APROVADO</v>
          </cell>
          <cell r="G994" t="str">
            <v>APROVADO</v>
          </cell>
          <cell r="H994" t="str">
            <v>APROVADO</v>
          </cell>
        </row>
        <row r="995">
          <cell r="B995" t="str">
            <v>PAULO CESAR ZIMMERMANN FELCHNER</v>
          </cell>
          <cell r="E995" t="str">
            <v>APROVADO</v>
          </cell>
          <cell r="F995" t="str">
            <v>APROVADO</v>
          </cell>
          <cell r="G995" t="str">
            <v>APROVADO</v>
          </cell>
          <cell r="H995" t="str">
            <v>APROVADO</v>
          </cell>
        </row>
        <row r="996">
          <cell r="B996" t="str">
            <v>PAULO D ASSUMPCAO ZANIOL</v>
          </cell>
          <cell r="E996" t="str">
            <v>APROVADO</v>
          </cell>
          <cell r="F996" t="str">
            <v>APROVADO</v>
          </cell>
          <cell r="G996" t="str">
            <v>APROVADO</v>
          </cell>
          <cell r="H996" t="str">
            <v>APROVADO</v>
          </cell>
        </row>
        <row r="997">
          <cell r="B997" t="str">
            <v>PAULO DE PAULA BAPTISTA</v>
          </cell>
          <cell r="E997" t="str">
            <v>FINALIZADO</v>
          </cell>
          <cell r="F997" t="str">
            <v>AGUARDANDO APROVAÇÃO</v>
          </cell>
          <cell r="G997" t="str">
            <v>AGUARDANDO APROVAÇÃO</v>
          </cell>
          <cell r="H997" t="str">
            <v>AGUARDANDO APROVAÇÃO</v>
          </cell>
        </row>
        <row r="998">
          <cell r="B998" t="str">
            <v>PAULO EDUARDO LOPES DA SILVA</v>
          </cell>
          <cell r="E998" t="str">
            <v>APROVADO</v>
          </cell>
          <cell r="F998" t="str">
            <v>APROVADO</v>
          </cell>
          <cell r="G998" t="str">
            <v>APROVADO</v>
          </cell>
          <cell r="H998" t="str">
            <v>APROVADO</v>
          </cell>
        </row>
        <row r="999">
          <cell r="B999" t="str">
            <v>PAULO EDUARDO PINHEIRO ROSA</v>
          </cell>
          <cell r="E999" t="str">
            <v>APROVADO</v>
          </cell>
          <cell r="F999" t="str">
            <v>APROVADO</v>
          </cell>
          <cell r="G999" t="str">
            <v>APROVADO</v>
          </cell>
          <cell r="H999" t="str">
            <v>APROVADO</v>
          </cell>
        </row>
        <row r="1000">
          <cell r="B1000" t="str">
            <v>PAULO GUSTAVO KOTZE</v>
          </cell>
          <cell r="E1000" t="str">
            <v>APROVADO</v>
          </cell>
          <cell r="F1000" t="str">
            <v>APROVADO</v>
          </cell>
          <cell r="G1000" t="str">
            <v>APROVADO</v>
          </cell>
          <cell r="H1000" t="str">
            <v>APROVADO</v>
          </cell>
        </row>
        <row r="1001">
          <cell r="B1001" t="str">
            <v>PAULO HENRIQUE COUTO SOUZA</v>
          </cell>
          <cell r="E1001" t="str">
            <v>APROVADO</v>
          </cell>
          <cell r="F1001" t="str">
            <v>APROVADO</v>
          </cell>
          <cell r="G1001" t="str">
            <v>APROVADO</v>
          </cell>
          <cell r="H1001" t="str">
            <v>APROVADO</v>
          </cell>
        </row>
        <row r="1002">
          <cell r="B1002" t="str">
            <v>PAULO HENRIQUE GUILMAN TANIZAWA</v>
          </cell>
          <cell r="E1002" t="str">
            <v>APROVADO</v>
          </cell>
          <cell r="F1002" t="str">
            <v>APROVADO</v>
          </cell>
          <cell r="G1002" t="str">
            <v>APROVADO</v>
          </cell>
          <cell r="H1002" t="str">
            <v>APROVADO</v>
          </cell>
        </row>
        <row r="1003">
          <cell r="B1003" t="str">
            <v>PAULO HENRIQUE MARAVIESKI BRAMBILLA</v>
          </cell>
          <cell r="E1003" t="str">
            <v>APROVADO</v>
          </cell>
          <cell r="F1003" t="str">
            <v>APROVADO</v>
          </cell>
          <cell r="G1003" t="str">
            <v>APROVADO</v>
          </cell>
          <cell r="H1003" t="str">
            <v>APROVADO</v>
          </cell>
        </row>
        <row r="1004">
          <cell r="B1004" t="str">
            <v>PAULO HENRIQUE REIS NEGREIROS</v>
          </cell>
          <cell r="E1004" t="str">
            <v>APROVADO</v>
          </cell>
          <cell r="F1004" t="str">
            <v>APROVADO</v>
          </cell>
          <cell r="G1004" t="str">
            <v>APROVADO</v>
          </cell>
          <cell r="H1004" t="str">
            <v>APROVADO</v>
          </cell>
        </row>
        <row r="1005">
          <cell r="B1005" t="str">
            <v>PAULO NASCIMENTO NETO</v>
          </cell>
          <cell r="E1005" t="str">
            <v>APROVADO</v>
          </cell>
          <cell r="F1005" t="str">
            <v>APROVADO</v>
          </cell>
          <cell r="G1005" t="str">
            <v>APROVADO</v>
          </cell>
          <cell r="H1005" t="str">
            <v>APROVADO</v>
          </cell>
        </row>
        <row r="1006">
          <cell r="B1006" t="str">
            <v>PAULO OTAVIO MUSSI AUGUSTO</v>
          </cell>
          <cell r="E1006" t="str">
            <v>APROVADO</v>
          </cell>
          <cell r="F1006" t="str">
            <v>APROVADO</v>
          </cell>
          <cell r="G1006" t="str">
            <v>APROVADO</v>
          </cell>
          <cell r="H1006" t="str">
            <v>APROVADO</v>
          </cell>
        </row>
        <row r="1007">
          <cell r="B1007" t="str">
            <v>PAULO POLI NETO</v>
          </cell>
          <cell r="E1007" t="str">
            <v>APROVADO</v>
          </cell>
          <cell r="F1007" t="str">
            <v>APROVADO</v>
          </cell>
          <cell r="G1007" t="str">
            <v>APROVADO</v>
          </cell>
          <cell r="H1007" t="str">
            <v>APROVADO</v>
          </cell>
        </row>
        <row r="1008">
          <cell r="B1008" t="str">
            <v>PAULO RICARDO FRANCIOZI GOIS</v>
          </cell>
          <cell r="E1008" t="str">
            <v>APROVADO</v>
          </cell>
          <cell r="F1008" t="str">
            <v>APROVADO</v>
          </cell>
          <cell r="G1008" t="str">
            <v>APROVADO</v>
          </cell>
          <cell r="H1008" t="str">
            <v>APROVADO</v>
          </cell>
        </row>
        <row r="1009">
          <cell r="B1009" t="str">
            <v>PAULO ROBERTO BIGNARDI</v>
          </cell>
          <cell r="E1009" t="str">
            <v>APROVADO</v>
          </cell>
          <cell r="F1009" t="str">
            <v>APROVADO</v>
          </cell>
          <cell r="G1009" t="str">
            <v>APROVADO</v>
          </cell>
          <cell r="H1009" t="str">
            <v>APROVADO</v>
          </cell>
        </row>
        <row r="1010">
          <cell r="B1010" t="str">
            <v>PAULO ROBERTO FERREIRA DE CAMARGO</v>
          </cell>
          <cell r="E1010" t="str">
            <v>APROVADO</v>
          </cell>
          <cell r="F1010" t="str">
            <v>APROVADO</v>
          </cell>
          <cell r="G1010" t="str">
            <v>APROVADO</v>
          </cell>
          <cell r="H1010" t="str">
            <v>APROVADO</v>
          </cell>
        </row>
        <row r="1011">
          <cell r="B1011" t="str">
            <v>PAULO ROBERTO SLUD BROFMAN</v>
          </cell>
          <cell r="E1011" t="str">
            <v>APROVADO</v>
          </cell>
          <cell r="F1011" t="str">
            <v>APROVADO</v>
          </cell>
          <cell r="G1011" t="str">
            <v>APROVADO</v>
          </cell>
          <cell r="H1011" t="str">
            <v>APROVADO</v>
          </cell>
        </row>
        <row r="1012">
          <cell r="B1012" t="str">
            <v>PAULO ROBERTO STOBERL</v>
          </cell>
          <cell r="E1012" t="str">
            <v>APROVADO</v>
          </cell>
          <cell r="F1012" t="str">
            <v>APROVADO</v>
          </cell>
          <cell r="G1012" t="str">
            <v>APROVADO</v>
          </cell>
          <cell r="H1012" t="str">
            <v>APROVADO</v>
          </cell>
        </row>
        <row r="1013">
          <cell r="B1013" t="str">
            <v>PAULO SERGIO BATISTA DE PAULA</v>
          </cell>
          <cell r="E1013" t="str">
            <v>APROVADO</v>
          </cell>
          <cell r="F1013" t="str">
            <v>APROVADO</v>
          </cell>
          <cell r="G1013" t="str">
            <v>APROVADO</v>
          </cell>
          <cell r="H1013" t="str">
            <v>APROVADO</v>
          </cell>
        </row>
        <row r="1014">
          <cell r="B1014" t="str">
            <v>PAULO SERGIO MACUCHEN NOGAS</v>
          </cell>
          <cell r="E1014" t="str">
            <v>APROVADO</v>
          </cell>
          <cell r="F1014" t="str">
            <v>APROVADO</v>
          </cell>
          <cell r="G1014" t="str">
            <v>APROVADO</v>
          </cell>
          <cell r="H1014" t="str">
            <v>APROVADO</v>
          </cell>
        </row>
        <row r="1015">
          <cell r="B1015" t="str">
            <v>PAULO SERGIO MIGUEL</v>
          </cell>
          <cell r="E1015" t="str">
            <v>APROVADO</v>
          </cell>
          <cell r="F1015" t="str">
            <v>APROVADO</v>
          </cell>
          <cell r="G1015" t="str">
            <v>APROVADO</v>
          </cell>
          <cell r="H1015" t="str">
            <v>APROVADO</v>
          </cell>
        </row>
        <row r="1016">
          <cell r="B1016" t="str">
            <v>PEDRO GUILHERME RIBEIRO PICCOLI</v>
          </cell>
          <cell r="E1016" t="str">
            <v>APROVADO</v>
          </cell>
          <cell r="F1016" t="str">
            <v>APROVADO</v>
          </cell>
          <cell r="G1016" t="str">
            <v>APROVADO</v>
          </cell>
          <cell r="H1016" t="str">
            <v>APROVADO</v>
          </cell>
        </row>
        <row r="1017">
          <cell r="B1017" t="str">
            <v>PEDRO HENRIQUE CARVALHO DA COSTA</v>
          </cell>
          <cell r="E1017" t="str">
            <v>APROVADO</v>
          </cell>
          <cell r="F1017" t="str">
            <v>APROVADO</v>
          </cell>
          <cell r="G1017" t="str">
            <v>APROVADO</v>
          </cell>
          <cell r="H1017" t="str">
            <v>APROVADO</v>
          </cell>
        </row>
        <row r="1018">
          <cell r="B1018" t="str">
            <v>PEDRO HORCHULHACK</v>
          </cell>
          <cell r="E1018" t="str">
            <v>NÃO CRIADO</v>
          </cell>
          <cell r="F1018" t="str">
            <v>NÃO CRIADO</v>
          </cell>
          <cell r="G1018" t="str">
            <v>NÃO CRIADO</v>
          </cell>
          <cell r="H1018" t="str">
            <v>NÃO CRIADO</v>
          </cell>
        </row>
        <row r="1019">
          <cell r="B1019" t="str">
            <v>PEDRO ROCHA HORCHULHACK</v>
          </cell>
          <cell r="E1019" t="str">
            <v>APROVADO</v>
          </cell>
          <cell r="F1019" t="str">
            <v>APROVADO</v>
          </cell>
          <cell r="G1019" t="str">
            <v>APROVADO</v>
          </cell>
          <cell r="H1019" t="str">
            <v>APROVADO</v>
          </cell>
        </row>
        <row r="1020">
          <cell r="B1020" t="str">
            <v>PEDRO VICENTE MICHELOTTO JUNIOR</v>
          </cell>
          <cell r="E1020" t="str">
            <v>APROVADO</v>
          </cell>
          <cell r="F1020" t="str">
            <v>APROVADO</v>
          </cell>
          <cell r="G1020" t="str">
            <v>APROVADO</v>
          </cell>
          <cell r="H1020" t="str">
            <v>APROVADO</v>
          </cell>
        </row>
        <row r="1021">
          <cell r="B1021" t="str">
            <v>PERCY NOHAMA</v>
          </cell>
          <cell r="E1021" t="str">
            <v>APROVADO</v>
          </cell>
          <cell r="F1021" t="str">
            <v>APROVADO</v>
          </cell>
          <cell r="G1021" t="str">
            <v>APROVADO</v>
          </cell>
          <cell r="H1021" t="str">
            <v>APROVADO</v>
          </cell>
        </row>
        <row r="1022">
          <cell r="B1022" t="str">
            <v>PERI MESQUIDA</v>
          </cell>
          <cell r="E1022" t="str">
            <v>APROVADO</v>
          </cell>
          <cell r="F1022" t="str">
            <v>APROVADO</v>
          </cell>
          <cell r="G1022" t="str">
            <v>APROVADO</v>
          </cell>
          <cell r="H1022" t="str">
            <v>APROVADO</v>
          </cell>
        </row>
        <row r="1023">
          <cell r="B1023" t="str">
            <v>PHILIPE QUAGLIATO BELLINATI</v>
          </cell>
          <cell r="E1023" t="str">
            <v>APROVADO</v>
          </cell>
          <cell r="F1023" t="str">
            <v>APROVADO</v>
          </cell>
          <cell r="G1023" t="str">
            <v>APROVADO</v>
          </cell>
          <cell r="H1023" t="str">
            <v>APROVADO</v>
          </cell>
        </row>
        <row r="1024">
          <cell r="B1024" t="str">
            <v>PRISCILA BRENTAN PRAXEDES PEREIRA</v>
          </cell>
          <cell r="E1024" t="str">
            <v>APROVADO</v>
          </cell>
          <cell r="F1024" t="str">
            <v>APROVADO</v>
          </cell>
          <cell r="G1024" t="str">
            <v>APROVADO</v>
          </cell>
          <cell r="H1024" t="str">
            <v>APROVADO</v>
          </cell>
        </row>
        <row r="1025">
          <cell r="B1025" t="str">
            <v>PRISCILA DAIANE PAVEZZI DI RICO</v>
          </cell>
          <cell r="E1025" t="str">
            <v>APROVADO</v>
          </cell>
          <cell r="F1025" t="str">
            <v>APROVADO</v>
          </cell>
          <cell r="G1025" t="str">
            <v>APROVADO</v>
          </cell>
          <cell r="H1025" t="str">
            <v>APROVADO</v>
          </cell>
        </row>
        <row r="1026">
          <cell r="B1026" t="str">
            <v>PRISCILA SILVA ROCHA</v>
          </cell>
          <cell r="E1026" t="str">
            <v>APROVADO</v>
          </cell>
          <cell r="F1026" t="str">
            <v>APROVADO</v>
          </cell>
          <cell r="G1026" t="str">
            <v>APROVADO</v>
          </cell>
          <cell r="H1026" t="str">
            <v>APROVADO</v>
          </cell>
        </row>
        <row r="1027">
          <cell r="B1027" t="str">
            <v>PRISCILA XIMENES SOUZA DO NASCIMENTO</v>
          </cell>
          <cell r="E1027" t="str">
            <v>APROVADO</v>
          </cell>
          <cell r="F1027" t="str">
            <v>APROVADO</v>
          </cell>
          <cell r="G1027" t="str">
            <v>APROVADO</v>
          </cell>
          <cell r="H1027" t="str">
            <v>APROVADO</v>
          </cell>
        </row>
        <row r="1028">
          <cell r="B1028" t="str">
            <v>PRISCILLA PEREZ RUSSO</v>
          </cell>
          <cell r="E1028" t="str">
            <v>APROVADO</v>
          </cell>
          <cell r="F1028" t="str">
            <v>APROVADO</v>
          </cell>
          <cell r="G1028" t="str">
            <v>APROVADO</v>
          </cell>
          <cell r="H1028" t="str">
            <v>APROVADO</v>
          </cell>
        </row>
        <row r="1029">
          <cell r="B1029" t="str">
            <v>PURA LUCIA OLIVER MARTINS</v>
          </cell>
          <cell r="E1029" t="str">
            <v>APROVADO</v>
          </cell>
          <cell r="F1029" t="str">
            <v>APROVADO</v>
          </cell>
          <cell r="G1029" t="str">
            <v>APROVADO</v>
          </cell>
          <cell r="H1029" t="str">
            <v>APROVADO</v>
          </cell>
        </row>
        <row r="1030">
          <cell r="B1030" t="str">
            <v>RAFAEL AUGUSTO CAMARGO</v>
          </cell>
          <cell r="E1030" t="str">
            <v>APROVADO</v>
          </cell>
          <cell r="F1030" t="str">
            <v>APROVADO</v>
          </cell>
          <cell r="G1030" t="str">
            <v>APROVADO</v>
          </cell>
          <cell r="H1030" t="str">
            <v>APROVADO</v>
          </cell>
        </row>
        <row r="1031">
          <cell r="B1031" t="str">
            <v>RAFAEL CARVALHO MACHADO</v>
          </cell>
          <cell r="E1031" t="str">
            <v>APROVADO</v>
          </cell>
          <cell r="F1031" t="str">
            <v>APROVADO</v>
          </cell>
          <cell r="G1031" t="str">
            <v>APROVADO</v>
          </cell>
          <cell r="H1031" t="str">
            <v>APROVADO</v>
          </cell>
        </row>
        <row r="1032">
          <cell r="B1032" t="str">
            <v>RAFAEL DE OLIVEIRA ANDRADE</v>
          </cell>
          <cell r="E1032" t="str">
            <v>APROVADO</v>
          </cell>
          <cell r="F1032" t="str">
            <v>APROVADO</v>
          </cell>
          <cell r="G1032" t="str">
            <v>APROVADO</v>
          </cell>
          <cell r="H1032" t="str">
            <v>APROVADO</v>
          </cell>
        </row>
        <row r="1033">
          <cell r="B1033" t="str">
            <v>RAFAEL DIREITO TEIXEIRA</v>
          </cell>
          <cell r="E1033" t="str">
            <v>FINALIZADO</v>
          </cell>
          <cell r="F1033" t="str">
            <v>FINALIZADO</v>
          </cell>
          <cell r="G1033" t="str">
            <v>FINALIZADO</v>
          </cell>
          <cell r="H1033" t="str">
            <v>FINALIZADO</v>
          </cell>
        </row>
        <row r="1034">
          <cell r="B1034" t="str">
            <v>RAFAEL IGLESIAS MENEZES DA SILVA</v>
          </cell>
          <cell r="E1034" t="str">
            <v>APROVADO</v>
          </cell>
          <cell r="F1034" t="str">
            <v>APROVADO</v>
          </cell>
          <cell r="G1034" t="str">
            <v>APROVADO</v>
          </cell>
          <cell r="H1034" t="str">
            <v>APROVADO</v>
          </cell>
        </row>
        <row r="1035">
          <cell r="B1035" t="str">
            <v>RAFAEL JUNIOR SOARES</v>
          </cell>
          <cell r="E1035" t="str">
            <v>APROVADO</v>
          </cell>
          <cell r="F1035" t="str">
            <v>APROVADO</v>
          </cell>
          <cell r="G1035" t="str">
            <v>APROVADO</v>
          </cell>
          <cell r="H1035" t="str">
            <v>APROVADO</v>
          </cell>
        </row>
        <row r="1036">
          <cell r="B1036" t="str">
            <v>RAFAEL LOPES LAGOS</v>
          </cell>
          <cell r="E1036" t="str">
            <v>APROVADO</v>
          </cell>
          <cell r="F1036" t="str">
            <v>APROVADO</v>
          </cell>
          <cell r="G1036" t="str">
            <v>APROVADO</v>
          </cell>
          <cell r="H1036" t="str">
            <v>APROVADO</v>
          </cell>
        </row>
        <row r="1037">
          <cell r="B1037" t="str">
            <v>RAFAEL MATTA CARNASCIALI</v>
          </cell>
          <cell r="E1037" t="str">
            <v>APROVADO</v>
          </cell>
          <cell r="F1037" t="str">
            <v>APROVADO</v>
          </cell>
          <cell r="G1037" t="str">
            <v>APROVADO</v>
          </cell>
          <cell r="H1037" t="str">
            <v>APROVADO</v>
          </cell>
        </row>
        <row r="1038">
          <cell r="B1038" t="str">
            <v>RAFAEL MENDONCA REY DOS SANTOS</v>
          </cell>
          <cell r="E1038" t="str">
            <v>APROVADO</v>
          </cell>
          <cell r="F1038" t="str">
            <v>APROVADO</v>
          </cell>
          <cell r="G1038" t="str">
            <v>APROVADO</v>
          </cell>
          <cell r="H1038" t="str">
            <v>APROVADO</v>
          </cell>
        </row>
        <row r="1039">
          <cell r="B1039" t="str">
            <v>RAFAEL TORRES BRUM</v>
          </cell>
          <cell r="E1039" t="str">
            <v>APROVADO</v>
          </cell>
          <cell r="F1039" t="str">
            <v>APROVADO</v>
          </cell>
          <cell r="G1039" t="str">
            <v>APROVADO</v>
          </cell>
          <cell r="H1039" t="str">
            <v>APROVADO</v>
          </cell>
        </row>
        <row r="1040">
          <cell r="B1040" t="str">
            <v>RAFAEL WEISSHEIMER</v>
          </cell>
          <cell r="E1040" t="str">
            <v>APROVADO</v>
          </cell>
          <cell r="F1040" t="str">
            <v>APROVADO</v>
          </cell>
          <cell r="G1040" t="str">
            <v>APROVADO</v>
          </cell>
          <cell r="H1040" t="str">
            <v>APROVADO</v>
          </cell>
        </row>
        <row r="1041">
          <cell r="B1041" t="str">
            <v>RAFAELA DA SILVA LIMONS DA CUNHA</v>
          </cell>
          <cell r="E1041" t="str">
            <v>APROVADO</v>
          </cell>
          <cell r="F1041" t="str">
            <v>APROVADO</v>
          </cell>
          <cell r="G1041" t="str">
            <v>APROVADO</v>
          </cell>
          <cell r="H1041" t="str">
            <v>APROVADO</v>
          </cell>
        </row>
        <row r="1042">
          <cell r="B1042" t="str">
            <v>RAFAELA FRANCO CLAUDINO</v>
          </cell>
          <cell r="E1042" t="str">
            <v>APROVADO</v>
          </cell>
          <cell r="F1042" t="str">
            <v>APROVADO</v>
          </cell>
          <cell r="G1042" t="str">
            <v>APROVADO</v>
          </cell>
          <cell r="H1042" t="str">
            <v>APROVADO</v>
          </cell>
        </row>
        <row r="1043">
          <cell r="B1043" t="str">
            <v>RAFAELA RODRIGUES SAMPAIO NOGUEIRA</v>
          </cell>
          <cell r="E1043" t="str">
            <v>APROVADO</v>
          </cell>
          <cell r="F1043" t="str">
            <v>APROVADO</v>
          </cell>
          <cell r="G1043" t="str">
            <v>APROVADO</v>
          </cell>
          <cell r="H1043" t="str">
            <v>APROVADO</v>
          </cell>
        </row>
        <row r="1044">
          <cell r="B1044" t="str">
            <v>RAFAELLA STRADIOTTO BERNARDELLI</v>
          </cell>
          <cell r="E1044" t="str">
            <v>APROVADO</v>
          </cell>
          <cell r="F1044" t="str">
            <v>APROVADO</v>
          </cell>
          <cell r="G1044" t="str">
            <v>APROVADO</v>
          </cell>
          <cell r="H1044" t="str">
            <v>APROVADO</v>
          </cell>
        </row>
        <row r="1045">
          <cell r="B1045" t="str">
            <v>RAISSA CAMPOS D AMICO</v>
          </cell>
          <cell r="E1045" t="str">
            <v>APROVADO</v>
          </cell>
          <cell r="F1045" t="str">
            <v>APROVADO</v>
          </cell>
          <cell r="G1045" t="str">
            <v>APROVADO</v>
          </cell>
          <cell r="H1045" t="str">
            <v>APROVADO</v>
          </cell>
        </row>
        <row r="1046">
          <cell r="B1046" t="str">
            <v>RAMON GOMES DA SILVA</v>
          </cell>
          <cell r="E1046" t="str">
            <v>APROVADO</v>
          </cell>
          <cell r="F1046" t="str">
            <v>APROVADO</v>
          </cell>
          <cell r="G1046" t="str">
            <v>APROVADO</v>
          </cell>
          <cell r="H1046" t="str">
            <v>APROVADO</v>
          </cell>
        </row>
        <row r="1047">
          <cell r="B1047" t="str">
            <v>RAPHAEL CHRYSTOPHER BORGUEZAN</v>
          </cell>
          <cell r="E1047" t="str">
            <v>APROVADO</v>
          </cell>
          <cell r="F1047" t="str">
            <v>APROVADO</v>
          </cell>
          <cell r="G1047" t="str">
            <v>APROVADO</v>
          </cell>
          <cell r="H1047" t="str">
            <v>APROVADO</v>
          </cell>
        </row>
        <row r="1048">
          <cell r="B1048" t="str">
            <v>RAPHAEL DONADIO PITTA</v>
          </cell>
          <cell r="E1048" t="str">
            <v>APROVADO</v>
          </cell>
          <cell r="F1048" t="str">
            <v>APROVADO</v>
          </cell>
          <cell r="G1048" t="str">
            <v>APROVADO</v>
          </cell>
          <cell r="H1048" t="str">
            <v>APROVADO</v>
          </cell>
        </row>
        <row r="1049">
          <cell r="B1049" t="str">
            <v>RAQUEL CAVALCANTE CABRAL</v>
          </cell>
          <cell r="E1049" t="str">
            <v>APROVADO</v>
          </cell>
          <cell r="F1049" t="str">
            <v>APROVADO</v>
          </cell>
          <cell r="G1049" t="str">
            <v>APROVADO</v>
          </cell>
          <cell r="H1049" t="str">
            <v>APROVADO</v>
          </cell>
        </row>
        <row r="1050">
          <cell r="B1050" t="str">
            <v>RAQUEL CRISTINA SILVA DAS NEVES</v>
          </cell>
          <cell r="E1050" t="str">
            <v>APROVADO</v>
          </cell>
          <cell r="F1050" t="str">
            <v>APROVADO</v>
          </cell>
          <cell r="G1050" t="str">
            <v>APROVADO</v>
          </cell>
          <cell r="H1050" t="str">
            <v>APROVADO</v>
          </cell>
        </row>
        <row r="1051">
          <cell r="B1051" t="str">
            <v>RAQUEL JAQUELINE FARION</v>
          </cell>
          <cell r="E1051" t="str">
            <v>APROVADO</v>
          </cell>
          <cell r="F1051" t="str">
            <v>APROVADO</v>
          </cell>
          <cell r="G1051" t="str">
            <v>APROVADO</v>
          </cell>
          <cell r="H1051" t="str">
            <v>APROVADO</v>
          </cell>
        </row>
        <row r="1052">
          <cell r="B1052" t="str">
            <v>RAQUEL MERCEDES MOTTA XAVIER</v>
          </cell>
          <cell r="E1052" t="str">
            <v>APROVADO</v>
          </cell>
          <cell r="F1052" t="str">
            <v>APROVADO</v>
          </cell>
          <cell r="G1052" t="str">
            <v>APROVADO</v>
          </cell>
          <cell r="H1052" t="str">
            <v>APROVADO</v>
          </cell>
        </row>
        <row r="1053">
          <cell r="B1053" t="str">
            <v>RAQUEL PANKE BITTENCOURT</v>
          </cell>
          <cell r="E1053" t="str">
            <v>APROVADO</v>
          </cell>
          <cell r="F1053" t="str">
            <v>APROVADO</v>
          </cell>
          <cell r="G1053" t="str">
            <v>APROVADO</v>
          </cell>
          <cell r="H1053" t="str">
            <v>APROVADO</v>
          </cell>
        </row>
        <row r="1054">
          <cell r="B1054" t="str">
            <v>RAQUEL PASTERNAK GLITZ KOWALSKI</v>
          </cell>
          <cell r="E1054" t="str">
            <v>APROVADO</v>
          </cell>
          <cell r="F1054" t="str">
            <v>APROVADO</v>
          </cell>
          <cell r="G1054" t="str">
            <v>APROVADO</v>
          </cell>
          <cell r="H1054" t="str">
            <v>APROVADO</v>
          </cell>
        </row>
        <row r="1055">
          <cell r="B1055" t="str">
            <v>RAQUEL PEREIRA RODRIGUES LEITE</v>
          </cell>
          <cell r="E1055" t="str">
            <v>APROVADO</v>
          </cell>
          <cell r="F1055" t="str">
            <v>APROVADO</v>
          </cell>
          <cell r="G1055" t="str">
            <v>APROVADO</v>
          </cell>
          <cell r="H1055" t="str">
            <v>APROVADO</v>
          </cell>
        </row>
        <row r="1056">
          <cell r="B1056" t="str">
            <v>RAYSON BARTOSKI LAROCA DOS SANTOS</v>
          </cell>
          <cell r="E1056" t="str">
            <v>APROVADO</v>
          </cell>
          <cell r="F1056" t="str">
            <v>APROVADO</v>
          </cell>
          <cell r="G1056" t="str">
            <v>APROVADO</v>
          </cell>
          <cell r="H1056" t="str">
            <v>APROVADO</v>
          </cell>
        </row>
        <row r="1057">
          <cell r="B1057" t="str">
            <v>REBECA FERNANDES DIAS</v>
          </cell>
          <cell r="E1057" t="str">
            <v>APROVADO</v>
          </cell>
          <cell r="F1057" t="str">
            <v>APROVADO</v>
          </cell>
          <cell r="G1057" t="str">
            <v>APROVADO</v>
          </cell>
          <cell r="H1057" t="str">
            <v>APROVADO</v>
          </cell>
        </row>
        <row r="1058">
          <cell r="B1058" t="str">
            <v>REGINA CELIA POLI FREDERICO</v>
          </cell>
          <cell r="E1058" t="str">
            <v>APROVADO</v>
          </cell>
          <cell r="F1058" t="str">
            <v>APROVADO</v>
          </cell>
          <cell r="G1058" t="str">
            <v>APROVADO</v>
          </cell>
          <cell r="H1058" t="str">
            <v>APROVADO</v>
          </cell>
        </row>
        <row r="1059">
          <cell r="B1059" t="str">
            <v>REGINA FABIA LOPES DE ALBUQUERQUE</v>
          </cell>
          <cell r="E1059" t="str">
            <v>APROVADO</v>
          </cell>
          <cell r="F1059" t="str">
            <v>APROVADO</v>
          </cell>
          <cell r="G1059" t="str">
            <v>APROVADO</v>
          </cell>
          <cell r="H1059" t="str">
            <v>APROVADO</v>
          </cell>
        </row>
        <row r="1060">
          <cell r="B1060" t="str">
            <v>REGINA MARIA MARTINS DE ARAUJO KLEIN</v>
          </cell>
          <cell r="E1060" t="str">
            <v>APROVADO</v>
          </cell>
          <cell r="F1060" t="str">
            <v>APROVADO</v>
          </cell>
          <cell r="G1060" t="str">
            <v>APROVADO</v>
          </cell>
          <cell r="H1060" t="str">
            <v>APROVADO</v>
          </cell>
        </row>
        <row r="1061">
          <cell r="B1061" t="str">
            <v>REGINALDO ALICANDRO BORDIN</v>
          </cell>
          <cell r="E1061" t="str">
            <v>APROVADO</v>
          </cell>
          <cell r="F1061" t="str">
            <v>APROVADO</v>
          </cell>
          <cell r="G1061" t="str">
            <v>APROVADO</v>
          </cell>
          <cell r="H1061" t="str">
            <v>APROVADO</v>
          </cell>
        </row>
        <row r="1062">
          <cell r="B1062" t="str">
            <v>REGINALDO RODRIGUES DA COSTA</v>
          </cell>
          <cell r="E1062" t="str">
            <v>APROVADO</v>
          </cell>
          <cell r="F1062" t="str">
            <v>APROVADO</v>
          </cell>
          <cell r="G1062" t="str">
            <v>APROVADO</v>
          </cell>
          <cell r="H1062" t="str">
            <v>APROVADO</v>
          </cell>
        </row>
        <row r="1063">
          <cell r="B1063" t="str">
            <v>REJANE ECKER</v>
          </cell>
          <cell r="E1063" t="str">
            <v>APROVADO</v>
          </cell>
          <cell r="F1063" t="str">
            <v>APROVADO</v>
          </cell>
          <cell r="G1063" t="str">
            <v>APROVADO</v>
          </cell>
          <cell r="H1063" t="str">
            <v>APROVADO</v>
          </cell>
        </row>
        <row r="1064">
          <cell r="B1064" t="str">
            <v>REMOM MATHEUS BORTOLOZZI</v>
          </cell>
          <cell r="E1064" t="str">
            <v>APROVADO</v>
          </cell>
          <cell r="F1064" t="str">
            <v>APROVADO</v>
          </cell>
          <cell r="G1064" t="str">
            <v>APROVADO</v>
          </cell>
          <cell r="H1064" t="str">
            <v>APROVADO</v>
          </cell>
        </row>
        <row r="1065">
          <cell r="B1065" t="str">
            <v>RENAN BATTISTI ARCHER</v>
          </cell>
          <cell r="E1065" t="str">
            <v>FINALIZADO</v>
          </cell>
          <cell r="F1065" t="str">
            <v>FINALIZADO</v>
          </cell>
          <cell r="G1065" t="str">
            <v>FINALIZADO</v>
          </cell>
          <cell r="H1065" t="str">
            <v>FINALIZADO</v>
          </cell>
        </row>
        <row r="1066">
          <cell r="B1066" t="str">
            <v>RENAN COLOMBO</v>
          </cell>
          <cell r="E1066" t="str">
            <v>APROVADO</v>
          </cell>
          <cell r="F1066" t="str">
            <v>APROVADO</v>
          </cell>
          <cell r="G1066" t="str">
            <v>APROVADO</v>
          </cell>
          <cell r="H1066" t="str">
            <v>APROVADO</v>
          </cell>
        </row>
        <row r="1067">
          <cell r="B1067" t="str">
            <v>RENATA CESCHIN MELFI DE MACEDO</v>
          </cell>
          <cell r="E1067" t="str">
            <v>APROVADO</v>
          </cell>
          <cell r="F1067" t="str">
            <v>APROVADO</v>
          </cell>
          <cell r="G1067" t="str">
            <v>APROVADO</v>
          </cell>
          <cell r="H1067" t="str">
            <v>APROVADO</v>
          </cell>
        </row>
        <row r="1068">
          <cell r="B1068" t="str">
            <v>RENATA DINARDI BORGES LIBONI</v>
          </cell>
          <cell r="E1068" t="str">
            <v>APROVADO</v>
          </cell>
          <cell r="F1068" t="str">
            <v>APROVADO</v>
          </cell>
          <cell r="G1068" t="str">
            <v>APROVADO</v>
          </cell>
          <cell r="H1068" t="str">
            <v>APROVADO</v>
          </cell>
        </row>
        <row r="1069">
          <cell r="B1069" t="str">
            <v>RENATA ERNLUND FREITAS DE MACEDO</v>
          </cell>
          <cell r="E1069" t="str">
            <v>APROVADO</v>
          </cell>
          <cell r="F1069" t="str">
            <v>APROVADO</v>
          </cell>
          <cell r="G1069" t="str">
            <v>APROVADO</v>
          </cell>
          <cell r="H1069" t="str">
            <v>APROVADO</v>
          </cell>
        </row>
        <row r="1070">
          <cell r="B1070" t="str">
            <v>RENATA IANI WERNECK</v>
          </cell>
          <cell r="E1070" t="str">
            <v>APROVADO</v>
          </cell>
          <cell r="F1070" t="str">
            <v>APROVADO</v>
          </cell>
          <cell r="G1070" t="str">
            <v>APROVADO</v>
          </cell>
          <cell r="H1070" t="str">
            <v>APROVADO</v>
          </cell>
        </row>
        <row r="1071">
          <cell r="B1071" t="str">
            <v>RENATA RODRIGUES LAWDER</v>
          </cell>
          <cell r="E1071" t="str">
            <v>APROVADO</v>
          </cell>
          <cell r="F1071" t="str">
            <v>APROVADO</v>
          </cell>
          <cell r="G1071" t="str">
            <v>APROVADO</v>
          </cell>
          <cell r="H1071" t="str">
            <v>APROVADO</v>
          </cell>
        </row>
        <row r="1072">
          <cell r="B1072" t="str">
            <v>RENATA TORRI SALDANHA COELHO</v>
          </cell>
          <cell r="E1072" t="str">
            <v>APROVADO</v>
          </cell>
          <cell r="F1072" t="str">
            <v>APROVADO</v>
          </cell>
          <cell r="G1072" t="str">
            <v>APROVADO</v>
          </cell>
          <cell r="H1072" t="str">
            <v>APROVADO</v>
          </cell>
        </row>
        <row r="1073">
          <cell r="B1073" t="str">
            <v>RENATO CAMASSUTTI BEDORE</v>
          </cell>
          <cell r="E1073" t="str">
            <v>APROVADO</v>
          </cell>
          <cell r="F1073" t="str">
            <v>APROVADO</v>
          </cell>
          <cell r="G1073" t="str">
            <v>APROVADO</v>
          </cell>
          <cell r="H1073" t="str">
            <v>APROVADO</v>
          </cell>
        </row>
        <row r="1074">
          <cell r="B1074" t="str">
            <v>RENATO MACHNIEVSCZ</v>
          </cell>
          <cell r="E1074" t="str">
            <v>APROVADO</v>
          </cell>
          <cell r="F1074" t="str">
            <v>APROVADO</v>
          </cell>
          <cell r="G1074" t="str">
            <v>APROVADO</v>
          </cell>
          <cell r="H1074" t="str">
            <v>APROVADO</v>
          </cell>
        </row>
        <row r="1075">
          <cell r="B1075" t="str">
            <v>RENATO SOLEIMAN FRANCO</v>
          </cell>
          <cell r="E1075" t="str">
            <v>APROVADO</v>
          </cell>
          <cell r="F1075" t="str">
            <v>APROVADO</v>
          </cell>
          <cell r="G1075" t="str">
            <v>APROVADO</v>
          </cell>
          <cell r="H1075" t="str">
            <v>APROVADO</v>
          </cell>
        </row>
        <row r="1076">
          <cell r="B1076" t="str">
            <v>RENE BERGEL</v>
          </cell>
          <cell r="E1076" t="str">
            <v>APROVADO</v>
          </cell>
          <cell r="F1076" t="str">
            <v>APROVADO</v>
          </cell>
          <cell r="G1076" t="str">
            <v>APROVADO</v>
          </cell>
          <cell r="H1076" t="str">
            <v>APROVADO</v>
          </cell>
        </row>
        <row r="1077">
          <cell r="B1077" t="str">
            <v>RENNE LEONARDO SANT ANA GOMIERO</v>
          </cell>
          <cell r="E1077" t="str">
            <v>APROVADO</v>
          </cell>
          <cell r="F1077" t="str">
            <v>APROVADO</v>
          </cell>
          <cell r="G1077" t="str">
            <v>APROVADO</v>
          </cell>
          <cell r="H1077" t="str">
            <v>APROVADO</v>
          </cell>
        </row>
        <row r="1078">
          <cell r="B1078" t="str">
            <v>RHAQUEL TESSELE</v>
          </cell>
          <cell r="E1078" t="str">
            <v>APROVADO</v>
          </cell>
          <cell r="F1078" t="str">
            <v>APROVADO</v>
          </cell>
          <cell r="G1078" t="str">
            <v>APROVADO</v>
          </cell>
          <cell r="H1078" t="str">
            <v>APROVADO</v>
          </cell>
        </row>
        <row r="1079">
          <cell r="B1079" t="str">
            <v>RICARDO ALEXANDRE DIOGO</v>
          </cell>
          <cell r="E1079" t="str">
            <v>APROVADO</v>
          </cell>
          <cell r="F1079" t="str">
            <v>APROVADO</v>
          </cell>
          <cell r="G1079" t="str">
            <v>APROVADO</v>
          </cell>
          <cell r="H1079" t="str">
            <v>APROVADO</v>
          </cell>
        </row>
        <row r="1080">
          <cell r="B1080" t="str">
            <v>RICARDO AURINO DE PINHO</v>
          </cell>
          <cell r="E1080" t="str">
            <v>APROVADO</v>
          </cell>
          <cell r="F1080" t="str">
            <v>APROVADO</v>
          </cell>
          <cell r="G1080" t="str">
            <v>APROVADO</v>
          </cell>
          <cell r="H1080" t="str">
            <v>APROVADO</v>
          </cell>
        </row>
        <row r="1081">
          <cell r="B1081" t="str">
            <v>RICARDO CASSIANO NABHEN</v>
          </cell>
          <cell r="E1081" t="str">
            <v>APROVADO</v>
          </cell>
          <cell r="F1081" t="str">
            <v>APROVADO</v>
          </cell>
          <cell r="G1081" t="str">
            <v>APROVADO</v>
          </cell>
          <cell r="H1081" t="str">
            <v>APROVADO</v>
          </cell>
        </row>
        <row r="1082">
          <cell r="B1082" t="str">
            <v>RICARDO DE AMORIM CINI</v>
          </cell>
          <cell r="E1082" t="str">
            <v>APROVADO</v>
          </cell>
          <cell r="F1082" t="str">
            <v>APROVADO</v>
          </cell>
          <cell r="G1082" t="str">
            <v>APROVADO</v>
          </cell>
          <cell r="H1082" t="str">
            <v>APROVADO</v>
          </cell>
        </row>
        <row r="1083">
          <cell r="B1083" t="str">
            <v>RICARDO DIEGO TORRES</v>
          </cell>
          <cell r="E1083" t="str">
            <v>APROVADO</v>
          </cell>
          <cell r="F1083" t="str">
            <v>APROVADO</v>
          </cell>
          <cell r="G1083" t="str">
            <v>APROVADO</v>
          </cell>
          <cell r="H1083" t="str">
            <v>APROVADO</v>
          </cell>
        </row>
        <row r="1084">
          <cell r="B1084" t="str">
            <v>RICARDO HENRIQUE DIAS</v>
          </cell>
          <cell r="E1084" t="str">
            <v>APROVADO</v>
          </cell>
          <cell r="F1084" t="str">
            <v>APROVADO</v>
          </cell>
          <cell r="G1084" t="str">
            <v>APROVADO</v>
          </cell>
          <cell r="H1084" t="str">
            <v>APROVADO</v>
          </cell>
        </row>
        <row r="1085">
          <cell r="B1085" t="str">
            <v>RICARDO JOSE BERTIN</v>
          </cell>
          <cell r="E1085" t="str">
            <v>APROVADO</v>
          </cell>
          <cell r="F1085" t="str">
            <v>APROVADO</v>
          </cell>
          <cell r="G1085" t="str">
            <v>APROVADO</v>
          </cell>
          <cell r="H1085" t="str">
            <v>APROVADO</v>
          </cell>
        </row>
        <row r="1086">
          <cell r="B1086" t="str">
            <v>RICARDO KURESKI</v>
          </cell>
          <cell r="E1086" t="str">
            <v>APROVADO</v>
          </cell>
          <cell r="F1086" t="str">
            <v>APROVADO</v>
          </cell>
          <cell r="G1086" t="str">
            <v>APROVADO</v>
          </cell>
          <cell r="H1086" t="str">
            <v>APROVADO</v>
          </cell>
        </row>
        <row r="1087">
          <cell r="B1087" t="str">
            <v>RICARDO LEMES DA ROSA</v>
          </cell>
          <cell r="E1087" t="str">
            <v>APROVADO</v>
          </cell>
          <cell r="F1087" t="str">
            <v>APROVADO</v>
          </cell>
          <cell r="G1087" t="str">
            <v>APROVADO</v>
          </cell>
          <cell r="H1087" t="str">
            <v>APROVADO</v>
          </cell>
        </row>
        <row r="1088">
          <cell r="B1088" t="str">
            <v>RICARDO LUCATTO BAIDA</v>
          </cell>
          <cell r="E1088" t="str">
            <v>APROVADO</v>
          </cell>
          <cell r="F1088" t="str">
            <v>APROVADO</v>
          </cell>
          <cell r="G1088" t="str">
            <v>APROVADO</v>
          </cell>
          <cell r="H1088" t="str">
            <v>APROVADO</v>
          </cell>
        </row>
        <row r="1089">
          <cell r="B1089" t="str">
            <v>RICARDO PADILHA VIANNA FILHO</v>
          </cell>
          <cell r="E1089" t="str">
            <v>APROVADO</v>
          </cell>
          <cell r="F1089" t="str">
            <v>APROVADO</v>
          </cell>
          <cell r="G1089" t="str">
            <v>APROVADO</v>
          </cell>
          <cell r="H1089" t="str">
            <v>APROVADO</v>
          </cell>
        </row>
        <row r="1090">
          <cell r="B1090" t="str">
            <v>RITA DE CASSIA CORREA DE VASCONCELOS</v>
          </cell>
          <cell r="E1090" t="str">
            <v>AGUARDANDO APROVAÇÃO</v>
          </cell>
          <cell r="F1090" t="str">
            <v>AGUARDANDO APROVAÇÃO</v>
          </cell>
          <cell r="G1090" t="str">
            <v>AGUARDANDO APROVAÇÃO</v>
          </cell>
          <cell r="H1090" t="str">
            <v>AGUARDANDO APROVAÇÃO</v>
          </cell>
        </row>
        <row r="1091">
          <cell r="B1091" t="str">
            <v>RITA MARIA VENANCIO MANGRICH ROCHA</v>
          </cell>
          <cell r="E1091" t="str">
            <v>APROVADO</v>
          </cell>
          <cell r="F1091" t="str">
            <v>APROVADO</v>
          </cell>
          <cell r="G1091" t="str">
            <v>APROVADO</v>
          </cell>
          <cell r="H1091" t="str">
            <v>APROVADO</v>
          </cell>
        </row>
        <row r="1092">
          <cell r="B1092" t="str">
            <v>ROBERTA CAROLINA DE AFONSECA E SILVA</v>
          </cell>
          <cell r="E1092" t="str">
            <v>APROVADO</v>
          </cell>
          <cell r="F1092" t="str">
            <v>APROVADO</v>
          </cell>
          <cell r="G1092" t="str">
            <v>APROVADO</v>
          </cell>
          <cell r="H1092" t="str">
            <v>APROVADO</v>
          </cell>
        </row>
        <row r="1093">
          <cell r="B1093" t="str">
            <v>ROBERTH MINIGUINE TAVANTI</v>
          </cell>
          <cell r="E1093" t="str">
            <v>APROVADO</v>
          </cell>
          <cell r="F1093" t="str">
            <v>APROVADO</v>
          </cell>
          <cell r="G1093" t="str">
            <v>APROVADO</v>
          </cell>
          <cell r="H1093" t="str">
            <v>APROVADO</v>
          </cell>
        </row>
        <row r="1094">
          <cell r="B1094" t="str">
            <v>ROBERTO BORGES FRANCA</v>
          </cell>
          <cell r="E1094" t="str">
            <v>APROVADO</v>
          </cell>
          <cell r="F1094" t="str">
            <v>APROVADO</v>
          </cell>
          <cell r="G1094" t="str">
            <v>APROVADO</v>
          </cell>
          <cell r="H1094" t="str">
            <v>APROVADO</v>
          </cell>
        </row>
        <row r="1095">
          <cell r="B1095" t="str">
            <v>ROBERTO FRANZINI TIBALDEO</v>
          </cell>
          <cell r="E1095" t="str">
            <v>APROVADO</v>
          </cell>
          <cell r="F1095" t="str">
            <v>APROVADO</v>
          </cell>
          <cell r="G1095" t="str">
            <v>APROVADO</v>
          </cell>
          <cell r="H1095" t="str">
            <v>APROVADO</v>
          </cell>
        </row>
        <row r="1096">
          <cell r="B1096" t="str">
            <v>ROBERTO GOMES TARLE</v>
          </cell>
          <cell r="E1096" t="str">
            <v>APROVADO</v>
          </cell>
          <cell r="F1096" t="str">
            <v>APROVADO</v>
          </cell>
          <cell r="G1096" t="str">
            <v>APROVADO</v>
          </cell>
          <cell r="H1096" t="str">
            <v>APROVADO</v>
          </cell>
        </row>
        <row r="1097">
          <cell r="B1097" t="str">
            <v>ROBERTO HIROCHI HERAI</v>
          </cell>
          <cell r="E1097" t="str">
            <v>APROVADO</v>
          </cell>
          <cell r="F1097" t="str">
            <v>APROVADO</v>
          </cell>
          <cell r="G1097" t="str">
            <v>APROVADO</v>
          </cell>
          <cell r="H1097" t="str">
            <v>APROVADO</v>
          </cell>
        </row>
        <row r="1098">
          <cell r="B1098" t="str">
            <v>ROBERTO MASAHIKO AOKI</v>
          </cell>
          <cell r="E1098" t="str">
            <v>APROVADO</v>
          </cell>
          <cell r="F1098" t="str">
            <v>APROVADO</v>
          </cell>
          <cell r="G1098" t="str">
            <v>APROVADO</v>
          </cell>
          <cell r="H1098" t="str">
            <v>APROVADO</v>
          </cell>
        </row>
        <row r="1099">
          <cell r="B1099" t="str">
            <v>ROBERTO SAMPAIO</v>
          </cell>
          <cell r="E1099" t="str">
            <v>APROVADO</v>
          </cell>
          <cell r="F1099" t="str">
            <v>APROVADO</v>
          </cell>
          <cell r="G1099" t="str">
            <v>APROVADO</v>
          </cell>
          <cell r="H1099" t="str">
            <v>APROVADO</v>
          </cell>
        </row>
        <row r="1100">
          <cell r="B1100" t="str">
            <v>ROBSON IVAN STIVAL</v>
          </cell>
          <cell r="E1100" t="str">
            <v>APROVADO</v>
          </cell>
          <cell r="F1100" t="str">
            <v>APROVADO</v>
          </cell>
          <cell r="G1100" t="str">
            <v>APROVADO</v>
          </cell>
          <cell r="H1100" t="str">
            <v>APROVADO</v>
          </cell>
        </row>
        <row r="1101">
          <cell r="B1101" t="str">
            <v>RODOLFO STANCKI SILVA</v>
          </cell>
          <cell r="E1101" t="str">
            <v>APROVADO</v>
          </cell>
          <cell r="F1101" t="str">
            <v>APROVADO</v>
          </cell>
          <cell r="G1101" t="str">
            <v>APROVADO</v>
          </cell>
          <cell r="H1101" t="str">
            <v>APROVADO</v>
          </cell>
        </row>
        <row r="1102">
          <cell r="B1102" t="str">
            <v>RODRIGO ALVARENGA</v>
          </cell>
          <cell r="E1102" t="str">
            <v>APROVADO</v>
          </cell>
          <cell r="F1102" t="str">
            <v>APROVADO</v>
          </cell>
          <cell r="G1102" t="str">
            <v>APROVADO</v>
          </cell>
          <cell r="H1102" t="str">
            <v>APROVADO</v>
          </cell>
        </row>
        <row r="1103">
          <cell r="B1103" t="str">
            <v>RODRIGO CAMPAGNOLO</v>
          </cell>
          <cell r="E1103" t="str">
            <v>APROVADO</v>
          </cell>
          <cell r="F1103" t="str">
            <v>APROVADO</v>
          </cell>
          <cell r="G1103" t="str">
            <v>APROVADO</v>
          </cell>
          <cell r="H1103" t="str">
            <v>APROVADO</v>
          </cell>
        </row>
        <row r="1104">
          <cell r="B1104" t="str">
            <v>RODRIGO DE ANDRADE KERSTEN</v>
          </cell>
          <cell r="E1104" t="str">
            <v>APROVADO</v>
          </cell>
          <cell r="F1104" t="str">
            <v>APROVADO</v>
          </cell>
          <cell r="G1104" t="str">
            <v>APROVADO</v>
          </cell>
          <cell r="H1104" t="str">
            <v>APROVADO</v>
          </cell>
        </row>
        <row r="1105">
          <cell r="B1105" t="str">
            <v>RODRIGO FREESE GONZATTO</v>
          </cell>
          <cell r="E1105" t="str">
            <v>APROVADO</v>
          </cell>
          <cell r="F1105" t="str">
            <v>APROVADO</v>
          </cell>
          <cell r="G1105" t="str">
            <v>APROVADO</v>
          </cell>
          <cell r="H1105" t="str">
            <v>APROVADO</v>
          </cell>
        </row>
        <row r="1106">
          <cell r="B1106" t="str">
            <v>RODRIGO GOMES DE OLIVEIRA</v>
          </cell>
          <cell r="E1106" t="str">
            <v>APROVADO</v>
          </cell>
          <cell r="F1106" t="str">
            <v>APROVADO</v>
          </cell>
          <cell r="G1106" t="str">
            <v>APROVADO</v>
          </cell>
          <cell r="H1106" t="str">
            <v>APROVADO</v>
          </cell>
        </row>
        <row r="1107">
          <cell r="B1107" t="str">
            <v>RODRIGO JOSE FIRMINO</v>
          </cell>
          <cell r="E1107" t="str">
            <v>APROVADO</v>
          </cell>
          <cell r="F1107" t="str">
            <v>APROVADO</v>
          </cell>
          <cell r="G1107" t="str">
            <v>APROVADO</v>
          </cell>
          <cell r="H1107" t="str">
            <v>APROVADO</v>
          </cell>
        </row>
        <row r="1108">
          <cell r="B1108" t="str">
            <v>RODRIGO LEITE SOUZA ENOQUE</v>
          </cell>
          <cell r="E1108" t="str">
            <v>APROVADO</v>
          </cell>
          <cell r="F1108" t="str">
            <v>APROVADO</v>
          </cell>
          <cell r="G1108" t="str">
            <v>APROVADO</v>
          </cell>
          <cell r="H1108" t="str">
            <v>APROVADO</v>
          </cell>
        </row>
        <row r="1109">
          <cell r="B1109" t="str">
            <v>RODRIGO LUIS VOGT</v>
          </cell>
          <cell r="E1109" t="str">
            <v>APROVADO</v>
          </cell>
          <cell r="F1109" t="str">
            <v>APROVADO</v>
          </cell>
          <cell r="G1109" t="str">
            <v>APROVADO</v>
          </cell>
          <cell r="H1109" t="str">
            <v>APROVADO</v>
          </cell>
        </row>
        <row r="1110">
          <cell r="B1110" t="str">
            <v>RODRIGO MORAES DA SILVEIRA</v>
          </cell>
          <cell r="E1110" t="str">
            <v>APROVADO</v>
          </cell>
          <cell r="F1110" t="str">
            <v>APROVADO</v>
          </cell>
          <cell r="G1110" t="str">
            <v>APROVADO</v>
          </cell>
          <cell r="H1110" t="str">
            <v>APROVADO</v>
          </cell>
        </row>
        <row r="1111">
          <cell r="B1111" t="str">
            <v>RODRIGO NUNES RACHED</v>
          </cell>
          <cell r="E1111" t="str">
            <v>APROVADO</v>
          </cell>
          <cell r="F1111" t="str">
            <v>APROVADO</v>
          </cell>
          <cell r="G1111" t="str">
            <v>APROVADO</v>
          </cell>
          <cell r="H1111" t="str">
            <v>APROVADO</v>
          </cell>
        </row>
        <row r="1112">
          <cell r="B1112" t="str">
            <v>RODRIGO OTAVIO SCHNEIDER RIBEIRO</v>
          </cell>
          <cell r="E1112" t="str">
            <v>APROVADO</v>
          </cell>
          <cell r="F1112" t="str">
            <v>APROVADO</v>
          </cell>
          <cell r="G1112" t="str">
            <v>APROVADO</v>
          </cell>
          <cell r="H1112" t="str">
            <v>APROVADO</v>
          </cell>
        </row>
        <row r="1113">
          <cell r="B1113" t="str">
            <v>RODRIGO PASTI</v>
          </cell>
          <cell r="E1113" t="str">
            <v>APROVADO</v>
          </cell>
          <cell r="F1113" t="str">
            <v>APROVADO</v>
          </cell>
          <cell r="G1113" t="str">
            <v>APROVADO</v>
          </cell>
          <cell r="H1113" t="str">
            <v>APROVADO</v>
          </cell>
        </row>
        <row r="1114">
          <cell r="B1114" t="str">
            <v>RODRIGO PEIXOTO CAMPOS</v>
          </cell>
          <cell r="E1114" t="str">
            <v>APROVADO</v>
          </cell>
          <cell r="F1114" t="str">
            <v>APROVADO</v>
          </cell>
          <cell r="G1114" t="str">
            <v>APROVADO</v>
          </cell>
          <cell r="H1114" t="str">
            <v>APROVADO</v>
          </cell>
        </row>
        <row r="1115">
          <cell r="B1115" t="str">
            <v>RODRIGO SANCHEZ RIOS</v>
          </cell>
          <cell r="E1115" t="str">
            <v>APROVADO</v>
          </cell>
          <cell r="F1115" t="str">
            <v>APROVADO</v>
          </cell>
          <cell r="G1115" t="str">
            <v>APROVADO</v>
          </cell>
          <cell r="H1115" t="str">
            <v>APROVADO</v>
          </cell>
        </row>
        <row r="1116">
          <cell r="B1116" t="str">
            <v>RODRIGO TAVORA MIRA</v>
          </cell>
          <cell r="E1116" t="str">
            <v>APROVADO</v>
          </cell>
          <cell r="F1116" t="str">
            <v>APROVADO</v>
          </cell>
          <cell r="G1116" t="str">
            <v>APROVADO</v>
          </cell>
          <cell r="H1116" t="str">
            <v>APROVADO</v>
          </cell>
        </row>
        <row r="1117">
          <cell r="B1117" t="str">
            <v>ROGERIO DE FRAGA</v>
          </cell>
          <cell r="E1117" t="str">
            <v>APROVADO</v>
          </cell>
          <cell r="F1117" t="str">
            <v>APROVADO</v>
          </cell>
          <cell r="G1117" t="str">
            <v>APROVADO</v>
          </cell>
          <cell r="H1117" t="str">
            <v>APROVADO</v>
          </cell>
        </row>
        <row r="1118">
          <cell r="B1118" t="str">
            <v>ROGERIO GOULART DA COSTA</v>
          </cell>
          <cell r="E1118" t="str">
            <v>APROVADO</v>
          </cell>
          <cell r="F1118" t="str">
            <v>APROVADO</v>
          </cell>
          <cell r="G1118" t="str">
            <v>APROVADO</v>
          </cell>
          <cell r="H1118" t="str">
            <v>APROVADO</v>
          </cell>
        </row>
        <row r="1119">
          <cell r="B1119" t="str">
            <v>ROGERIO LUIZ AIRES LIMA</v>
          </cell>
          <cell r="E1119" t="str">
            <v>APROVADO</v>
          </cell>
          <cell r="F1119" t="str">
            <v>APROVADO</v>
          </cell>
          <cell r="G1119" t="str">
            <v>APROVADO</v>
          </cell>
          <cell r="H1119" t="str">
            <v>APROVADO</v>
          </cell>
        </row>
        <row r="1120">
          <cell r="B1120" t="str">
            <v>ROGERIO TONIOLO</v>
          </cell>
          <cell r="E1120" t="str">
            <v>APROVADO</v>
          </cell>
          <cell r="F1120" t="str">
            <v>APROVADO</v>
          </cell>
          <cell r="G1120" t="str">
            <v>APROVADO</v>
          </cell>
          <cell r="H1120" t="str">
            <v>APROVADO</v>
          </cell>
        </row>
        <row r="1121">
          <cell r="B1121" t="str">
            <v>ROLNEI RUA DAROS</v>
          </cell>
          <cell r="E1121" t="str">
            <v>APROVADO</v>
          </cell>
          <cell r="F1121" t="str">
            <v>APROVADO</v>
          </cell>
          <cell r="G1121" t="str">
            <v>APROVADO</v>
          </cell>
          <cell r="H1121" t="str">
            <v>APROVADO</v>
          </cell>
        </row>
        <row r="1122">
          <cell r="B1122" t="str">
            <v>RONALDO ADRIANO ALVES DOS SANTOS</v>
          </cell>
          <cell r="E1122" t="str">
            <v>APROVADO</v>
          </cell>
          <cell r="F1122" t="str">
            <v>APROVADO</v>
          </cell>
          <cell r="G1122" t="str">
            <v>APROVADO</v>
          </cell>
          <cell r="H1122" t="str">
            <v>APROVADO</v>
          </cell>
        </row>
        <row r="1123">
          <cell r="B1123" t="str">
            <v>RONALDO SILVEIRA DE PAIVA</v>
          </cell>
          <cell r="E1123" t="str">
            <v>APROVADO</v>
          </cell>
          <cell r="F1123" t="str">
            <v>APROVADO</v>
          </cell>
          <cell r="G1123" t="str">
            <v>APROVADO</v>
          </cell>
          <cell r="H1123" t="str">
            <v>APROVADO</v>
          </cell>
        </row>
        <row r="1124">
          <cell r="B1124" t="str">
            <v>ROSA LYDIA TEIXEIRA CORREA</v>
          </cell>
          <cell r="E1124" t="str">
            <v>APROVADO</v>
          </cell>
          <cell r="F1124" t="str">
            <v>APROVADO</v>
          </cell>
          <cell r="G1124" t="str">
            <v>APROVADO</v>
          </cell>
          <cell r="H1124" t="str">
            <v>APROVADO</v>
          </cell>
        </row>
        <row r="1125">
          <cell r="B1125" t="str">
            <v>ROSANE DE MELLO SANTO NICOLA</v>
          </cell>
          <cell r="E1125" t="str">
            <v>APROVADO</v>
          </cell>
          <cell r="F1125" t="str">
            <v>APROVADO</v>
          </cell>
          <cell r="G1125" t="str">
            <v>APROVADO</v>
          </cell>
          <cell r="H1125" t="str">
            <v>APROVADO</v>
          </cell>
        </row>
        <row r="1126">
          <cell r="B1126" t="str">
            <v>ROSILENE FERNANDES</v>
          </cell>
          <cell r="E1126" t="str">
            <v>APROVADO</v>
          </cell>
          <cell r="F1126" t="str">
            <v>APROVADO</v>
          </cell>
          <cell r="G1126" t="str">
            <v>APROVADO</v>
          </cell>
          <cell r="H1126" t="str">
            <v>APROVADO</v>
          </cell>
        </row>
        <row r="1127">
          <cell r="B1127" t="str">
            <v>ROSIMEIRE SEDREZ BITENCOURT</v>
          </cell>
          <cell r="E1127" t="str">
            <v>APROVADO</v>
          </cell>
          <cell r="F1127" t="str">
            <v>APROVADO</v>
          </cell>
          <cell r="G1127" t="str">
            <v>APROVADO</v>
          </cell>
          <cell r="H1127" t="str">
            <v>APROVADO</v>
          </cell>
        </row>
        <row r="1128">
          <cell r="B1128" t="str">
            <v>ROSSANA AMIN GRACIANO DE RESENDE</v>
          </cell>
          <cell r="E1128" t="str">
            <v>APROVADO</v>
          </cell>
          <cell r="F1128" t="str">
            <v>APROVADO</v>
          </cell>
          <cell r="G1128" t="str">
            <v>APROVADO</v>
          </cell>
          <cell r="H1128" t="str">
            <v>APROVADO</v>
          </cell>
        </row>
        <row r="1129">
          <cell r="B1129" t="str">
            <v>RUDA RYUITI FURUKITA BAPTISTA</v>
          </cell>
          <cell r="E1129" t="str">
            <v>APROVADO</v>
          </cell>
          <cell r="F1129" t="str">
            <v>APROVADO</v>
          </cell>
          <cell r="G1129" t="str">
            <v>APROVADO</v>
          </cell>
          <cell r="H1129" t="str">
            <v>APROVADO</v>
          </cell>
        </row>
        <row r="1130">
          <cell r="B1130" t="str">
            <v>RUDIGER DANIEL OLLHOFF</v>
          </cell>
          <cell r="E1130" t="str">
            <v>APROVADO</v>
          </cell>
          <cell r="F1130" t="str">
            <v>APROVADO</v>
          </cell>
          <cell r="G1130" t="str">
            <v>APROVADO</v>
          </cell>
          <cell r="H1130" t="str">
            <v>APROVADO</v>
          </cell>
        </row>
        <row r="1131">
          <cell r="B1131" t="str">
            <v>RUDOLF EDUARD VON SINNER</v>
          </cell>
          <cell r="E1131" t="str">
            <v>APROVADO</v>
          </cell>
          <cell r="F1131" t="str">
            <v>APROVADO</v>
          </cell>
          <cell r="G1131" t="str">
            <v>APROVADO</v>
          </cell>
          <cell r="H1131" t="str">
            <v>APROVADO</v>
          </cell>
        </row>
        <row r="1132">
          <cell r="B1132" t="str">
            <v>RUI BARROSO SCHIMITI</v>
          </cell>
          <cell r="E1132" t="str">
            <v>APROVADO</v>
          </cell>
          <cell r="F1132" t="str">
            <v>APROVADO</v>
          </cell>
          <cell r="G1132" t="str">
            <v>APROVADO</v>
          </cell>
          <cell r="H1132" t="str">
            <v>APROVADO</v>
          </cell>
        </row>
        <row r="1133">
          <cell r="B1133" t="str">
            <v>RUY INACIO NEIVA DE CARVALHO</v>
          </cell>
          <cell r="E1133" t="str">
            <v>APROVADO</v>
          </cell>
          <cell r="F1133" t="str">
            <v>APROVADO</v>
          </cell>
          <cell r="G1133" t="str">
            <v>APROVADO</v>
          </cell>
          <cell r="H1133" t="str">
            <v>APROVADO</v>
          </cell>
        </row>
        <row r="1134">
          <cell r="B1134" t="str">
            <v>SALMA ALI EL CHAB PAROLIN</v>
          </cell>
          <cell r="E1134" t="str">
            <v>APROVADO</v>
          </cell>
          <cell r="F1134" t="str">
            <v>APROVADO</v>
          </cell>
          <cell r="G1134" t="str">
            <v>APROVADO</v>
          </cell>
          <cell r="H1134" t="str">
            <v>APROVADO</v>
          </cell>
        </row>
        <row r="1135">
          <cell r="B1135" t="str">
            <v>SAMARAH PERSZEL DE FREITAS</v>
          </cell>
          <cell r="E1135" t="str">
            <v>APROVADO</v>
          </cell>
          <cell r="F1135" t="str">
            <v>APROVADO</v>
          </cell>
          <cell r="G1135" t="str">
            <v>APROVADO</v>
          </cell>
          <cell r="H1135" t="str">
            <v>APROVADO</v>
          </cell>
        </row>
        <row r="1136">
          <cell r="B1136" t="str">
            <v>SANDRA BATISTA DA COSTA</v>
          </cell>
          <cell r="E1136" t="str">
            <v>APROVADO</v>
          </cell>
          <cell r="F1136" t="str">
            <v>APROVADO</v>
          </cell>
          <cell r="G1136" t="str">
            <v>APROVADO</v>
          </cell>
          <cell r="H1136" t="str">
            <v>APROVADO</v>
          </cell>
        </row>
        <row r="1137">
          <cell r="B1137" t="str">
            <v>SANDRA CRISTINA BOUFLEUR</v>
          </cell>
          <cell r="E1137" t="str">
            <v>APROVADO</v>
          </cell>
          <cell r="F1137" t="str">
            <v>APROVADO</v>
          </cell>
          <cell r="G1137" t="str">
            <v>APROVADO</v>
          </cell>
          <cell r="H1137" t="str">
            <v>APROVADO</v>
          </cell>
        </row>
        <row r="1138">
          <cell r="B1138" t="str">
            <v>SANDRA JOIA MIZRAHI JAKOBSON</v>
          </cell>
          <cell r="E1138" t="str">
            <v>APROVADO</v>
          </cell>
          <cell r="F1138" t="str">
            <v>APROVADO</v>
          </cell>
          <cell r="G1138" t="str">
            <v>APROVADO</v>
          </cell>
          <cell r="H1138" t="str">
            <v>APROVADO</v>
          </cell>
        </row>
        <row r="1139">
          <cell r="B1139" t="str">
            <v>SANDRA MARA FLUGEL ASSAD</v>
          </cell>
          <cell r="E1139" t="str">
            <v>APROVADO</v>
          </cell>
          <cell r="F1139" t="str">
            <v>APROVADO</v>
          </cell>
          <cell r="G1139" t="str">
            <v>APROVADO</v>
          </cell>
          <cell r="H1139" t="str">
            <v>APROVADO</v>
          </cell>
        </row>
        <row r="1140">
          <cell r="B1140" t="str">
            <v>SANDRA MARIA MATTAR DIAZ</v>
          </cell>
          <cell r="E1140" t="str">
            <v>APROVADO</v>
          </cell>
          <cell r="F1140" t="str">
            <v>APROVADO</v>
          </cell>
          <cell r="G1140" t="str">
            <v>APROVADO</v>
          </cell>
          <cell r="H1140" t="str">
            <v>APROVADO</v>
          </cell>
        </row>
        <row r="1141">
          <cell r="B1141" t="str">
            <v>SANDRA REGINA CABEL</v>
          </cell>
          <cell r="E1141" t="str">
            <v>APROVADO</v>
          </cell>
          <cell r="F1141" t="str">
            <v>APROVADO</v>
          </cell>
          <cell r="G1141" t="str">
            <v>APROVADO</v>
          </cell>
          <cell r="H1141" t="str">
            <v>APROVADO</v>
          </cell>
        </row>
        <row r="1142">
          <cell r="B1142" t="str">
            <v>SANDRO FERREIRA</v>
          </cell>
          <cell r="E1142" t="str">
            <v>APROVADO</v>
          </cell>
          <cell r="F1142" t="str">
            <v>APROVADO</v>
          </cell>
          <cell r="G1142" t="str">
            <v>APROVADO</v>
          </cell>
          <cell r="H1142" t="str">
            <v>APROVADO</v>
          </cell>
        </row>
        <row r="1143">
          <cell r="B1143" t="str">
            <v>SARA REGINA HOKAI</v>
          </cell>
          <cell r="E1143" t="str">
            <v>APROVADO</v>
          </cell>
          <cell r="F1143" t="str">
            <v>APROVADO</v>
          </cell>
          <cell r="G1143" t="str">
            <v>APROVADO</v>
          </cell>
          <cell r="H1143" t="str">
            <v>APROVADO</v>
          </cell>
        </row>
        <row r="1144">
          <cell r="B1144" t="str">
            <v>SARAH FAGUNDES GROBE</v>
          </cell>
          <cell r="E1144" t="str">
            <v>APROVADO</v>
          </cell>
          <cell r="F1144" t="str">
            <v>APROVADO</v>
          </cell>
          <cell r="G1144" t="str">
            <v>APROVADO</v>
          </cell>
          <cell r="H1144" t="str">
            <v>APROVADO</v>
          </cell>
        </row>
        <row r="1145">
          <cell r="B1145" t="str">
            <v>SARAH SGAVIOLI</v>
          </cell>
          <cell r="E1145" t="str">
            <v>APROVADO</v>
          </cell>
          <cell r="F1145" t="str">
            <v>APROVADO</v>
          </cell>
          <cell r="G1145" t="str">
            <v>APROVADO</v>
          </cell>
          <cell r="H1145" t="str">
            <v>APROVADO</v>
          </cell>
        </row>
        <row r="1146">
          <cell r="B1146" t="str">
            <v>SAULO HENRIQUE WEBER</v>
          </cell>
          <cell r="E1146" t="str">
            <v>APROVADO</v>
          </cell>
          <cell r="F1146" t="str">
            <v>APROVADO</v>
          </cell>
          <cell r="G1146" t="str">
            <v>APROVADO</v>
          </cell>
          <cell r="H1146" t="str">
            <v>APROVADO</v>
          </cell>
        </row>
        <row r="1147">
          <cell r="B1147" t="str">
            <v>SAULO PFEFFER GEBER</v>
          </cell>
          <cell r="E1147" t="str">
            <v>APROVADO</v>
          </cell>
          <cell r="F1147" t="str">
            <v>APROVADO</v>
          </cell>
          <cell r="G1147" t="str">
            <v>APROVADO</v>
          </cell>
          <cell r="H1147" t="str">
            <v>APROVADO</v>
          </cell>
        </row>
        <row r="1148">
          <cell r="B1148" t="str">
            <v>SAULO VINICIUS DA ROSA</v>
          </cell>
          <cell r="E1148" t="str">
            <v>APROVADO</v>
          </cell>
          <cell r="F1148" t="str">
            <v>APROVADO</v>
          </cell>
          <cell r="G1148" t="str">
            <v>APROVADO</v>
          </cell>
          <cell r="H1148" t="str">
            <v>APROVADO</v>
          </cell>
        </row>
        <row r="1149">
          <cell r="B1149" t="str">
            <v>SELENE ELIFIO ESPOSITO</v>
          </cell>
          <cell r="E1149" t="str">
            <v>APROVADO</v>
          </cell>
          <cell r="F1149" t="str">
            <v>APROVADO</v>
          </cell>
          <cell r="G1149" t="str">
            <v>APROVADO</v>
          </cell>
          <cell r="H1149" t="str">
            <v>APROVADO</v>
          </cell>
        </row>
        <row r="1150">
          <cell r="B1150" t="str">
            <v>SELMA WOYCIKIEWIZC</v>
          </cell>
          <cell r="E1150" t="str">
            <v>APROVADO</v>
          </cell>
          <cell r="F1150" t="str">
            <v>APROVADO</v>
          </cell>
          <cell r="G1150" t="str">
            <v>APROVADO</v>
          </cell>
          <cell r="H1150" t="str">
            <v>APROVADO</v>
          </cell>
        </row>
        <row r="1151">
          <cell r="B1151" t="str">
            <v>SERGIO ALEXANDRE LIBLIK</v>
          </cell>
          <cell r="E1151" t="str">
            <v>APROVADO</v>
          </cell>
          <cell r="F1151" t="str">
            <v>APROVADO</v>
          </cell>
          <cell r="G1151" t="str">
            <v>APROVADO</v>
          </cell>
          <cell r="H1151" t="str">
            <v>APROVADO</v>
          </cell>
        </row>
        <row r="1152">
          <cell r="B1152" t="str">
            <v>SERGIO APARECIDO IGNACIO</v>
          </cell>
          <cell r="E1152" t="str">
            <v>APROVADO</v>
          </cell>
          <cell r="F1152" t="str">
            <v>APROVADO</v>
          </cell>
          <cell r="G1152" t="str">
            <v>APROVADO</v>
          </cell>
          <cell r="H1152" t="str">
            <v>APROVADO</v>
          </cell>
        </row>
        <row r="1153">
          <cell r="B1153" t="str">
            <v>SERGIO BARBOSA RODRIGUES</v>
          </cell>
          <cell r="E1153" t="str">
            <v>APROVADO</v>
          </cell>
          <cell r="F1153" t="str">
            <v>APROVADO</v>
          </cell>
          <cell r="G1153" t="str">
            <v>APROVADO</v>
          </cell>
          <cell r="H1153" t="str">
            <v>APROVADO</v>
          </cell>
        </row>
        <row r="1154">
          <cell r="B1154" t="str">
            <v>SERGIO EDUARDO FONTOURA DA SILVA</v>
          </cell>
          <cell r="E1154" t="str">
            <v>APROVADO</v>
          </cell>
          <cell r="F1154" t="str">
            <v>APROVADO</v>
          </cell>
          <cell r="G1154" t="str">
            <v>APROVADO</v>
          </cell>
          <cell r="H1154" t="str">
            <v>APROVADO</v>
          </cell>
        </row>
        <row r="1155">
          <cell r="B1155" t="str">
            <v>SERGIO LUIS DO NASCIMENTO</v>
          </cell>
          <cell r="E1155" t="str">
            <v>APROVADO</v>
          </cell>
          <cell r="F1155" t="str">
            <v>APROVADO</v>
          </cell>
          <cell r="G1155" t="str">
            <v>APROVADO</v>
          </cell>
          <cell r="H1155" t="str">
            <v>APROVADO</v>
          </cell>
        </row>
        <row r="1156">
          <cell r="B1156" t="str">
            <v>SERGIO LUIZ MANENTI</v>
          </cell>
          <cell r="E1156" t="str">
            <v>APROVADO</v>
          </cell>
          <cell r="F1156" t="str">
            <v>APROVADO</v>
          </cell>
          <cell r="G1156" t="str">
            <v>APROVADO</v>
          </cell>
          <cell r="H1156" t="str">
            <v>APROVADO</v>
          </cell>
        </row>
        <row r="1157">
          <cell r="B1157" t="str">
            <v>SERGIO OSSAMU IOSHII</v>
          </cell>
          <cell r="E1157" t="str">
            <v>APROVADO</v>
          </cell>
          <cell r="F1157" t="str">
            <v>APROVADO</v>
          </cell>
          <cell r="G1157" t="str">
            <v>APROVADO</v>
          </cell>
          <cell r="H1157" t="str">
            <v>APROVADO</v>
          </cell>
        </row>
        <row r="1158">
          <cell r="B1158" t="str">
            <v>SHEILA DO ROCIO CERCAL SANTOS LEAL</v>
          </cell>
          <cell r="E1158" t="str">
            <v>APROVADO</v>
          </cell>
          <cell r="F1158" t="str">
            <v>APROVADO</v>
          </cell>
          <cell r="G1158" t="str">
            <v>APROVADO</v>
          </cell>
          <cell r="H1158" t="str">
            <v>APROVADO</v>
          </cell>
        </row>
        <row r="1159">
          <cell r="B1159" t="str">
            <v>SHEILA DOS SANTOS REINEHR</v>
          </cell>
          <cell r="E1159" t="str">
            <v>APROVADO</v>
          </cell>
          <cell r="F1159" t="str">
            <v>APROVADO</v>
          </cell>
          <cell r="G1159" t="str">
            <v>APROVADO</v>
          </cell>
          <cell r="H1159" t="str">
            <v>APROVADO</v>
          </cell>
        </row>
        <row r="1160">
          <cell r="B1160" t="str">
            <v>SHELDON RODRIGO BOTOGOSKI</v>
          </cell>
          <cell r="E1160" t="str">
            <v>APROVADO</v>
          </cell>
          <cell r="F1160" t="str">
            <v>APROVADO</v>
          </cell>
          <cell r="G1160" t="str">
            <v>APROVADO</v>
          </cell>
          <cell r="H1160" t="str">
            <v>APROVADO</v>
          </cell>
        </row>
        <row r="1161">
          <cell r="B1161" t="str">
            <v>SHEYLA MARA CORAIOLA</v>
          </cell>
          <cell r="E1161" t="str">
            <v>APROVADO</v>
          </cell>
          <cell r="F1161" t="str">
            <v>APROVADO</v>
          </cell>
          <cell r="G1161" t="str">
            <v>APROVADO</v>
          </cell>
          <cell r="H1161" t="str">
            <v>APROVADO</v>
          </cell>
        </row>
        <row r="1162">
          <cell r="B1162" t="str">
            <v>SHIMENY MICHELATO YOSHIY</v>
          </cell>
          <cell r="E1162" t="str">
            <v>APROVADO</v>
          </cell>
          <cell r="F1162" t="str">
            <v>APROVADO</v>
          </cell>
          <cell r="G1162" t="str">
            <v>APROVADO</v>
          </cell>
          <cell r="H1162" t="str">
            <v>APROVADO</v>
          </cell>
        </row>
        <row r="1163">
          <cell r="B1163" t="str">
            <v>SIDNEI RINALDO PRIOLO FILHO</v>
          </cell>
          <cell r="E1163" t="str">
            <v>APROVADO</v>
          </cell>
          <cell r="F1163" t="str">
            <v>APROVADO</v>
          </cell>
          <cell r="G1163" t="str">
            <v>APROVADO</v>
          </cell>
          <cell r="H1163" t="str">
            <v>APROVADO</v>
          </cell>
        </row>
        <row r="1164">
          <cell r="B1164" t="str">
            <v>SILVANA TASCHEK HASTREITER</v>
          </cell>
          <cell r="E1164" t="str">
            <v>FINALIZADO</v>
          </cell>
          <cell r="F1164" t="str">
            <v>FINALIZADO</v>
          </cell>
          <cell r="G1164" t="str">
            <v>FINALIZADO</v>
          </cell>
          <cell r="H1164" t="str">
            <v>AGUARDANDO APROVAÇÃO</v>
          </cell>
        </row>
        <row r="1165">
          <cell r="B1165" t="str">
            <v>SILVIA CARREIRA RIBEIRO</v>
          </cell>
          <cell r="E1165" t="str">
            <v>APROVADO</v>
          </cell>
          <cell r="F1165" t="str">
            <v>APROVADO</v>
          </cell>
          <cell r="G1165" t="str">
            <v>APROVADO</v>
          </cell>
          <cell r="H1165" t="str">
            <v>APROVADO</v>
          </cell>
        </row>
        <row r="1166">
          <cell r="B1166" t="str">
            <v>SILVIA HELENA DOS SANTOS GAJARDONI FARGES</v>
          </cell>
          <cell r="E1166" t="str">
            <v>APROVADO</v>
          </cell>
          <cell r="F1166" t="str">
            <v>APROVADO</v>
          </cell>
          <cell r="G1166" t="str">
            <v>APROVADO</v>
          </cell>
          <cell r="H1166" t="str">
            <v>APROVADO</v>
          </cell>
        </row>
        <row r="1167">
          <cell r="B1167" t="str">
            <v>SILVIA KARLA AZEVEDO VIEIRA ANDRADE</v>
          </cell>
          <cell r="E1167" t="str">
            <v>APROVADO</v>
          </cell>
          <cell r="F1167" t="str">
            <v>APROVADO</v>
          </cell>
          <cell r="G1167" t="str">
            <v>APROVADO</v>
          </cell>
          <cell r="H1167" t="str">
            <v>APROVADO</v>
          </cell>
        </row>
        <row r="1168">
          <cell r="B1168" t="str">
            <v>SILVIA MARIA DE MORAES MONTEIRO PAZELLO</v>
          </cell>
          <cell r="E1168" t="str">
            <v>APROVADO</v>
          </cell>
          <cell r="F1168" t="str">
            <v>APROVADO</v>
          </cell>
          <cell r="G1168" t="str">
            <v>APROVADO</v>
          </cell>
          <cell r="H1168" t="str">
            <v>APROVADO</v>
          </cell>
        </row>
        <row r="1169">
          <cell r="B1169" t="str">
            <v>SILVIA MIDORI YANAI MIYAZAKI</v>
          </cell>
          <cell r="E1169" t="str">
            <v>APROVADO</v>
          </cell>
          <cell r="F1169" t="str">
            <v>APROVADO</v>
          </cell>
          <cell r="G1169" t="str">
            <v>APROVADO</v>
          </cell>
          <cell r="H1169" t="str">
            <v>APROVADO</v>
          </cell>
        </row>
        <row r="1170">
          <cell r="B1170" t="str">
            <v>SILVIA PAULINO RIBEIRO ALBANESE</v>
          </cell>
          <cell r="E1170" t="str">
            <v>APROVADO</v>
          </cell>
          <cell r="F1170" t="str">
            <v>APROVADO</v>
          </cell>
          <cell r="G1170" t="str">
            <v>APROVADO</v>
          </cell>
          <cell r="H1170" t="str">
            <v>APROVADO</v>
          </cell>
        </row>
        <row r="1171">
          <cell r="B1171" t="str">
            <v>SILVIA SCHMIDLIN KEIL</v>
          </cell>
          <cell r="E1171" t="str">
            <v>APROVADO</v>
          </cell>
          <cell r="F1171" t="str">
            <v>APROVADO</v>
          </cell>
          <cell r="G1171" t="str">
            <v>APROVADO</v>
          </cell>
          <cell r="H1171" t="str">
            <v>APROVADO</v>
          </cell>
        </row>
        <row r="1172">
          <cell r="B1172" t="str">
            <v>SILVIA TURRA GRECHINSKI</v>
          </cell>
          <cell r="E1172" t="str">
            <v>APROVADO</v>
          </cell>
          <cell r="F1172" t="str">
            <v>APROVADO</v>
          </cell>
          <cell r="G1172" t="str">
            <v>APROVADO</v>
          </cell>
          <cell r="H1172" t="str">
            <v>APROVADO</v>
          </cell>
        </row>
        <row r="1173">
          <cell r="B1173" t="str">
            <v>SILVIO MIRO FRANCHI</v>
          </cell>
          <cell r="E1173" t="str">
            <v>APROVADO</v>
          </cell>
          <cell r="F1173" t="str">
            <v>APROVADO</v>
          </cell>
          <cell r="G1173" t="str">
            <v>APROVADO</v>
          </cell>
          <cell r="H1173" t="str">
            <v>APROVADO</v>
          </cell>
        </row>
        <row r="1174">
          <cell r="B1174" t="str">
            <v>SIMONE DOS REIS BRANDAO DA SILVEIRA</v>
          </cell>
          <cell r="E1174" t="str">
            <v>APROVADO</v>
          </cell>
          <cell r="F1174" t="str">
            <v>APROVADO</v>
          </cell>
          <cell r="G1174" t="str">
            <v>APROVADO</v>
          </cell>
          <cell r="H1174" t="str">
            <v>APROVADO</v>
          </cell>
        </row>
        <row r="1175">
          <cell r="B1175" t="str">
            <v>SIMONE MARIA MALUCELLI PINTO SCHELLENBERG</v>
          </cell>
          <cell r="E1175" t="str">
            <v>APROVADO</v>
          </cell>
          <cell r="F1175" t="str">
            <v>APROVADO</v>
          </cell>
          <cell r="G1175" t="str">
            <v>APROVADO</v>
          </cell>
          <cell r="H1175" t="str">
            <v>APROVADO</v>
          </cell>
        </row>
        <row r="1176">
          <cell r="B1176" t="str">
            <v>SIMONE PEREIRA SILVA</v>
          </cell>
          <cell r="E1176" t="str">
            <v>APROVADO</v>
          </cell>
          <cell r="F1176" t="str">
            <v>APROVADO</v>
          </cell>
          <cell r="G1176" t="str">
            <v>APROVADO</v>
          </cell>
          <cell r="H1176" t="str">
            <v>APROVADO</v>
          </cell>
        </row>
        <row r="1177">
          <cell r="B1177" t="str">
            <v>SIRLEY TEREZINHA FILIPAK</v>
          </cell>
          <cell r="E1177" t="str">
            <v>APROVADO</v>
          </cell>
          <cell r="F1177" t="str">
            <v>APROVADO</v>
          </cell>
          <cell r="G1177" t="str">
            <v>APROVADO</v>
          </cell>
          <cell r="H1177" t="str">
            <v>APROVADO</v>
          </cell>
        </row>
        <row r="1178">
          <cell r="B1178" t="str">
            <v>SOLANGE DE LIMA BARBOSA</v>
          </cell>
          <cell r="E1178" t="str">
            <v>APROVADO</v>
          </cell>
          <cell r="F1178" t="str">
            <v>APROVADO</v>
          </cell>
          <cell r="G1178" t="str">
            <v>APROVADO</v>
          </cell>
          <cell r="H1178" t="str">
            <v>APROVADO</v>
          </cell>
        </row>
        <row r="1179">
          <cell r="B1179" t="str">
            <v>SOLANGE FERNANDES</v>
          </cell>
          <cell r="E1179" t="str">
            <v>APROVADO</v>
          </cell>
          <cell r="F1179" t="str">
            <v>APROVADO</v>
          </cell>
          <cell r="G1179" t="str">
            <v>APROVADO</v>
          </cell>
          <cell r="H1179" t="str">
            <v>APROVADO</v>
          </cell>
        </row>
        <row r="1180">
          <cell r="B1180" t="str">
            <v>SOLANGE VIARO PADILHA</v>
          </cell>
          <cell r="E1180" t="str">
            <v>APROVADO</v>
          </cell>
          <cell r="F1180" t="str">
            <v>APROVADO</v>
          </cell>
          <cell r="G1180" t="str">
            <v>APROVADO</v>
          </cell>
          <cell r="H1180" t="str">
            <v>APROVADO</v>
          </cell>
        </row>
        <row r="1181">
          <cell r="B1181" t="str">
            <v>SOLIMAR DUTRA DA SILVEIRA</v>
          </cell>
          <cell r="E1181" t="str">
            <v>APROVADO</v>
          </cell>
          <cell r="F1181" t="str">
            <v>APROVADO</v>
          </cell>
          <cell r="G1181" t="str">
            <v>APROVADO</v>
          </cell>
          <cell r="H1181" t="str">
            <v>APROVADO</v>
          </cell>
        </row>
        <row r="1182">
          <cell r="B1182" t="str">
            <v>SONIA MARA LUCZYSZYN</v>
          </cell>
          <cell r="E1182" t="str">
            <v>APROVADO</v>
          </cell>
          <cell r="F1182" t="str">
            <v>APROVADO</v>
          </cell>
          <cell r="G1182" t="str">
            <v>APROVADO</v>
          </cell>
          <cell r="H1182" t="str">
            <v>APROVADO</v>
          </cell>
        </row>
        <row r="1183">
          <cell r="B1183" t="str">
            <v>SORAYA DE AZAMBUJA BERTI COUTO</v>
          </cell>
          <cell r="E1183" t="str">
            <v>APROVADO</v>
          </cell>
          <cell r="F1183" t="str">
            <v>APROVADO</v>
          </cell>
          <cell r="G1183" t="str">
            <v>APROVADO</v>
          </cell>
          <cell r="H1183" t="str">
            <v>APROVADO</v>
          </cell>
        </row>
        <row r="1184">
          <cell r="B1184" t="str">
            <v>SUELI ALMEIDA DE OLIVEIRA</v>
          </cell>
          <cell r="E1184" t="str">
            <v>APROVADO</v>
          </cell>
          <cell r="F1184" t="str">
            <v>APROVADO</v>
          </cell>
          <cell r="G1184" t="str">
            <v>APROVADO</v>
          </cell>
          <cell r="H1184" t="str">
            <v>APROVADO</v>
          </cell>
        </row>
        <row r="1185">
          <cell r="B1185" t="str">
            <v>SUSANNE CRISTINE PERTSCHI BORGES</v>
          </cell>
          <cell r="E1185" t="str">
            <v>APROVADO</v>
          </cell>
          <cell r="F1185" t="str">
            <v>APROVADO</v>
          </cell>
          <cell r="G1185" t="str">
            <v>APROVADO</v>
          </cell>
          <cell r="H1185" t="str">
            <v>APROVADO</v>
          </cell>
        </row>
        <row r="1186">
          <cell r="B1186" t="str">
            <v>SUYANNE TOLENTINO DE SOUZA</v>
          </cell>
          <cell r="E1186" t="str">
            <v>APROVADO</v>
          </cell>
          <cell r="F1186" t="str">
            <v>APROVADO</v>
          </cell>
          <cell r="G1186" t="str">
            <v>APROVADO</v>
          </cell>
          <cell r="H1186" t="str">
            <v>APROVADO</v>
          </cell>
        </row>
        <row r="1187">
          <cell r="B1187" t="str">
            <v>SUZANA MARIA MENEZES GUARIENTE</v>
          </cell>
          <cell r="E1187" t="str">
            <v>APROVADO</v>
          </cell>
          <cell r="F1187" t="str">
            <v>APROVADO</v>
          </cell>
          <cell r="G1187" t="str">
            <v>APROVADO</v>
          </cell>
          <cell r="H1187" t="str">
            <v>APROVADO</v>
          </cell>
        </row>
        <row r="1188">
          <cell r="B1188" t="str">
            <v>SUZANA VALASKI</v>
          </cell>
          <cell r="E1188" t="str">
            <v>APROVADO</v>
          </cell>
          <cell r="F1188" t="str">
            <v>APROVADO</v>
          </cell>
          <cell r="G1188" t="str">
            <v>APROVADO</v>
          </cell>
          <cell r="H1188" t="str">
            <v>APROVADO</v>
          </cell>
        </row>
        <row r="1189">
          <cell r="B1189" t="str">
            <v>SYLVIA RAMOS LEITAO</v>
          </cell>
          <cell r="E1189" t="str">
            <v>APROVADO</v>
          </cell>
          <cell r="F1189" t="str">
            <v>APROVADO</v>
          </cell>
          <cell r="G1189" t="str">
            <v>APROVADO</v>
          </cell>
          <cell r="H1189" t="str">
            <v>APROVADO</v>
          </cell>
        </row>
        <row r="1190">
          <cell r="B1190" t="str">
            <v>TAILINE LISBOA</v>
          </cell>
          <cell r="E1190" t="str">
            <v>APROVADO</v>
          </cell>
          <cell r="F1190" t="str">
            <v>APROVADO</v>
          </cell>
          <cell r="G1190" t="str">
            <v>APROVADO</v>
          </cell>
          <cell r="H1190" t="str">
            <v>APROVADO</v>
          </cell>
        </row>
        <row r="1191">
          <cell r="B1191" t="str">
            <v>TAISA VIEIRA SENA</v>
          </cell>
          <cell r="E1191" t="str">
            <v>APROVADO</v>
          </cell>
          <cell r="F1191" t="str">
            <v>APROVADO</v>
          </cell>
          <cell r="G1191" t="str">
            <v>APROVADO</v>
          </cell>
          <cell r="H1191" t="str">
            <v>APROVADO</v>
          </cell>
        </row>
        <row r="1192">
          <cell r="B1192" t="str">
            <v>TALITA CRISTINA FIDELIS PEREIRA BIAGI</v>
          </cell>
          <cell r="E1192" t="str">
            <v>APROVADO</v>
          </cell>
          <cell r="F1192" t="str">
            <v>APROVADO</v>
          </cell>
          <cell r="G1192" t="str">
            <v>APROVADO</v>
          </cell>
          <cell r="H1192" t="str">
            <v>APROVADO</v>
          </cell>
        </row>
        <row r="1193">
          <cell r="B1193" t="str">
            <v>TALITA QUINSLER VELOSO</v>
          </cell>
          <cell r="E1193" t="str">
            <v>APROVADO</v>
          </cell>
          <cell r="F1193" t="str">
            <v>APROVADO</v>
          </cell>
          <cell r="G1193" t="str">
            <v>APROVADO</v>
          </cell>
          <cell r="H1193" t="str">
            <v>APROVADO</v>
          </cell>
        </row>
        <row r="1194">
          <cell r="B1194" t="str">
            <v>TALLES BAZEIA LIMA</v>
          </cell>
          <cell r="E1194" t="str">
            <v>APROVADO</v>
          </cell>
          <cell r="F1194" t="str">
            <v>APROVADO</v>
          </cell>
          <cell r="G1194" t="str">
            <v>APROVADO</v>
          </cell>
          <cell r="H1194" t="str">
            <v>APROVADO</v>
          </cell>
        </row>
        <row r="1195">
          <cell r="B1195" t="str">
            <v>TANIA CRISTINA SILVA BARBIERI</v>
          </cell>
          <cell r="E1195" t="str">
            <v>APROVADO</v>
          </cell>
          <cell r="F1195" t="str">
            <v>APROVADO</v>
          </cell>
          <cell r="G1195" t="str">
            <v>APROVADO</v>
          </cell>
          <cell r="H1195" t="str">
            <v>APROVADO</v>
          </cell>
        </row>
        <row r="1196">
          <cell r="B1196" t="str">
            <v>TATIANA LORENA DA LUZ KAESTNER</v>
          </cell>
          <cell r="E1196" t="str">
            <v>APROVADO</v>
          </cell>
          <cell r="F1196" t="str">
            <v>APROVADO</v>
          </cell>
          <cell r="G1196" t="str">
            <v>APROVADO</v>
          </cell>
          <cell r="H1196" t="str">
            <v>APROVADO</v>
          </cell>
        </row>
        <row r="1197">
          <cell r="B1197" t="str">
            <v>TATIANA MAYUMI VEIGA IRIYODA</v>
          </cell>
          <cell r="E1197" t="str">
            <v>APROVADO</v>
          </cell>
          <cell r="F1197" t="str">
            <v>APROVADO</v>
          </cell>
          <cell r="G1197" t="str">
            <v>APROVADO</v>
          </cell>
          <cell r="H1197" t="str">
            <v>APROVADO</v>
          </cell>
        </row>
        <row r="1198">
          <cell r="B1198" t="str">
            <v>TATIANA VON HERTWIG FERNANDES DE OLIVEIRA KUMER</v>
          </cell>
          <cell r="E1198" t="str">
            <v>APROVADO</v>
          </cell>
          <cell r="F1198" t="str">
            <v>APROVADO</v>
          </cell>
          <cell r="G1198" t="str">
            <v>APROVADO</v>
          </cell>
          <cell r="H1198" t="str">
            <v>APROVADO</v>
          </cell>
        </row>
        <row r="1199">
          <cell r="B1199" t="str">
            <v>TATIANE MARY GOGOLA</v>
          </cell>
          <cell r="E1199" t="str">
            <v>APROVADO</v>
          </cell>
          <cell r="F1199" t="str">
            <v>APROVADO</v>
          </cell>
          <cell r="G1199" t="str">
            <v>APROVADO</v>
          </cell>
          <cell r="H1199" t="str">
            <v>APROVADO</v>
          </cell>
        </row>
        <row r="1200">
          <cell r="B1200" t="str">
            <v>TATIANE ZAHN CARDOSO ROLIM</v>
          </cell>
          <cell r="E1200" t="str">
            <v>APROVADO</v>
          </cell>
          <cell r="F1200" t="str">
            <v>APROVADO</v>
          </cell>
          <cell r="G1200" t="str">
            <v>APROVADO</v>
          </cell>
          <cell r="H1200" t="str">
            <v>APROVADO</v>
          </cell>
        </row>
        <row r="1201">
          <cell r="B1201" t="str">
            <v>TATIANY HONORIO PORTO AOKI</v>
          </cell>
          <cell r="E1201" t="str">
            <v>APROVADO</v>
          </cell>
          <cell r="F1201" t="str">
            <v>APROVADO</v>
          </cell>
          <cell r="G1201" t="str">
            <v>APROVADO</v>
          </cell>
          <cell r="H1201" t="str">
            <v>APROVADO</v>
          </cell>
        </row>
        <row r="1202">
          <cell r="B1202" t="str">
            <v>TELMA BLANCA LOMBARDO BEDRAN</v>
          </cell>
          <cell r="E1202" t="str">
            <v>APROVADO</v>
          </cell>
          <cell r="F1202" t="str">
            <v>APROVADO</v>
          </cell>
          <cell r="G1202" t="str">
            <v>APROVADO</v>
          </cell>
          <cell r="H1202" t="str">
            <v>APROVADO</v>
          </cell>
        </row>
        <row r="1203">
          <cell r="B1203" t="str">
            <v>THABATA CRISTY ZERMIANI</v>
          </cell>
          <cell r="E1203" t="str">
            <v>APROVADO</v>
          </cell>
          <cell r="F1203" t="str">
            <v>APROVADO</v>
          </cell>
          <cell r="G1203" t="str">
            <v>APROVADO</v>
          </cell>
          <cell r="H1203" t="str">
            <v>APROVADO</v>
          </cell>
        </row>
        <row r="1204">
          <cell r="B1204" t="str">
            <v>THAIS DISTEFANO WILTENBURG DOS SANTOS</v>
          </cell>
          <cell r="E1204" t="str">
            <v>APROVADO</v>
          </cell>
          <cell r="F1204" t="str">
            <v>APROVADO</v>
          </cell>
          <cell r="G1204" t="str">
            <v>APROVADO</v>
          </cell>
          <cell r="H1204" t="str">
            <v>APROVADO</v>
          </cell>
        </row>
        <row r="1205">
          <cell r="B1205" t="str">
            <v>THAIS FERNANDA ROBERTO OLIVEIRA</v>
          </cell>
          <cell r="E1205" t="str">
            <v>APROVADO</v>
          </cell>
          <cell r="F1205" t="str">
            <v>APROVADO</v>
          </cell>
          <cell r="G1205" t="str">
            <v>APROVADO</v>
          </cell>
          <cell r="H1205" t="str">
            <v>APROVADO</v>
          </cell>
        </row>
        <row r="1206">
          <cell r="B1206" t="str">
            <v>THAIS SCAGLIONE</v>
          </cell>
          <cell r="E1206" t="str">
            <v>APROVADO</v>
          </cell>
          <cell r="F1206" t="str">
            <v>APROVADO</v>
          </cell>
          <cell r="G1206" t="str">
            <v>APROVADO</v>
          </cell>
          <cell r="H1206" t="str">
            <v>APROVADO</v>
          </cell>
        </row>
        <row r="1207">
          <cell r="B1207" t="str">
            <v>THAIS SIBIONI BERTI BASTOS</v>
          </cell>
          <cell r="E1207" t="str">
            <v>APROVADO</v>
          </cell>
          <cell r="F1207" t="str">
            <v>APROVADO</v>
          </cell>
          <cell r="G1207" t="str">
            <v>APROVADO</v>
          </cell>
          <cell r="H1207" t="str">
            <v>APROVADO</v>
          </cell>
        </row>
        <row r="1208">
          <cell r="B1208" t="str">
            <v>THAISE LOHR TACLA</v>
          </cell>
          <cell r="E1208" t="str">
            <v>APROVADO</v>
          </cell>
          <cell r="F1208" t="str">
            <v>APROVADO</v>
          </cell>
          <cell r="G1208" t="str">
            <v>APROVADO</v>
          </cell>
          <cell r="H1208" t="str">
            <v>APROVADO</v>
          </cell>
        </row>
        <row r="1209">
          <cell r="B1209" t="str">
            <v>THALITA ALVES SEJANES</v>
          </cell>
          <cell r="E1209" t="str">
            <v>APROVADO</v>
          </cell>
          <cell r="F1209" t="str">
            <v>APROVADO</v>
          </cell>
          <cell r="G1209" t="str">
            <v>APROVADO</v>
          </cell>
          <cell r="H1209" t="str">
            <v>APROVADO</v>
          </cell>
        </row>
        <row r="1210">
          <cell r="B1210" t="str">
            <v>THATYANNE GRADOWSKI FARIAS DA COSTA DO NASCIMENTO</v>
          </cell>
          <cell r="E1210" t="str">
            <v>APROVADO</v>
          </cell>
          <cell r="F1210" t="str">
            <v>APROVADO</v>
          </cell>
          <cell r="G1210" t="str">
            <v>APROVADO</v>
          </cell>
          <cell r="H1210" t="str">
            <v>APROVADO</v>
          </cell>
        </row>
        <row r="1211">
          <cell r="B1211" t="str">
            <v>THIAGO HENRIQUE ROZA</v>
          </cell>
          <cell r="E1211" t="str">
            <v>APROVADO</v>
          </cell>
          <cell r="F1211" t="str">
            <v>APROVADO</v>
          </cell>
          <cell r="G1211" t="str">
            <v>APROVADO</v>
          </cell>
          <cell r="H1211" t="str">
            <v>APROVADO</v>
          </cell>
        </row>
        <row r="1212">
          <cell r="B1212" t="str">
            <v>THIAGO ROCHA DA CUNHA</v>
          </cell>
          <cell r="E1212" t="str">
            <v>APROVADO</v>
          </cell>
          <cell r="F1212" t="str">
            <v>APROVADO</v>
          </cell>
          <cell r="G1212" t="str">
            <v>APROVADO</v>
          </cell>
          <cell r="H1212" t="str">
            <v>APROVADO</v>
          </cell>
        </row>
        <row r="1213">
          <cell r="B1213" t="str">
            <v>THIAGO THOMAZ KASPCHAK</v>
          </cell>
          <cell r="E1213" t="str">
            <v>APROVADO</v>
          </cell>
          <cell r="F1213" t="str">
            <v>APROVADO</v>
          </cell>
          <cell r="G1213" t="str">
            <v>APROVADO</v>
          </cell>
          <cell r="H1213" t="str">
            <v>APROVADO</v>
          </cell>
        </row>
        <row r="1214">
          <cell r="B1214" t="str">
            <v>THOMAZ JEFFERSON DE LEMOS PESSOA</v>
          </cell>
          <cell r="E1214" t="str">
            <v>APROVADO</v>
          </cell>
          <cell r="F1214" t="str">
            <v>APROVADO</v>
          </cell>
          <cell r="G1214" t="str">
            <v>APROVADO</v>
          </cell>
          <cell r="H1214" t="str">
            <v>APROVADO</v>
          </cell>
        </row>
        <row r="1215">
          <cell r="B1215" t="str">
            <v>THOMAZ MILTON NAVARRO VERASTEGUI</v>
          </cell>
          <cell r="E1215" t="str">
            <v>APROVADO</v>
          </cell>
          <cell r="F1215" t="str">
            <v>APROVADO</v>
          </cell>
          <cell r="G1215" t="str">
            <v>APROVADO</v>
          </cell>
          <cell r="H1215" t="str">
            <v>APROVADO</v>
          </cell>
        </row>
        <row r="1216">
          <cell r="B1216" t="str">
            <v>THYAGO PROENCA DE MORAES</v>
          </cell>
          <cell r="E1216" t="str">
            <v>APROVADO</v>
          </cell>
          <cell r="F1216" t="str">
            <v>APROVADO</v>
          </cell>
          <cell r="G1216" t="str">
            <v>APROVADO</v>
          </cell>
          <cell r="H1216" t="str">
            <v>APROVADO</v>
          </cell>
        </row>
        <row r="1217">
          <cell r="B1217" t="str">
            <v>TIAGO ADELINO NAVARRO</v>
          </cell>
          <cell r="E1217" t="str">
            <v>APROVADO</v>
          </cell>
          <cell r="F1217" t="str">
            <v>APROVADO</v>
          </cell>
          <cell r="G1217" t="str">
            <v>APROVADO</v>
          </cell>
          <cell r="H1217" t="str">
            <v>APROVADO</v>
          </cell>
        </row>
        <row r="1218">
          <cell r="B1218" t="str">
            <v>TIAGO FRANCESCONI</v>
          </cell>
          <cell r="E1218" t="str">
            <v>APROVADO</v>
          </cell>
          <cell r="F1218" t="str">
            <v>APROVADO</v>
          </cell>
          <cell r="G1218" t="str">
            <v>APROVADO</v>
          </cell>
          <cell r="H1218" t="str">
            <v>APROVADO</v>
          </cell>
        </row>
        <row r="1219">
          <cell r="B1219" t="str">
            <v>TIAGO MORALES CALVE</v>
          </cell>
          <cell r="E1219" t="str">
            <v>AGUARDANDO APROVAÇÃO</v>
          </cell>
          <cell r="F1219" t="str">
            <v>AGUARDANDO APROVAÇÃO</v>
          </cell>
          <cell r="G1219" t="str">
            <v>AGUARDANDO APROVAÇÃO</v>
          </cell>
          <cell r="H1219" t="str">
            <v>AGUARDANDO APROVAÇÃO</v>
          </cell>
        </row>
        <row r="1220">
          <cell r="B1220" t="str">
            <v>UBALDINO DA ROSA FERREIRA FILHO</v>
          </cell>
          <cell r="E1220" t="str">
            <v>APROVADO</v>
          </cell>
          <cell r="F1220" t="str">
            <v>APROVADO</v>
          </cell>
          <cell r="G1220" t="str">
            <v>APROVADO</v>
          </cell>
          <cell r="H1220" t="str">
            <v>APROVADO</v>
          </cell>
        </row>
        <row r="1221">
          <cell r="B1221" t="str">
            <v>UBIRAJARA IOBE TASQUETI</v>
          </cell>
          <cell r="E1221" t="str">
            <v>APROVADO</v>
          </cell>
          <cell r="F1221" t="str">
            <v>APROVADO</v>
          </cell>
          <cell r="G1221" t="str">
            <v>APROVADO</v>
          </cell>
          <cell r="H1221" t="str">
            <v>APROVADO</v>
          </cell>
        </row>
        <row r="1222">
          <cell r="B1222" t="str">
            <v>UBIRATA TORTATO</v>
          </cell>
          <cell r="E1222" t="str">
            <v>APROVADO</v>
          </cell>
          <cell r="F1222" t="str">
            <v>APROVADO</v>
          </cell>
          <cell r="G1222" t="str">
            <v>APROVADO</v>
          </cell>
          <cell r="H1222" t="str">
            <v>APROVADO</v>
          </cell>
        </row>
        <row r="1223">
          <cell r="B1223" t="str">
            <v>UIARA RAIANA VARGAS DE CASTRO OLIVEIRA RIBEIRO</v>
          </cell>
          <cell r="E1223" t="str">
            <v>APROVADO</v>
          </cell>
          <cell r="F1223" t="str">
            <v>APROVADO</v>
          </cell>
          <cell r="G1223" t="str">
            <v>APROVADO</v>
          </cell>
          <cell r="H1223" t="str">
            <v>APROVADO</v>
          </cell>
        </row>
        <row r="1224">
          <cell r="B1224" t="str">
            <v>ULISSES DOMINGOS NATAL</v>
          </cell>
          <cell r="E1224" t="str">
            <v>APROVADO</v>
          </cell>
          <cell r="F1224" t="str">
            <v>APROVADO</v>
          </cell>
          <cell r="G1224" t="str">
            <v>APROVADO</v>
          </cell>
          <cell r="H1224" t="str">
            <v>APROVADO</v>
          </cell>
        </row>
        <row r="1225">
          <cell r="B1225" t="str">
            <v>ULISSES XAVIER DA SILVA NETO</v>
          </cell>
          <cell r="E1225" t="str">
            <v>APROVADO</v>
          </cell>
          <cell r="F1225" t="str">
            <v>APROVADO</v>
          </cell>
          <cell r="G1225" t="str">
            <v>APROVADO</v>
          </cell>
          <cell r="H1225" t="str">
            <v>APROVADO</v>
          </cell>
        </row>
        <row r="1226">
          <cell r="B1226" t="str">
            <v>VALCIR MORAES</v>
          </cell>
          <cell r="E1226" t="str">
            <v>APROVADO</v>
          </cell>
          <cell r="F1226" t="str">
            <v>APROVADO</v>
          </cell>
          <cell r="G1226" t="str">
            <v>APROVADO</v>
          </cell>
          <cell r="H1226" t="str">
            <v>APROVADO</v>
          </cell>
        </row>
        <row r="1227">
          <cell r="B1227" t="str">
            <v>VALDECI ELEUTERIO</v>
          </cell>
          <cell r="E1227" t="str">
            <v>APROVADO</v>
          </cell>
          <cell r="F1227" t="str">
            <v>APROVADO</v>
          </cell>
          <cell r="G1227" t="str">
            <v>APROVADO</v>
          </cell>
          <cell r="H1227" t="str">
            <v>APROVADO</v>
          </cell>
        </row>
        <row r="1228">
          <cell r="B1228" t="str">
            <v>VALERIA APARECIDA PADOVANI DE SOUZA</v>
          </cell>
          <cell r="E1228" t="str">
            <v>APROVADO</v>
          </cell>
          <cell r="F1228" t="str">
            <v>APROVADO</v>
          </cell>
          <cell r="G1228" t="str">
            <v>APROVADO</v>
          </cell>
          <cell r="H1228" t="str">
            <v>APROVADO</v>
          </cell>
        </row>
        <row r="1229">
          <cell r="B1229" t="str">
            <v>VALERIA NATASCHA TEIXEIRA</v>
          </cell>
          <cell r="E1229" t="str">
            <v>AGUARDANDO APROVAÇÃO</v>
          </cell>
          <cell r="F1229" t="str">
            <v>APROVADO</v>
          </cell>
          <cell r="G1229" t="str">
            <v>APROVADO</v>
          </cell>
          <cell r="H1229" t="str">
            <v>APROVADO</v>
          </cell>
        </row>
        <row r="1230">
          <cell r="B1230" t="str">
            <v>VALQUIRIA ELITA RENK</v>
          </cell>
          <cell r="E1230" t="str">
            <v>APROVADO</v>
          </cell>
          <cell r="F1230" t="str">
            <v>APROVADO</v>
          </cell>
          <cell r="G1230" t="str">
            <v>APROVADO</v>
          </cell>
          <cell r="H1230" t="str">
            <v>APROVADO</v>
          </cell>
        </row>
        <row r="1231">
          <cell r="B1231" t="str">
            <v>VALTER FREITAS</v>
          </cell>
          <cell r="E1231" t="str">
            <v>APROVADO</v>
          </cell>
          <cell r="F1231" t="str">
            <v>APROVADO</v>
          </cell>
          <cell r="G1231" t="str">
            <v>APROVADO</v>
          </cell>
          <cell r="H1231" t="str">
            <v>APROVADO</v>
          </cell>
        </row>
        <row r="1232">
          <cell r="B1232" t="str">
            <v>VALTER KLEIN JUNIOR</v>
          </cell>
          <cell r="E1232" t="str">
            <v>APROVADO</v>
          </cell>
          <cell r="F1232" t="str">
            <v>APROVADO</v>
          </cell>
          <cell r="G1232" t="str">
            <v>APROVADO</v>
          </cell>
          <cell r="H1232" t="str">
            <v>APROVADO</v>
          </cell>
        </row>
        <row r="1233">
          <cell r="B1233" t="str">
            <v>VANESSA ARAUJO SALES</v>
          </cell>
          <cell r="E1233" t="str">
            <v>APROVADO</v>
          </cell>
          <cell r="F1233" t="str">
            <v>APROVADO</v>
          </cell>
          <cell r="G1233" t="str">
            <v>APROVADO</v>
          </cell>
          <cell r="H1233" t="str">
            <v>APROVADO</v>
          </cell>
        </row>
        <row r="1234">
          <cell r="B1234" t="str">
            <v>VANESSA DAUFENBACK RAMOS</v>
          </cell>
          <cell r="E1234" t="str">
            <v>APROVADO</v>
          </cell>
          <cell r="F1234" t="str">
            <v>APROVADO</v>
          </cell>
          <cell r="G1234" t="str">
            <v>APROVADO</v>
          </cell>
          <cell r="H1234" t="str">
            <v>APROVADO</v>
          </cell>
        </row>
        <row r="1235">
          <cell r="B1235" t="str">
            <v>VANESSA SANTOS SOTOMAIOR</v>
          </cell>
          <cell r="E1235" t="str">
            <v>APROVADO</v>
          </cell>
          <cell r="F1235" t="str">
            <v>APROVADO</v>
          </cell>
          <cell r="G1235" t="str">
            <v>APROVADO</v>
          </cell>
          <cell r="H1235" t="str">
            <v>APROVADO</v>
          </cell>
        </row>
        <row r="1236">
          <cell r="B1236" t="str">
            <v>VANESSA TEREZINHA ALES</v>
          </cell>
          <cell r="E1236" t="str">
            <v>APROVADO</v>
          </cell>
          <cell r="F1236" t="str">
            <v>APROVADO</v>
          </cell>
          <cell r="G1236" t="str">
            <v>APROVADO</v>
          </cell>
          <cell r="H1236" t="str">
            <v>APROVADO</v>
          </cell>
        </row>
        <row r="1237">
          <cell r="B1237" t="str">
            <v>VANESSA YUMIE SALOMAO WATANABE LIBERALESSO</v>
          </cell>
          <cell r="E1237" t="str">
            <v>APROVADO</v>
          </cell>
          <cell r="F1237" t="str">
            <v>APROVADO</v>
          </cell>
          <cell r="G1237" t="str">
            <v>APROVADO</v>
          </cell>
          <cell r="H1237" t="str">
            <v>APROVADO</v>
          </cell>
        </row>
        <row r="1238">
          <cell r="B1238" t="str">
            <v>VANIA APARECIDA TERRA</v>
          </cell>
          <cell r="E1238" t="str">
            <v>APROVADO</v>
          </cell>
          <cell r="F1238" t="str">
            <v>APROVADO</v>
          </cell>
          <cell r="G1238" t="str">
            <v>APROVADO</v>
          </cell>
          <cell r="H1238" t="str">
            <v>APROVADO</v>
          </cell>
        </row>
        <row r="1239">
          <cell r="B1239" t="str">
            <v>VANIR APARECIDA TROMBETTA</v>
          </cell>
          <cell r="E1239" t="str">
            <v>APROVADO</v>
          </cell>
          <cell r="F1239" t="str">
            <v>APROVADO</v>
          </cell>
          <cell r="G1239" t="str">
            <v>APROVADO</v>
          </cell>
          <cell r="H1239" t="str">
            <v>APROVADO</v>
          </cell>
        </row>
        <row r="1240">
          <cell r="B1240" t="str">
            <v>VICENTE ARTUSO</v>
          </cell>
          <cell r="E1240" t="str">
            <v>APROVADO</v>
          </cell>
          <cell r="F1240" t="str">
            <v>APROVADO</v>
          </cell>
          <cell r="G1240" t="str">
            <v>APROVADO</v>
          </cell>
          <cell r="H1240" t="str">
            <v>APROVADO</v>
          </cell>
        </row>
        <row r="1241">
          <cell r="B1241" t="str">
            <v>VICTOR HENRIQUE ALVES RIBEIRO</v>
          </cell>
          <cell r="E1241" t="str">
            <v>APROVADO</v>
          </cell>
          <cell r="F1241" t="str">
            <v>APROVADO</v>
          </cell>
          <cell r="G1241" t="str">
            <v>APROVADO</v>
          </cell>
          <cell r="H1241" t="str">
            <v>APROVADO</v>
          </cell>
        </row>
        <row r="1242">
          <cell r="B1242" t="str">
            <v>VICTOR HORACIO DE SOUZA COSTA JUNIOR</v>
          </cell>
          <cell r="E1242" t="str">
            <v>APROVADO</v>
          </cell>
          <cell r="F1242" t="str">
            <v>APROVADO</v>
          </cell>
          <cell r="G1242" t="str">
            <v>APROVADO</v>
          </cell>
          <cell r="H1242" t="str">
            <v>APROVADO</v>
          </cell>
        </row>
        <row r="1243">
          <cell r="B1243" t="str">
            <v>VIDAL MARTINS</v>
          </cell>
          <cell r="E1243" t="str">
            <v>APROVADO</v>
          </cell>
          <cell r="F1243" t="str">
            <v>APROVADO</v>
          </cell>
          <cell r="G1243" t="str">
            <v>APROVADO</v>
          </cell>
          <cell r="H1243" t="str">
            <v>APROVADO</v>
          </cell>
        </row>
        <row r="1244">
          <cell r="B1244" t="str">
            <v>VILMAR ABREU JUNIOR</v>
          </cell>
          <cell r="E1244" t="str">
            <v>APROVADO</v>
          </cell>
          <cell r="F1244" t="str">
            <v>APROVADO</v>
          </cell>
          <cell r="G1244" t="str">
            <v>APROVADO</v>
          </cell>
          <cell r="H1244" t="str">
            <v>APROVADO</v>
          </cell>
        </row>
        <row r="1245">
          <cell r="B1245" t="str">
            <v>VILMAR RODRIGUES MOREIRA</v>
          </cell>
          <cell r="E1245" t="str">
            <v>APROVADO</v>
          </cell>
          <cell r="F1245" t="str">
            <v>APROVADO</v>
          </cell>
          <cell r="G1245" t="str">
            <v>APROVADO</v>
          </cell>
          <cell r="H1245" t="str">
            <v>APROVADO</v>
          </cell>
        </row>
        <row r="1246">
          <cell r="B1246" t="str">
            <v>VINICIUS ANTONIO HIROAKI SATO</v>
          </cell>
          <cell r="E1246" t="str">
            <v>APROVADO</v>
          </cell>
          <cell r="F1246" t="str">
            <v>APROVADO</v>
          </cell>
          <cell r="G1246" t="str">
            <v>APROVADO</v>
          </cell>
          <cell r="H1246" t="str">
            <v>APROVADO</v>
          </cell>
        </row>
        <row r="1247">
          <cell r="B1247" t="str">
            <v>VINICIUS AUGUSTO TRAMONTINA</v>
          </cell>
          <cell r="E1247" t="str">
            <v>APROVADO</v>
          </cell>
          <cell r="F1247" t="str">
            <v>APROVADO</v>
          </cell>
          <cell r="G1247" t="str">
            <v>APROVADO</v>
          </cell>
          <cell r="H1247" t="str">
            <v>APROVADO</v>
          </cell>
        </row>
        <row r="1248">
          <cell r="B1248" t="str">
            <v>VINICIUS BASSO PRETI</v>
          </cell>
          <cell r="E1248" t="str">
            <v>APROVADO</v>
          </cell>
          <cell r="F1248" t="str">
            <v>APROVADO</v>
          </cell>
          <cell r="G1248" t="str">
            <v>APROVADO</v>
          </cell>
          <cell r="H1248" t="str">
            <v>APROVADO</v>
          </cell>
        </row>
        <row r="1249">
          <cell r="B1249" t="str">
            <v>VINICIUS EL GHOZ DE LARA</v>
          </cell>
          <cell r="E1249" t="str">
            <v>APROVADO</v>
          </cell>
          <cell r="F1249" t="str">
            <v>APROVADO</v>
          </cell>
          <cell r="G1249" t="str">
            <v>APROVADO</v>
          </cell>
          <cell r="H1249" t="str">
            <v>APROVADO</v>
          </cell>
        </row>
        <row r="1250">
          <cell r="B1250" t="str">
            <v>VINICIUS GODOY DE MENDONCA</v>
          </cell>
          <cell r="E1250" t="str">
            <v>APROVADO</v>
          </cell>
          <cell r="F1250" t="str">
            <v>APROVADO</v>
          </cell>
          <cell r="G1250" t="str">
            <v>APROVADO</v>
          </cell>
          <cell r="H1250" t="str">
            <v>APROVADO</v>
          </cell>
        </row>
        <row r="1251">
          <cell r="B1251" t="str">
            <v>VINICIUS MOURAO ALVES DE SOUZA</v>
          </cell>
          <cell r="E1251" t="str">
            <v>APROVADO</v>
          </cell>
          <cell r="F1251" t="str">
            <v>APROVADO</v>
          </cell>
          <cell r="G1251" t="str">
            <v>APROVADO</v>
          </cell>
          <cell r="H1251" t="str">
            <v>APROVADO</v>
          </cell>
        </row>
        <row r="1252">
          <cell r="B1252" t="str">
            <v>VINICIUS ORO POPP</v>
          </cell>
          <cell r="E1252" t="str">
            <v>APROVADO</v>
          </cell>
          <cell r="F1252" t="str">
            <v>APROVADO</v>
          </cell>
          <cell r="G1252" t="str">
            <v>APROVADO</v>
          </cell>
          <cell r="H1252" t="str">
            <v>APROVADO</v>
          </cell>
        </row>
        <row r="1253">
          <cell r="B1253" t="str">
            <v>VITOR BERTOLI NASCIMENTO</v>
          </cell>
          <cell r="E1253" t="str">
            <v>APROVADO</v>
          </cell>
          <cell r="F1253" t="str">
            <v>APROVADO</v>
          </cell>
          <cell r="G1253" t="str">
            <v>APROVADO</v>
          </cell>
          <cell r="H1253" t="str">
            <v>APROVADO</v>
          </cell>
        </row>
        <row r="1254">
          <cell r="B1254" t="str">
            <v>VITOR LOUREIRO DIAS</v>
          </cell>
          <cell r="E1254" t="str">
            <v>APROVADO</v>
          </cell>
          <cell r="F1254" t="str">
            <v>APROVADO</v>
          </cell>
          <cell r="G1254" t="str">
            <v>APROVADO</v>
          </cell>
          <cell r="H1254" t="str">
            <v>APROVADO</v>
          </cell>
        </row>
        <row r="1255">
          <cell r="B1255" t="str">
            <v>VIVIAN CRISTINA LIMA LOPEZ VALLE</v>
          </cell>
          <cell r="E1255" t="str">
            <v>APROVADO</v>
          </cell>
          <cell r="F1255" t="str">
            <v>APROVADO</v>
          </cell>
          <cell r="G1255" t="str">
            <v>APROVADO</v>
          </cell>
          <cell r="H1255" t="str">
            <v>APROVADO</v>
          </cell>
        </row>
        <row r="1256">
          <cell r="B1256" t="str">
            <v>VIVIANA RAQUEL ZURRO</v>
          </cell>
          <cell r="E1256" t="str">
            <v>APROVADO</v>
          </cell>
          <cell r="F1256" t="str">
            <v>APROVADO</v>
          </cell>
          <cell r="G1256" t="str">
            <v>APROVADO</v>
          </cell>
          <cell r="H1256" t="str">
            <v>APROVADO</v>
          </cell>
        </row>
        <row r="1257">
          <cell r="B1257" t="str">
            <v>VIVIANE BERNARDES DE OLIVEIRA CHAIBEN</v>
          </cell>
          <cell r="E1257" t="str">
            <v>APROVADO</v>
          </cell>
          <cell r="F1257" t="str">
            <v>APROVADO</v>
          </cell>
          <cell r="G1257" t="str">
            <v>APROVADO</v>
          </cell>
          <cell r="H1257" t="str">
            <v>APROVADO</v>
          </cell>
        </row>
        <row r="1258">
          <cell r="B1258" t="str">
            <v>VIVIANE DE SOUZA PINHO COSTA</v>
          </cell>
          <cell r="E1258" t="str">
            <v>APROVADO</v>
          </cell>
          <cell r="F1258" t="str">
            <v>APROVADO</v>
          </cell>
          <cell r="G1258" t="str">
            <v>APROVADO</v>
          </cell>
          <cell r="H1258" t="str">
            <v>APROVADO</v>
          </cell>
        </row>
        <row r="1259">
          <cell r="B1259" t="str">
            <v>VOLDI COSTA ZAMBENEDETTI</v>
          </cell>
          <cell r="E1259" t="str">
            <v>APROVADO</v>
          </cell>
          <cell r="F1259" t="str">
            <v>APROVADO</v>
          </cell>
          <cell r="G1259" t="str">
            <v>APROVADO</v>
          </cell>
          <cell r="H1259" t="str">
            <v>APROVADO</v>
          </cell>
        </row>
        <row r="1260">
          <cell r="B1260" t="str">
            <v>WALDIR SOUZA</v>
          </cell>
          <cell r="E1260" t="str">
            <v>APROVADO</v>
          </cell>
          <cell r="F1260" t="str">
            <v>APROVADO</v>
          </cell>
          <cell r="G1260" t="str">
            <v>APROVADO</v>
          </cell>
          <cell r="H1260" t="str">
            <v>APROVADO</v>
          </cell>
        </row>
        <row r="1261">
          <cell r="B1261" t="str">
            <v>WALLISTEN PASSOS GARCIA</v>
          </cell>
          <cell r="E1261" t="str">
            <v>APROVADO</v>
          </cell>
          <cell r="F1261" t="str">
            <v>APROVADO</v>
          </cell>
          <cell r="G1261" t="str">
            <v>APROVADO</v>
          </cell>
          <cell r="H1261" t="str">
            <v>APROVADO</v>
          </cell>
        </row>
        <row r="1262">
          <cell r="B1262" t="str">
            <v>WALTER BARBOSA BITTAR</v>
          </cell>
          <cell r="E1262" t="str">
            <v>APROVADO</v>
          </cell>
          <cell r="F1262" t="str">
            <v>APROVADO</v>
          </cell>
          <cell r="G1262" t="str">
            <v>APROVADO</v>
          </cell>
          <cell r="H1262" t="str">
            <v>APROVADO</v>
          </cell>
        </row>
        <row r="1263">
          <cell r="B1263" t="str">
            <v>WALTER MAZUROSKI</v>
          </cell>
          <cell r="E1263" t="str">
            <v>APROVADO</v>
          </cell>
          <cell r="F1263" t="str">
            <v>APROVADO</v>
          </cell>
          <cell r="G1263" t="str">
            <v>APROVADO</v>
          </cell>
          <cell r="H1263" t="str">
            <v>APROVADO</v>
          </cell>
        </row>
        <row r="1264">
          <cell r="B1264" t="str">
            <v>WESLEY MARCOS DE ALMEIDA</v>
          </cell>
          <cell r="E1264" t="str">
            <v>APROVADO</v>
          </cell>
          <cell r="F1264" t="str">
            <v>APROVADO</v>
          </cell>
          <cell r="G1264" t="str">
            <v>APROVADO</v>
          </cell>
          <cell r="H1264" t="str">
            <v>APROVADO</v>
          </cell>
        </row>
        <row r="1265">
          <cell r="B1265" t="str">
            <v>WILLIAM CESAR BISPO BARRETO</v>
          </cell>
          <cell r="E1265" t="str">
            <v>APROVADO</v>
          </cell>
          <cell r="F1265" t="str">
            <v>APROVADO</v>
          </cell>
          <cell r="G1265" t="str">
            <v>APROVADO</v>
          </cell>
          <cell r="H1265" t="str">
            <v>APROVADO</v>
          </cell>
        </row>
        <row r="1266">
          <cell r="B1266" t="str">
            <v>WILLIAM FRANCO DA SILVA</v>
          </cell>
          <cell r="E1266" t="str">
            <v>APROVADO</v>
          </cell>
          <cell r="F1266" t="str">
            <v>APROVADO</v>
          </cell>
          <cell r="G1266" t="str">
            <v>APROVADO</v>
          </cell>
          <cell r="H1266" t="str">
            <v>APROVADO</v>
          </cell>
        </row>
        <row r="1267">
          <cell r="B1267" t="str">
            <v>WILLIAM SADE JUNIOR</v>
          </cell>
          <cell r="E1267" t="str">
            <v>APROVADO</v>
          </cell>
          <cell r="F1267" t="str">
            <v>APROVADO</v>
          </cell>
          <cell r="G1267" t="str">
            <v>APROVADO</v>
          </cell>
          <cell r="H1267" t="str">
            <v>APROVADO</v>
          </cell>
        </row>
        <row r="1268">
          <cell r="B1268" t="str">
            <v>WILLIAN BOSQUETTE ROSA</v>
          </cell>
          <cell r="E1268" t="str">
            <v>APROVADO</v>
          </cell>
          <cell r="F1268" t="str">
            <v>APROVADO</v>
          </cell>
          <cell r="G1268" t="str">
            <v>APROVADO</v>
          </cell>
          <cell r="H1268" t="str">
            <v>APROVADO</v>
          </cell>
        </row>
        <row r="1269">
          <cell r="B1269" t="str">
            <v>WILLIAN MAC CORMICK MARON</v>
          </cell>
          <cell r="E1269" t="str">
            <v>APROVADO</v>
          </cell>
          <cell r="F1269" t="str">
            <v>APROVADO</v>
          </cell>
          <cell r="G1269" t="str">
            <v>APROVADO</v>
          </cell>
          <cell r="H1269" t="str">
            <v>APROVADO</v>
          </cell>
        </row>
        <row r="1270">
          <cell r="B1270" t="str">
            <v>WILSON GORGES</v>
          </cell>
          <cell r="E1270" t="str">
            <v>APROVADO</v>
          </cell>
          <cell r="F1270" t="str">
            <v>APROVADO</v>
          </cell>
          <cell r="G1270" t="str">
            <v>APROVADO</v>
          </cell>
          <cell r="H1270" t="str">
            <v>APROVADO</v>
          </cell>
        </row>
        <row r="1271">
          <cell r="B1271" t="str">
            <v>WILSON LIUTI COSTA JUNIOR</v>
          </cell>
          <cell r="E1271" t="str">
            <v>APROVADO</v>
          </cell>
          <cell r="F1271" t="str">
            <v>APROVADO</v>
          </cell>
          <cell r="G1271" t="str">
            <v>APROVADO</v>
          </cell>
          <cell r="H1271" t="str">
            <v>APROVADO</v>
          </cell>
        </row>
        <row r="1272">
          <cell r="B1272" t="str">
            <v>WILSON MASKE</v>
          </cell>
          <cell r="E1272" t="str">
            <v>APROVADO</v>
          </cell>
          <cell r="F1272" t="str">
            <v>APROVADO</v>
          </cell>
          <cell r="G1272" t="str">
            <v>APROVADO</v>
          </cell>
          <cell r="H1272" t="str">
            <v>APROVADO</v>
          </cell>
        </row>
        <row r="1273">
          <cell r="B1273" t="str">
            <v>WILTON BORGES DOS SANTOS</v>
          </cell>
          <cell r="E1273" t="str">
            <v>APROVADO</v>
          </cell>
          <cell r="F1273" t="str">
            <v>APROVADO</v>
          </cell>
          <cell r="G1273" t="str">
            <v>APROVADO</v>
          </cell>
          <cell r="H1273" t="str">
            <v>APROVADO</v>
          </cell>
        </row>
        <row r="1274">
          <cell r="B1274" t="str">
            <v>YAN PEDRO LAZAROTTO GONCALVES</v>
          </cell>
          <cell r="E1274" t="str">
            <v>APROVADO</v>
          </cell>
          <cell r="F1274" t="str">
            <v>APROVADO</v>
          </cell>
          <cell r="G1274" t="str">
            <v>APROVADO</v>
          </cell>
          <cell r="H1274" t="str">
            <v>APROVADO</v>
          </cell>
        </row>
        <row r="1275">
          <cell r="B1275" t="str">
            <v>YOHANNA VIEIRA JUK</v>
          </cell>
          <cell r="E1275" t="str">
            <v>APROVADO</v>
          </cell>
          <cell r="F1275" t="str">
            <v>APROVADO</v>
          </cell>
          <cell r="G1275" t="str">
            <v>APROVADO</v>
          </cell>
          <cell r="H1275" t="str">
            <v>APROVADO</v>
          </cell>
        </row>
        <row r="1276">
          <cell r="B1276" t="str">
            <v>YURI ALEXANDRE FERRETE</v>
          </cell>
          <cell r="E1276" t="str">
            <v>APROVADO</v>
          </cell>
          <cell r="F1276" t="str">
            <v>APROVADO</v>
          </cell>
          <cell r="G1276" t="str">
            <v>APROVADO</v>
          </cell>
          <cell r="H1276" t="str">
            <v>APROVADO</v>
          </cell>
        </row>
        <row r="1277">
          <cell r="B1277" t="str">
            <v>ZARA HUSSEIN</v>
          </cell>
          <cell r="E1277" t="str">
            <v>APROVADO</v>
          </cell>
          <cell r="F1277" t="str">
            <v>APROVADO</v>
          </cell>
          <cell r="G1277" t="str">
            <v>APROVADO</v>
          </cell>
          <cell r="H1277" t="str">
            <v>APROVADO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r2w-run-get - 2026-03-12T11243"/>
    </sheetNames>
    <sheetDataSet>
      <sheetData sheetId="0">
        <row r="1">
          <cell r="B1" t="str">
            <v xml:space="preserve">Nome                                                         </v>
          </cell>
          <cell r="D1" t="str">
            <v xml:space="preserve">Função - Nome                       </v>
          </cell>
        </row>
        <row r="2">
          <cell r="B2" t="str">
            <v>ALBONI MARISA DUDEQUE PIANOVSKI VIEIRA</v>
          </cell>
          <cell r="D2" t="str">
            <v>PROFESSOR ADJUNTO</v>
          </cell>
        </row>
        <row r="3">
          <cell r="B3" t="str">
            <v>LEONARDO TOSSIAKI OBA</v>
          </cell>
          <cell r="D3" t="str">
            <v>PROFESSOR TITULAR</v>
          </cell>
        </row>
        <row r="4">
          <cell r="B4" t="str">
            <v>JANETE MARQUES DA ROCHA</v>
          </cell>
          <cell r="D4" t="str">
            <v>ANL ADMINISTRATIVO PL</v>
          </cell>
        </row>
        <row r="5">
          <cell r="B5" t="str">
            <v>ELOETE CAMILLI OLIVEIRA</v>
          </cell>
          <cell r="D5" t="str">
            <v>PROFESSOR ADJUNTO</v>
          </cell>
        </row>
        <row r="6">
          <cell r="B6" t="str">
            <v>SUELI DO ROCIO MARGULSKI DE OLIVEIRA</v>
          </cell>
          <cell r="D6" t="str">
            <v>ANL ADMINISTRATIVO PL</v>
          </cell>
        </row>
        <row r="7">
          <cell r="B7" t="str">
            <v>JOSE LUIZ DE SOUZA MARANHAO</v>
          </cell>
          <cell r="D7" t="str">
            <v>PROFESSOR ADJUNTO</v>
          </cell>
        </row>
        <row r="8">
          <cell r="B8" t="str">
            <v>JOSE ERNANI DE CARVALHO PACHECO</v>
          </cell>
          <cell r="D8" t="str">
            <v>PROFESSOR ASSISTENTE</v>
          </cell>
        </row>
        <row r="9">
          <cell r="B9" t="str">
            <v>LETICIA PERET ANTUNES HARDT</v>
          </cell>
          <cell r="D9" t="str">
            <v>PROFESSOR TITULAR</v>
          </cell>
        </row>
        <row r="10">
          <cell r="B10" t="str">
            <v>ROBERTO BORGES FRANCA</v>
          </cell>
          <cell r="D10" t="str">
            <v>PROFESSOR TITULAR</v>
          </cell>
        </row>
        <row r="11">
          <cell r="B11" t="str">
            <v>CLOVIS DOS SANTOS ANDRADE</v>
          </cell>
          <cell r="D11" t="str">
            <v>PROFESSOR ADJUNTO</v>
          </cell>
        </row>
        <row r="12">
          <cell r="B12" t="str">
            <v>AURISTELA DUARTE DE LIMA MOSER</v>
          </cell>
          <cell r="D12" t="str">
            <v>PROFESSOR TITULAR</v>
          </cell>
        </row>
        <row r="13">
          <cell r="B13" t="str">
            <v>PATRICIA LUPION TORRES</v>
          </cell>
          <cell r="D13" t="str">
            <v>COORD CURSO</v>
          </cell>
        </row>
        <row r="14">
          <cell r="B14" t="str">
            <v>CLEYBE HIOLE VIEIRA</v>
          </cell>
          <cell r="D14" t="str">
            <v>GTE PIBIC</v>
          </cell>
        </row>
        <row r="15">
          <cell r="B15" t="str">
            <v>DIVINO FRANCA</v>
          </cell>
          <cell r="D15" t="str">
            <v>PROFESSOR ADJUNTO</v>
          </cell>
        </row>
        <row r="16">
          <cell r="B16" t="str">
            <v>LUIZ FERNANDO PEREIRA</v>
          </cell>
          <cell r="D16" t="str">
            <v>PROFESSOR TITULAR</v>
          </cell>
        </row>
        <row r="17">
          <cell r="B17" t="str">
            <v>DEISI MARIA ZANLORENCI</v>
          </cell>
          <cell r="D17" t="str">
            <v>AST SOCIAL</v>
          </cell>
        </row>
        <row r="18">
          <cell r="B18" t="str">
            <v>OLIMPIO DE PAULA XAVIER FILHO</v>
          </cell>
          <cell r="D18" t="str">
            <v>PROFESSOR ASSISTENTE</v>
          </cell>
        </row>
        <row r="19">
          <cell r="B19" t="str">
            <v>JOSE GERALDO PEREIRA DE MELO</v>
          </cell>
          <cell r="D19" t="str">
            <v>TEC LABORATORIO II (S/ AD-INS)</v>
          </cell>
        </row>
        <row r="20">
          <cell r="B20" t="str">
            <v>JOSE MAURICIO BARBOSA</v>
          </cell>
          <cell r="D20" t="str">
            <v>TEC LABORATORIO II (C/ AD-INS)</v>
          </cell>
        </row>
        <row r="21">
          <cell r="B21" t="str">
            <v>VERA LUCIA HAMILKO BARBOSA</v>
          </cell>
          <cell r="D21" t="str">
            <v>MEDICO</v>
          </cell>
        </row>
        <row r="22">
          <cell r="B22" t="str">
            <v>PERCY NOHAMA</v>
          </cell>
          <cell r="D22" t="str">
            <v>COORD CURSO</v>
          </cell>
        </row>
        <row r="23">
          <cell r="B23" t="str">
            <v>ROMEU FELIPE BACELLAR FILHO</v>
          </cell>
          <cell r="D23" t="str">
            <v>PROFESSOR TITULAR</v>
          </cell>
        </row>
        <row r="24">
          <cell r="B24" t="str">
            <v>LUIS ALEXANDRE CARTA WINTER</v>
          </cell>
          <cell r="D24" t="str">
            <v>PROFESSOR TITULAR</v>
          </cell>
        </row>
        <row r="25">
          <cell r="B25" t="str">
            <v>CINTHIA OBLADEN DE ALMENDRA FREITAS</v>
          </cell>
          <cell r="D25" t="str">
            <v>PROFESSOR TITULAR</v>
          </cell>
        </row>
        <row r="26">
          <cell r="B26" t="str">
            <v>LILIANE MARIA BUSATO BATISTA</v>
          </cell>
          <cell r="D26" t="str">
            <v>PROFESSOR ADJUNTO</v>
          </cell>
        </row>
        <row r="27">
          <cell r="B27" t="str">
            <v>JOAO CARMITO ALVES DE OLIVEIRA</v>
          </cell>
          <cell r="D27" t="str">
            <v>TEC LABORATORIO II (S/ AD-INS)</v>
          </cell>
        </row>
        <row r="28">
          <cell r="B28" t="str">
            <v>THOMAZ JEFFERSON DE LEMOS PESSOA</v>
          </cell>
          <cell r="D28" t="str">
            <v>PROFESSOR ASSISTENTE</v>
          </cell>
        </row>
        <row r="29">
          <cell r="B29" t="str">
            <v>EDILENE DE OLIVEIRA DOS SANTOS</v>
          </cell>
          <cell r="D29" t="str">
            <v>BIBLIOTECARIO SR</v>
          </cell>
        </row>
        <row r="30">
          <cell r="B30" t="str">
            <v>CARLOS JOSE GOMES</v>
          </cell>
          <cell r="D30" t="str">
            <v>PROFESSOR ADJUNTO</v>
          </cell>
        </row>
        <row r="31">
          <cell r="B31" t="str">
            <v>HARRY ALBERTO BOLLMANN</v>
          </cell>
          <cell r="D31" t="str">
            <v>PROFESSOR TITULAR</v>
          </cell>
        </row>
        <row r="32">
          <cell r="B32" t="str">
            <v>MARIA LUZIA DOS SANTOS ARAUJO</v>
          </cell>
          <cell r="D32" t="str">
            <v>AUX SERVICOS GERAIS</v>
          </cell>
        </row>
        <row r="33">
          <cell r="B33" t="str">
            <v>ELCIRA JOSEANE SCOPEL</v>
          </cell>
          <cell r="D33" t="str">
            <v>ANL OPERACOES ACADEMICAS SR</v>
          </cell>
        </row>
        <row r="34">
          <cell r="B34" t="str">
            <v>ANA CRISTINA SEIXAS GRECA</v>
          </cell>
          <cell r="D34" t="str">
            <v>COORD CURSO</v>
          </cell>
        </row>
        <row r="35">
          <cell r="B35" t="str">
            <v>EDUARDO KARAM SALTORI</v>
          </cell>
          <cell r="D35" t="str">
            <v>PROFESSOR ADJUNTO</v>
          </cell>
        </row>
        <row r="36">
          <cell r="B36" t="str">
            <v>LUIS SALVADOR PETRUCCI GNOATO</v>
          </cell>
          <cell r="D36" t="str">
            <v>PROFESSOR TITULAR</v>
          </cell>
        </row>
        <row r="37">
          <cell r="B37" t="str">
            <v>MARCELO TAVORA MIRA</v>
          </cell>
          <cell r="D37" t="str">
            <v>PROFESSOR TITULAR</v>
          </cell>
        </row>
        <row r="38">
          <cell r="B38" t="str">
            <v>ANA MARIA EYNG</v>
          </cell>
          <cell r="D38" t="str">
            <v>PROFESSOR TITULAR</v>
          </cell>
        </row>
        <row r="39">
          <cell r="B39" t="str">
            <v>ORLANDO MOTOHIRO TANAKA</v>
          </cell>
          <cell r="D39" t="str">
            <v>PROFESSOR TITULAR</v>
          </cell>
        </row>
        <row r="40">
          <cell r="B40" t="str">
            <v>NEIDE REIS BORGES</v>
          </cell>
          <cell r="D40" t="str">
            <v>ANL ATENDIMENTO JR</v>
          </cell>
        </row>
        <row r="41">
          <cell r="B41" t="str">
            <v>SIMONE MARIA MALUCELLI PINTO SCHELLENBERG</v>
          </cell>
          <cell r="D41" t="str">
            <v>PROFESSOR TITULAR</v>
          </cell>
        </row>
        <row r="42">
          <cell r="B42" t="str">
            <v>CARLOS HARDT</v>
          </cell>
          <cell r="D42" t="str">
            <v>PROFESSOR TITULAR</v>
          </cell>
        </row>
        <row r="43">
          <cell r="B43" t="str">
            <v>DILMEIRE SANT ANNA RAMOS VOSGERAU</v>
          </cell>
          <cell r="D43" t="str">
            <v>PROFESSOR ADJUNTO</v>
          </cell>
        </row>
        <row r="44">
          <cell r="B44" t="str">
            <v>BORTOLO VALLE</v>
          </cell>
          <cell r="D44" t="str">
            <v>PROFESSOR TITULAR</v>
          </cell>
        </row>
        <row r="45">
          <cell r="B45" t="str">
            <v>ALEX ANTONIO FERRARESI</v>
          </cell>
          <cell r="D45" t="str">
            <v>PROFESSOR TITULAR</v>
          </cell>
        </row>
        <row r="46">
          <cell r="B46" t="str">
            <v>SIRLEY TEREZINHA FILIPAK</v>
          </cell>
          <cell r="D46" t="str">
            <v>PROFESSOR ADJUNTO</v>
          </cell>
        </row>
        <row r="47">
          <cell r="B47" t="str">
            <v>ANA PAULA KUCZYNSKI PEDRO BOM</v>
          </cell>
          <cell r="D47" t="str">
            <v>PROFESSOR TITULAR</v>
          </cell>
        </row>
        <row r="48">
          <cell r="B48" t="str">
            <v>ANTONIO CARLOS PINTO JACHINOSKI</v>
          </cell>
          <cell r="D48" t="str">
            <v>PROFESSOR ADJUNTO</v>
          </cell>
        </row>
        <row r="49">
          <cell r="B49" t="str">
            <v>ELIANE AMARAL GHIRELLI</v>
          </cell>
          <cell r="D49" t="str">
            <v>PROFESSOR ADJUNTO</v>
          </cell>
        </row>
        <row r="50">
          <cell r="B50" t="str">
            <v>MARIA GORETE DE FREITAS</v>
          </cell>
          <cell r="D50" t="str">
            <v>AST BIBLIOTECA II</v>
          </cell>
        </row>
        <row r="51">
          <cell r="B51" t="str">
            <v>JEFERSON DEMETERCO</v>
          </cell>
          <cell r="D51" t="str">
            <v>PROFESSOR ADJUNTO</v>
          </cell>
        </row>
        <row r="52">
          <cell r="B52" t="str">
            <v>CLAUDIO VENCESLAU DE CARVALHO</v>
          </cell>
          <cell r="D52" t="str">
            <v>JARDINEIRO</v>
          </cell>
        </row>
        <row r="53">
          <cell r="B53" t="str">
            <v>ROSEMERI PAESE DE OLIVEIRA</v>
          </cell>
          <cell r="D53" t="str">
            <v>PRODUTOR CULTURAL</v>
          </cell>
        </row>
        <row r="54">
          <cell r="B54" t="str">
            <v>SHEILA DO ROCIO CERCAL SANTOS LEAL</v>
          </cell>
          <cell r="D54" t="str">
            <v>PROFESSOR ADJUNTO</v>
          </cell>
        </row>
        <row r="55">
          <cell r="B55" t="str">
            <v>ROSANA CORDEIRO DA CUNHA</v>
          </cell>
          <cell r="D55" t="str">
            <v>TEC LABORATORIO I (C/ AD-INS)</v>
          </cell>
        </row>
        <row r="56">
          <cell r="B56" t="str">
            <v>SANDRA MARIA MATTAR DIAZ</v>
          </cell>
          <cell r="D56" t="str">
            <v>PROFESSOR ADJUNTO</v>
          </cell>
        </row>
        <row r="57">
          <cell r="B57" t="str">
            <v>JOSE MARIO TUPINA MACHADO</v>
          </cell>
          <cell r="D57" t="str">
            <v>PROFESSOR ADJUNTO</v>
          </cell>
        </row>
        <row r="58">
          <cell r="B58" t="str">
            <v>GILBERTO ANTONIACOMI</v>
          </cell>
          <cell r="D58" t="str">
            <v>TEC AUDIO VISUAL II</v>
          </cell>
        </row>
        <row r="59">
          <cell r="B59" t="str">
            <v>EDSON VIEIRA ABDALA</v>
          </cell>
          <cell r="D59" t="str">
            <v>PROFESSOR AUXILIAR</v>
          </cell>
        </row>
        <row r="60">
          <cell r="B60" t="str">
            <v>CARLOS FREDERICO MARES DE SOUZA FILHO</v>
          </cell>
          <cell r="D60" t="str">
            <v>PROFESSOR TITULAR</v>
          </cell>
        </row>
        <row r="61">
          <cell r="B61" t="str">
            <v>SERGIO APARECIDO IGNACIO</v>
          </cell>
          <cell r="D61" t="str">
            <v>PROFESSOR TITULAR</v>
          </cell>
        </row>
        <row r="62">
          <cell r="B62" t="str">
            <v>ELIANE MARIA DISTEFANO RIBEIRO</v>
          </cell>
          <cell r="D62" t="str">
            <v>PROFESSOR AUXILIAR</v>
          </cell>
        </row>
        <row r="63">
          <cell r="B63" t="str">
            <v>CLOVES ANTONIO DE AMISSIS AMORIM</v>
          </cell>
          <cell r="D63" t="str">
            <v>PROFESSOR TITULAR</v>
          </cell>
        </row>
        <row r="64">
          <cell r="B64" t="str">
            <v>SILVIA SCHMIDLIN KEIL</v>
          </cell>
          <cell r="D64" t="str">
            <v>PROFESSOR ADJUNTO</v>
          </cell>
        </row>
        <row r="65">
          <cell r="B65" t="str">
            <v>CLARICE FERREIRA DOS SANTOS BRASIL</v>
          </cell>
          <cell r="D65" t="str">
            <v>AST BIBLIOTECA II</v>
          </cell>
        </row>
        <row r="66">
          <cell r="B66" t="str">
            <v>VALQUIRIA ELITA RENK</v>
          </cell>
          <cell r="D66" t="str">
            <v>PROFESSOR TITULAR</v>
          </cell>
        </row>
        <row r="67">
          <cell r="B67" t="str">
            <v>LUIZ ANTONIO PAVAO</v>
          </cell>
          <cell r="D67" t="str">
            <v>PROFESSOR ADJUNTO</v>
          </cell>
        </row>
        <row r="68">
          <cell r="B68" t="str">
            <v>GERALDO MIRANDA GRACA FILHO</v>
          </cell>
          <cell r="D68" t="str">
            <v>PROFESSOR ADJUNTO</v>
          </cell>
        </row>
        <row r="69">
          <cell r="B69" t="str">
            <v>SUELI APARECIDA PRZSICZNY DO AMARAL</v>
          </cell>
          <cell r="D69" t="str">
            <v>ANL ADMINISTRATIVO SR</v>
          </cell>
        </row>
        <row r="70">
          <cell r="B70" t="str">
            <v>ANA LUCIA TOLAZZI</v>
          </cell>
          <cell r="D70" t="str">
            <v>PROFESSOR TITULAR</v>
          </cell>
        </row>
        <row r="71">
          <cell r="B71" t="str">
            <v>ALVARO CESAR CAMARGO DO AMARANTE</v>
          </cell>
          <cell r="D71" t="str">
            <v>PROFESSOR TITULAR</v>
          </cell>
        </row>
        <row r="72">
          <cell r="B72" t="str">
            <v>JOSE LUIZ COSTA TABORDA RAUEN</v>
          </cell>
          <cell r="D72" t="str">
            <v>PROFESSOR ASSISTENTE</v>
          </cell>
        </row>
        <row r="73">
          <cell r="B73" t="str">
            <v>MARIA INES PINTO BOGISCH</v>
          </cell>
          <cell r="D73" t="str">
            <v>PROFESSOR ADJUNTO</v>
          </cell>
        </row>
        <row r="74">
          <cell r="B74" t="str">
            <v>MARCIA RAPACCI</v>
          </cell>
          <cell r="D74" t="str">
            <v>PROFESSOR TITULAR</v>
          </cell>
        </row>
        <row r="75">
          <cell r="B75" t="str">
            <v>KATYA KOZICKI</v>
          </cell>
          <cell r="D75" t="str">
            <v>PROFESSOR TITULAR</v>
          </cell>
        </row>
        <row r="76">
          <cell r="B76" t="str">
            <v>ZARA HUSSEIN</v>
          </cell>
          <cell r="D76" t="str">
            <v>PROFESSOR ADJUNTO</v>
          </cell>
        </row>
        <row r="77">
          <cell r="B77" t="str">
            <v>EDSON JOSE RODRIGUES JUSTINO</v>
          </cell>
          <cell r="D77" t="str">
            <v>COORD PROJETOS</v>
          </cell>
        </row>
        <row r="78">
          <cell r="B78" t="str">
            <v>CELIA KOTARSKI</v>
          </cell>
          <cell r="D78" t="str">
            <v>TEC LABORATORIO I (C/ AD-INS)</v>
          </cell>
        </row>
        <row r="79">
          <cell r="B79" t="str">
            <v>CARLOS ALBERTO ENGELHORN</v>
          </cell>
          <cell r="D79" t="str">
            <v>PROFESSOR TITULAR</v>
          </cell>
        </row>
        <row r="80">
          <cell r="B80" t="str">
            <v>MARIO ANTONIO SANCHES</v>
          </cell>
          <cell r="D80" t="str">
            <v>PROFESSOR TITULAR</v>
          </cell>
        </row>
        <row r="81">
          <cell r="B81" t="str">
            <v>RODRIGO SANCHEZ RIOS</v>
          </cell>
          <cell r="D81" t="str">
            <v>PROFESSOR TITULAR</v>
          </cell>
        </row>
        <row r="82">
          <cell r="B82" t="str">
            <v>ROSANE APARECIDA MONTEIRO DE CASTILHO</v>
          </cell>
          <cell r="D82" t="str">
            <v>ESP PROJETOS EDUCACIONAIS</v>
          </cell>
        </row>
        <row r="83">
          <cell r="B83" t="str">
            <v>ELENI JULIATO PIOVESAN</v>
          </cell>
          <cell r="D83" t="str">
            <v>PROFESSOR ADJUNTO</v>
          </cell>
        </row>
        <row r="84">
          <cell r="B84" t="str">
            <v>JOSE ELOIR KRUPECHACKE</v>
          </cell>
          <cell r="D84" t="str">
            <v>PROFESSOR ADJUNTO</v>
          </cell>
        </row>
        <row r="85">
          <cell r="B85" t="str">
            <v>MARILENA INDIRA WINTER</v>
          </cell>
          <cell r="D85" t="str">
            <v>PROFESSOR TITULAR</v>
          </cell>
        </row>
        <row r="86">
          <cell r="B86" t="str">
            <v>CLAUDIA MARIA BARBOSA</v>
          </cell>
          <cell r="D86" t="str">
            <v>PROFESSOR TITULAR</v>
          </cell>
        </row>
        <row r="87">
          <cell r="B87" t="str">
            <v>TARCISIO ARAUJO KROETZ</v>
          </cell>
          <cell r="D87" t="str">
            <v>PROFESSOR ASSISTENTE</v>
          </cell>
        </row>
        <row r="88">
          <cell r="B88" t="str">
            <v>JULIO CESAR NIEVOLA</v>
          </cell>
          <cell r="D88" t="str">
            <v>PROFESSOR TITULAR</v>
          </cell>
        </row>
        <row r="89">
          <cell r="B89" t="str">
            <v>MANOEL CAMILLO DE OLIVEIRA PENNA NETO</v>
          </cell>
          <cell r="D89" t="str">
            <v>PROFESSOR TITULAR</v>
          </cell>
        </row>
        <row r="90">
          <cell r="B90" t="str">
            <v>MAURO DOS SANTOS DE ALMEIDA</v>
          </cell>
          <cell r="D90" t="str">
            <v>ANL LABORATORIO PL</v>
          </cell>
        </row>
        <row r="91">
          <cell r="B91" t="str">
            <v>SERGIO EDUARDO FONTOURA DA SILVA</v>
          </cell>
          <cell r="D91" t="str">
            <v>PROFESSOR ADJUNTO</v>
          </cell>
        </row>
        <row r="92">
          <cell r="B92" t="str">
            <v>DIAMIR DESORDI POLAQUINI</v>
          </cell>
          <cell r="D92" t="str">
            <v>ELETROTECNICO</v>
          </cell>
        </row>
        <row r="93">
          <cell r="B93" t="str">
            <v>HELENA BEATRIZ BERTTON TOZO</v>
          </cell>
          <cell r="D93" t="str">
            <v>ANL PROJETOS EDUCACIONAIS PL</v>
          </cell>
        </row>
        <row r="94">
          <cell r="B94" t="str">
            <v>JUAREZ CIRINO DOS SANTOS</v>
          </cell>
          <cell r="D94" t="str">
            <v>PROFESSOR ADJUNTO</v>
          </cell>
        </row>
        <row r="95">
          <cell r="B95" t="str">
            <v>AMELIA DO CARMO SAMPAIO ROSSI</v>
          </cell>
          <cell r="D95" t="str">
            <v>PROFESSOR TITULAR</v>
          </cell>
        </row>
        <row r="96">
          <cell r="B96" t="str">
            <v>LEILA CRISTINA PEREIRA DA ROSA</v>
          </cell>
          <cell r="D96" t="str">
            <v>AST SOCIAL</v>
          </cell>
        </row>
        <row r="97">
          <cell r="B97" t="str">
            <v>DELIA MARA STRUGO ANDRADE</v>
          </cell>
          <cell r="D97" t="str">
            <v>ANL AVALIACAO INSTITUCIONAL JR</v>
          </cell>
        </row>
        <row r="98">
          <cell r="B98" t="str">
            <v>JOSSELI DE FATIMA PINHEIRO PORTELA</v>
          </cell>
          <cell r="D98" t="str">
            <v>AST ATENDIMENTO I</v>
          </cell>
        </row>
        <row r="99">
          <cell r="B99" t="str">
            <v>CYNTHIA FRANCA WOLANSKI BORDIN</v>
          </cell>
          <cell r="D99" t="str">
            <v>PROFESSOR ADJUNTO</v>
          </cell>
        </row>
        <row r="100">
          <cell r="B100" t="str">
            <v>MARILIN HOHL</v>
          </cell>
          <cell r="D100" t="str">
            <v>PROFESSOR ADJUNTO</v>
          </cell>
        </row>
        <row r="101">
          <cell r="B101" t="str">
            <v>RITA DE CASSIA CORREA DE VASCONCELOS</v>
          </cell>
          <cell r="D101" t="str">
            <v>PROFESSOR TITULAR</v>
          </cell>
        </row>
        <row r="102">
          <cell r="B102" t="str">
            <v>ANA CARLA EFING</v>
          </cell>
          <cell r="D102" t="str">
            <v>PROFESSOR ADJUNTO</v>
          </cell>
        </row>
        <row r="103">
          <cell r="B103" t="str">
            <v>AUGUSTINHO HONORATO DA SILVA</v>
          </cell>
          <cell r="D103" t="str">
            <v>AST ATENDIMENTO</v>
          </cell>
        </row>
        <row r="104">
          <cell r="B104" t="str">
            <v>LUIZ CARLOS VON BAHTEN</v>
          </cell>
          <cell r="D104" t="str">
            <v>PROFESSOR TITULAR</v>
          </cell>
        </row>
        <row r="105">
          <cell r="B105" t="str">
            <v>EDUARDO QUADROS DA SILVA</v>
          </cell>
          <cell r="D105" t="str">
            <v>PROFESSOR TITULAR</v>
          </cell>
        </row>
        <row r="106">
          <cell r="B106" t="str">
            <v>FRANCISCO MAIA DA SILVA</v>
          </cell>
          <cell r="D106" t="str">
            <v>PROFESSOR ADJUNTO</v>
          </cell>
        </row>
        <row r="107">
          <cell r="B107" t="str">
            <v>PAULO ROBERTO SLUD BROFMAN</v>
          </cell>
          <cell r="D107" t="str">
            <v>PROFESSOR TITULAR</v>
          </cell>
        </row>
        <row r="108">
          <cell r="B108" t="str">
            <v>MARIA LAURA MEDEIROS ASSEF</v>
          </cell>
          <cell r="D108" t="str">
            <v>PROFESSOR ADJUNTO</v>
          </cell>
        </row>
        <row r="109">
          <cell r="B109" t="str">
            <v>EDSON MABONI</v>
          </cell>
          <cell r="D109" t="str">
            <v>PROFESSOR ASSISTENTE</v>
          </cell>
        </row>
        <row r="110">
          <cell r="B110" t="str">
            <v>JOSE JOAQUIM GUIMARAES DA COSTA</v>
          </cell>
          <cell r="D110" t="str">
            <v>PROFESSOR AUXILIAR</v>
          </cell>
        </row>
        <row r="111">
          <cell r="B111" t="str">
            <v>PAULO D ASSUMPCAO ZANIOL</v>
          </cell>
          <cell r="D111" t="str">
            <v>PROFESSOR ADJUNTO</v>
          </cell>
        </row>
        <row r="112">
          <cell r="B112" t="str">
            <v>LUCIO TRACZ</v>
          </cell>
          <cell r="D112" t="str">
            <v>COORD EDUCACAO EXECUTIVA</v>
          </cell>
        </row>
        <row r="113">
          <cell r="B113" t="str">
            <v>CLAUDIA MARIA CABRAL MORO BARRA</v>
          </cell>
          <cell r="D113" t="str">
            <v>PROFESSOR TITULAR</v>
          </cell>
        </row>
        <row r="114">
          <cell r="B114" t="str">
            <v>ELISANDRO DA SILVA VALENCA</v>
          </cell>
          <cell r="D114" t="str">
            <v>ANL ADMINISTRATIVO JR</v>
          </cell>
        </row>
        <row r="115">
          <cell r="B115" t="str">
            <v>CLAUDIO MARCELO TKAC</v>
          </cell>
          <cell r="D115" t="str">
            <v>PROFESSOR ASSISTENTE</v>
          </cell>
        </row>
        <row r="116">
          <cell r="B116" t="str">
            <v>ANTONIO CARLOS EFING</v>
          </cell>
          <cell r="D116" t="str">
            <v>PROFESSOR TITULAR</v>
          </cell>
        </row>
        <row r="117">
          <cell r="B117" t="str">
            <v>EMERSON CABRERA PARAISO</v>
          </cell>
          <cell r="D117" t="str">
            <v>PROFESSOR TITULAR</v>
          </cell>
        </row>
        <row r="118">
          <cell r="B118" t="str">
            <v>LUIZ ALBERTO BLANCHET</v>
          </cell>
          <cell r="D118" t="str">
            <v>PROFESSOR TITULAR</v>
          </cell>
        </row>
        <row r="119">
          <cell r="B119" t="str">
            <v>ARLEY DE ALMEIDA</v>
          </cell>
          <cell r="D119" t="str">
            <v>PROFESSOR ASSISTENTE</v>
          </cell>
        </row>
        <row r="120">
          <cell r="B120" t="str">
            <v>JULIO CESAR BISINELLI</v>
          </cell>
          <cell r="D120" t="str">
            <v>PROFESSOR TITULAR</v>
          </cell>
        </row>
        <row r="121">
          <cell r="B121" t="str">
            <v>MAURO PELOIA</v>
          </cell>
          <cell r="D121" t="str">
            <v>TEC LABORATORIO II (C/ AD-INS)</v>
          </cell>
        </row>
        <row r="122">
          <cell r="B122" t="str">
            <v>THOMAZ MILTON NAVARRO VERASTEGUI</v>
          </cell>
          <cell r="D122" t="str">
            <v>PROFESSOR ADJUNTO</v>
          </cell>
        </row>
        <row r="123">
          <cell r="B123" t="str">
            <v>SUZANA VALASKI</v>
          </cell>
          <cell r="D123" t="str">
            <v>PROFESSOR ADJUNTO</v>
          </cell>
        </row>
        <row r="124">
          <cell r="B124" t="str">
            <v>NILSON BARBIERI</v>
          </cell>
          <cell r="D124" t="str">
            <v>PROFESSOR TITULAR</v>
          </cell>
        </row>
        <row r="125">
          <cell r="B125" t="str">
            <v>ULISSES DOMINGOS NATAL</v>
          </cell>
          <cell r="D125" t="str">
            <v>PROFESSOR ADJUNTO</v>
          </cell>
        </row>
        <row r="126">
          <cell r="B126" t="str">
            <v>CLEOMAR RODRIGUES LEMOS</v>
          </cell>
          <cell r="D126" t="str">
            <v>ELETROTECNICO</v>
          </cell>
        </row>
        <row r="127">
          <cell r="B127" t="str">
            <v>ALTAIR OLIVO SANTIN</v>
          </cell>
          <cell r="D127" t="str">
            <v>PROFESSOR TITULAR</v>
          </cell>
        </row>
        <row r="128">
          <cell r="B128" t="str">
            <v>FABIANE DE CASSIA SAVI TOMASIAK</v>
          </cell>
          <cell r="D128" t="str">
            <v>PROFESSOR ASSISTENTE</v>
          </cell>
        </row>
        <row r="129">
          <cell r="B129" t="str">
            <v>PERI MESQUIDA</v>
          </cell>
          <cell r="D129" t="str">
            <v>PROFESSOR TITULAR</v>
          </cell>
        </row>
        <row r="130">
          <cell r="B130" t="str">
            <v>LUCI EDUARDA WIELGANCZUK</v>
          </cell>
          <cell r="D130" t="str">
            <v>BIBLIOTECARIO SR</v>
          </cell>
        </row>
        <row r="131">
          <cell r="B131" t="str">
            <v>LUIZ ANTONIO CAMARA</v>
          </cell>
          <cell r="D131" t="str">
            <v>PROFESSOR ASSISTENTE</v>
          </cell>
        </row>
        <row r="132">
          <cell r="B132" t="str">
            <v>MARCOS ANTONIO DE ABREU</v>
          </cell>
          <cell r="D132" t="str">
            <v>COORD TECNOLOGIA INFORMACAO</v>
          </cell>
        </row>
        <row r="133">
          <cell r="B133" t="str">
            <v>ANA PAULA CUNHA LOUREIRO</v>
          </cell>
          <cell r="D133" t="str">
            <v>PROFESSOR ADJUNTO</v>
          </cell>
        </row>
        <row r="134">
          <cell r="B134" t="str">
            <v>MARCELO PILLONETTO</v>
          </cell>
          <cell r="D134" t="str">
            <v>PROFESSOR TITULAR</v>
          </cell>
        </row>
        <row r="135">
          <cell r="B135" t="str">
            <v>ANTONIO HENRIQUE AMARAL RABELLO DE MELLO</v>
          </cell>
          <cell r="D135" t="str">
            <v>PROFESSOR AUXILIAR</v>
          </cell>
        </row>
        <row r="136">
          <cell r="B136" t="str">
            <v>DENISE ADAMCZYK KOZEMJAKIN</v>
          </cell>
          <cell r="D136" t="str">
            <v>PROFESSOR ADJUNTO</v>
          </cell>
        </row>
        <row r="137">
          <cell r="B137" t="str">
            <v>LEONTINA RABELO DE SOUZA</v>
          </cell>
          <cell r="D137" t="str">
            <v>ANL REGISTRO ACADEMICO PL</v>
          </cell>
        </row>
        <row r="138">
          <cell r="B138" t="str">
            <v>MARILENE DA COSTA SANTOS</v>
          </cell>
          <cell r="D138" t="str">
            <v>PROFESSOR TITULAR</v>
          </cell>
        </row>
        <row r="139">
          <cell r="B139" t="str">
            <v>SYLVIO ROBERTO DEGASPERI KUHLMANN</v>
          </cell>
          <cell r="D139" t="str">
            <v>PROFESSOR AUXILIAR</v>
          </cell>
        </row>
        <row r="140">
          <cell r="B140" t="str">
            <v>DEAN FABIO BUENO DE ALMEIDA</v>
          </cell>
          <cell r="D140" t="str">
            <v>PROFESSOR ADJUNTO</v>
          </cell>
        </row>
        <row r="141">
          <cell r="B141" t="str">
            <v>WILSON GORGES</v>
          </cell>
          <cell r="D141" t="str">
            <v>PROFESSOR ADJUNTO</v>
          </cell>
        </row>
        <row r="142">
          <cell r="B142" t="str">
            <v>CLAUDIA TURRA PIMPAO</v>
          </cell>
          <cell r="D142" t="str">
            <v>PROFESSOR TITULAR</v>
          </cell>
        </row>
        <row r="143">
          <cell r="B143" t="str">
            <v>MARCIA TEREZINHA DE OLIVEIRA</v>
          </cell>
          <cell r="D143" t="str">
            <v>PROFESSOR ADJUNTO</v>
          </cell>
        </row>
        <row r="144">
          <cell r="B144" t="str">
            <v>WILSON MASKE</v>
          </cell>
          <cell r="D144" t="str">
            <v>PROFESSOR TITULAR</v>
          </cell>
        </row>
        <row r="145">
          <cell r="B145" t="str">
            <v>MARIA CELIA BARBOSA FABRICIO DE MELO</v>
          </cell>
          <cell r="D145" t="str">
            <v>PROFESSOR TITULAR</v>
          </cell>
        </row>
        <row r="146">
          <cell r="B146" t="str">
            <v>CARLA DE CASTRO FERREIRA</v>
          </cell>
          <cell r="D146" t="str">
            <v>PROFESSOR ADJUNTO</v>
          </cell>
        </row>
        <row r="147">
          <cell r="B147" t="str">
            <v>EDUARDO MONTEIRO MEDA</v>
          </cell>
          <cell r="D147" t="str">
            <v>PROFESSOR ASSISTENTE</v>
          </cell>
        </row>
        <row r="148">
          <cell r="B148" t="str">
            <v>PAULO ZOLLNER</v>
          </cell>
          <cell r="D148" t="str">
            <v>AUX JARDINAGEM</v>
          </cell>
        </row>
        <row r="149">
          <cell r="B149" t="str">
            <v>ETIANE CALOY BOVKALOVSKI</v>
          </cell>
          <cell r="D149" t="str">
            <v>COORD CURSO</v>
          </cell>
        </row>
        <row r="150">
          <cell r="B150" t="str">
            <v>SERGIO SELEME</v>
          </cell>
          <cell r="D150" t="str">
            <v>PROFESSOR ASSISTENTE</v>
          </cell>
        </row>
        <row r="151">
          <cell r="B151" t="str">
            <v>SERGIO OSSAMU IOSHII</v>
          </cell>
          <cell r="D151" t="str">
            <v>PROFESSOR TITULAR</v>
          </cell>
        </row>
        <row r="152">
          <cell r="B152" t="str">
            <v>PAULO CESAR DE BARROS</v>
          </cell>
          <cell r="D152" t="str">
            <v>PROFESSOR ADJUNTO</v>
          </cell>
        </row>
        <row r="153">
          <cell r="B153" t="str">
            <v>VALERIA APARECIDA PADOVANI DE SOUZA</v>
          </cell>
          <cell r="D153" t="str">
            <v>PROFESSOR ASSISTENTE</v>
          </cell>
        </row>
        <row r="154">
          <cell r="B154" t="str">
            <v>LUIZ ANTONIO MARTINS BARBOSA JUNIOR</v>
          </cell>
          <cell r="D154" t="str">
            <v>PROFESSOR ADJUNTO</v>
          </cell>
        </row>
        <row r="155">
          <cell r="B155" t="str">
            <v>HENRI FREDERICO EBERSPACHER</v>
          </cell>
          <cell r="D155" t="str">
            <v>PROFESSOR TITULAR</v>
          </cell>
        </row>
        <row r="156">
          <cell r="B156" t="str">
            <v>SIDNEI SCHUINDT DA SILVA</v>
          </cell>
          <cell r="D156" t="str">
            <v>COORD ADMINISTRATIVO</v>
          </cell>
        </row>
        <row r="157">
          <cell r="B157" t="str">
            <v>SANDRO WALDIR GOES</v>
          </cell>
          <cell r="D157" t="str">
            <v>TEC MANUTENCAO I</v>
          </cell>
        </row>
        <row r="158">
          <cell r="B158" t="str">
            <v>ALCIDES CALSAVARA</v>
          </cell>
          <cell r="D158" t="str">
            <v>PROFESSOR TITULAR</v>
          </cell>
        </row>
        <row r="159">
          <cell r="B159" t="str">
            <v>EDGARD JAMHOUR</v>
          </cell>
          <cell r="D159" t="str">
            <v>PROFESSOR TITULAR</v>
          </cell>
        </row>
        <row r="160">
          <cell r="B160" t="str">
            <v>GRACINDA MARIA D ALMEIDA E OLIVEIRA</v>
          </cell>
          <cell r="D160" t="str">
            <v>PROFESSOR ADJUNTO</v>
          </cell>
        </row>
        <row r="161">
          <cell r="B161" t="str">
            <v>ERNESTO JOSUE SCHMITT</v>
          </cell>
          <cell r="D161" t="str">
            <v>PROFESSOR ADJUNTO</v>
          </cell>
        </row>
        <row r="162">
          <cell r="B162" t="str">
            <v>TREICE CRISTINA DA CRUZ</v>
          </cell>
          <cell r="D162" t="str">
            <v>GTE ADMINISTRATIVO FINANCEIRO</v>
          </cell>
        </row>
        <row r="163">
          <cell r="B163" t="str">
            <v>SUYANNE TOLENTINO DE SOUZA</v>
          </cell>
          <cell r="D163" t="str">
            <v>COORD CURSO</v>
          </cell>
        </row>
        <row r="164">
          <cell r="B164" t="str">
            <v>REGINA HELENA FERREIRA DA COSTA MATEUS</v>
          </cell>
          <cell r="D164" t="str">
            <v>AST ADMINISTRATIVO II</v>
          </cell>
        </row>
        <row r="165">
          <cell r="B165" t="str">
            <v>OSMAR CARLOS DA SILVA</v>
          </cell>
          <cell r="D165" t="str">
            <v>AUX SERVICOS GERAIS</v>
          </cell>
        </row>
        <row r="166">
          <cell r="B166" t="str">
            <v>MARISA INES CORRADI</v>
          </cell>
          <cell r="D166" t="str">
            <v>PROFESSOR ASSISTENTE</v>
          </cell>
        </row>
        <row r="167">
          <cell r="B167" t="str">
            <v>EDSON EMILIO SCALABRIN</v>
          </cell>
          <cell r="D167" t="str">
            <v>PROFESSOR TITULAR</v>
          </cell>
        </row>
        <row r="168">
          <cell r="B168" t="str">
            <v>RUY INACIO NEIVA DE CARVALHO</v>
          </cell>
          <cell r="D168" t="str">
            <v>PROFESSOR TITULAR</v>
          </cell>
        </row>
        <row r="169">
          <cell r="B169" t="str">
            <v>PEDRO VICENTE MICHELOTTO JUNIOR</v>
          </cell>
          <cell r="D169" t="str">
            <v>PROFESSOR TITULAR</v>
          </cell>
        </row>
        <row r="170">
          <cell r="B170" t="str">
            <v>MARCELO MARCO BERTOLDI</v>
          </cell>
          <cell r="D170" t="str">
            <v>PROFESSOR TITULAR</v>
          </cell>
        </row>
        <row r="171">
          <cell r="B171" t="str">
            <v>MARIA ANGELA MOSCALEWSKI ROVEREDO DOS SANTOS</v>
          </cell>
          <cell r="D171" t="str">
            <v>PROFESSOR ADJUNTO</v>
          </cell>
        </row>
        <row r="172">
          <cell r="B172" t="str">
            <v>SANDRA MARA FLUGEL ASSAD</v>
          </cell>
          <cell r="D172" t="str">
            <v>PROFESSOR AUXILIAR</v>
          </cell>
        </row>
        <row r="173">
          <cell r="B173" t="str">
            <v>ADRIANA CRISTINA CORSICO DITTMAR</v>
          </cell>
          <cell r="D173" t="str">
            <v>PROFESSOR ADJUNTO</v>
          </cell>
        </row>
        <row r="174">
          <cell r="B174" t="str">
            <v>FLORA OSAKI</v>
          </cell>
          <cell r="D174" t="str">
            <v>PROFESSOR ADJUNTO</v>
          </cell>
        </row>
        <row r="175">
          <cell r="B175" t="str">
            <v>ELISEU DE AZEVEDO</v>
          </cell>
          <cell r="D175" t="str">
            <v>AST BIBLIOTECA II</v>
          </cell>
        </row>
        <row r="176">
          <cell r="B176" t="str">
            <v>GLAUCIO EVERTON LUIZ</v>
          </cell>
          <cell r="D176" t="str">
            <v>COORD OPERACOES ACADEMICAS</v>
          </cell>
        </row>
        <row r="177">
          <cell r="B177" t="str">
            <v>CAYO MIGUEL ANGEL MARTIN CRISTOBAL</v>
          </cell>
          <cell r="D177" t="str">
            <v>PROFESSOR AUXILIAR</v>
          </cell>
        </row>
        <row r="178">
          <cell r="B178" t="str">
            <v>ZENILDO DOS SANTOS FARIAS</v>
          </cell>
          <cell r="D178" t="str">
            <v>AUX AGROPECUARIA</v>
          </cell>
        </row>
        <row r="179">
          <cell r="B179" t="str">
            <v>AFONSO FERREIRA MIGUEL</v>
          </cell>
          <cell r="D179" t="str">
            <v>PROFESSOR ADJUNTO</v>
          </cell>
        </row>
        <row r="180">
          <cell r="B180" t="str">
            <v>FRED LACERDA AMORIM</v>
          </cell>
          <cell r="D180" t="str">
            <v>COORD CURSO</v>
          </cell>
        </row>
        <row r="181">
          <cell r="B181" t="str">
            <v>ANTONIO XAVIER DE SOUZA</v>
          </cell>
          <cell r="D181" t="str">
            <v>AST ADMINISTRATIVO II</v>
          </cell>
        </row>
        <row r="182">
          <cell r="B182" t="str">
            <v>ANDREIA MALUCELLI</v>
          </cell>
          <cell r="D182" t="str">
            <v>PRO-REITOR</v>
          </cell>
        </row>
        <row r="183">
          <cell r="B183" t="str">
            <v>MARIO ROBERTO BARBOSA</v>
          </cell>
          <cell r="D183" t="str">
            <v>AST LABORATORIO I</v>
          </cell>
        </row>
        <row r="184">
          <cell r="B184" t="str">
            <v>EDUARDO DE FREITAS ROCHA LOURES</v>
          </cell>
          <cell r="D184" t="str">
            <v>PROFESSOR TITULAR</v>
          </cell>
        </row>
        <row r="185">
          <cell r="B185" t="str">
            <v>ELAINE BERGMANN</v>
          </cell>
          <cell r="D185" t="str">
            <v>ANL RELACIONAMENTO SR</v>
          </cell>
        </row>
        <row r="186">
          <cell r="B186" t="str">
            <v>JURAIR SOARES DOS SANTOS</v>
          </cell>
          <cell r="D186" t="str">
            <v>AST ATENDIMENTO</v>
          </cell>
        </row>
        <row r="187">
          <cell r="B187" t="str">
            <v>LILIAN CRISTINE FERREIRA</v>
          </cell>
          <cell r="D187" t="str">
            <v>TEC LABORATORIO II (S/ AD-INS)</v>
          </cell>
        </row>
        <row r="188">
          <cell r="B188" t="str">
            <v>NATHAN MENDES</v>
          </cell>
          <cell r="D188" t="str">
            <v>DIRETOR</v>
          </cell>
        </row>
        <row r="189">
          <cell r="B189" t="str">
            <v>SYLVIA RAMOS LEITAO</v>
          </cell>
          <cell r="D189" t="str">
            <v>PROFESSOR TITULAR</v>
          </cell>
        </row>
        <row r="190">
          <cell r="B190" t="str">
            <v>KUNG DARH CHI</v>
          </cell>
          <cell r="D190" t="str">
            <v>PROFESSOR ADJUNTO</v>
          </cell>
        </row>
        <row r="191">
          <cell r="B191" t="str">
            <v>NANCY VALENTE</v>
          </cell>
          <cell r="D191" t="str">
            <v>PROFESSOR ADJUNTO</v>
          </cell>
        </row>
        <row r="192">
          <cell r="B192" t="str">
            <v>LUCIANO DA SILVEIRA</v>
          </cell>
          <cell r="D192" t="str">
            <v>COORD ADMINISTRATIVO</v>
          </cell>
        </row>
        <row r="193">
          <cell r="B193" t="str">
            <v>JOSE ODACIR MEDEIROS</v>
          </cell>
          <cell r="D193" t="str">
            <v>AST LABORATORIO I</v>
          </cell>
        </row>
        <row r="194">
          <cell r="B194" t="str">
            <v>ENIO FRANCISCO MOURA</v>
          </cell>
          <cell r="D194" t="str">
            <v>PROFESSOR ASSISTENTE</v>
          </cell>
        </row>
        <row r="195">
          <cell r="B195" t="str">
            <v>MARCIO SAPORSKI SEGUI</v>
          </cell>
          <cell r="D195" t="str">
            <v>PROFESSOR ADJUNTO</v>
          </cell>
        </row>
        <row r="196">
          <cell r="B196" t="str">
            <v>LUCIA DE NORONHA</v>
          </cell>
          <cell r="D196" t="str">
            <v>PROFESSOR TITULAR</v>
          </cell>
        </row>
        <row r="197">
          <cell r="B197" t="str">
            <v>ELIANE RAMOS MENDONCA</v>
          </cell>
          <cell r="D197" t="str">
            <v>TEC LABORATORIO I (C/ AD-INS)</v>
          </cell>
        </row>
        <row r="198">
          <cell r="B198" t="str">
            <v>CARLOS ROBERTO ROMANIELLO</v>
          </cell>
          <cell r="D198" t="str">
            <v>PROFESSOR ADJUNTO</v>
          </cell>
        </row>
        <row r="199">
          <cell r="B199" t="str">
            <v>PAULO OTAVIO MUSSI AUGUSTO</v>
          </cell>
          <cell r="D199" t="str">
            <v>PROFESSOR TITULAR</v>
          </cell>
        </row>
        <row r="200">
          <cell r="B200" t="str">
            <v>ANDREA PAULA FREGONEZE</v>
          </cell>
          <cell r="D200" t="str">
            <v>PROFESSOR ADJUNTO</v>
          </cell>
        </row>
        <row r="201">
          <cell r="B201" t="str">
            <v>LUCILENE MOREIRA KOVALSKI</v>
          </cell>
          <cell r="D201" t="str">
            <v>COORD ADMINISTRATIVO</v>
          </cell>
        </row>
        <row r="202">
          <cell r="B202" t="str">
            <v>CESAR CANDIOTTO</v>
          </cell>
          <cell r="D202" t="str">
            <v>DECANO</v>
          </cell>
        </row>
        <row r="203">
          <cell r="B203" t="str">
            <v>CRISTINA SANTOS SOTOMAIOR</v>
          </cell>
          <cell r="D203" t="str">
            <v>PROFESSOR TITULAR</v>
          </cell>
        </row>
        <row r="204">
          <cell r="B204" t="str">
            <v>CRISTIANE GONCALVES RIBAS</v>
          </cell>
          <cell r="D204" t="str">
            <v>PROFESSOR ASSISTENTE</v>
          </cell>
        </row>
        <row r="205">
          <cell r="B205" t="str">
            <v>DANIELE LUCY LOPES DE SEHLI</v>
          </cell>
          <cell r="D205" t="str">
            <v>GTE REGULACAO</v>
          </cell>
        </row>
        <row r="206">
          <cell r="B206" t="str">
            <v>RENATA ERNLUND FREITAS DE MACEDO</v>
          </cell>
          <cell r="D206" t="str">
            <v>PROFESSOR TITULAR</v>
          </cell>
        </row>
        <row r="207">
          <cell r="B207" t="str">
            <v>LUIS MAURO MOURA</v>
          </cell>
          <cell r="D207" t="str">
            <v>PROFESSOR TITULAR</v>
          </cell>
        </row>
        <row r="208">
          <cell r="B208" t="str">
            <v>VOLDI COSTA ZAMBENEDETTI</v>
          </cell>
          <cell r="D208" t="str">
            <v>PROFESSOR TITULAR</v>
          </cell>
        </row>
        <row r="209">
          <cell r="B209" t="str">
            <v>MARCO AURELIO GUIMARAES</v>
          </cell>
          <cell r="D209" t="str">
            <v>PROFESSOR ASSISTENTE</v>
          </cell>
        </row>
        <row r="210">
          <cell r="B210" t="str">
            <v>IVAN JORGE CHUEIRI</v>
          </cell>
          <cell r="D210" t="str">
            <v>PROFESSOR ADJUNTO</v>
          </cell>
        </row>
        <row r="211">
          <cell r="B211" t="str">
            <v>JOSE GERALDO LOPES DE NORONHA FILHO</v>
          </cell>
          <cell r="D211" t="str">
            <v>PROFESSOR ASSISTENTE</v>
          </cell>
        </row>
        <row r="212">
          <cell r="B212" t="str">
            <v>LUIZ ERNANDES KOZICKI</v>
          </cell>
          <cell r="D212" t="str">
            <v>PROFESSOR TITULAR</v>
          </cell>
        </row>
        <row r="213">
          <cell r="B213" t="str">
            <v>LUIZ AUGUSTO DE PAULA LIMA JUNIOR</v>
          </cell>
          <cell r="D213" t="str">
            <v>PROFESSOR TITULAR</v>
          </cell>
        </row>
        <row r="214">
          <cell r="B214" t="str">
            <v>ANA PAULA CAMARGO MARTINS</v>
          </cell>
          <cell r="D214" t="str">
            <v>ANL LABORATORIO SR</v>
          </cell>
        </row>
        <row r="215">
          <cell r="B215" t="str">
            <v>JACI DE FATIMA SOUZA CANDIOTTO</v>
          </cell>
          <cell r="D215" t="str">
            <v>PROFESSOR ADJUNTO</v>
          </cell>
        </row>
        <row r="216">
          <cell r="B216" t="str">
            <v>ALCEU MIGUEL GREBOGI</v>
          </cell>
          <cell r="D216" t="str">
            <v>TEC AGROPECUARIA</v>
          </cell>
        </row>
        <row r="217">
          <cell r="B217" t="str">
            <v>IVETE MOROSOV</v>
          </cell>
          <cell r="D217" t="str">
            <v>PROFESSOR ADJUNTO</v>
          </cell>
        </row>
        <row r="218">
          <cell r="B218" t="str">
            <v>SHEILA MARA CARDOZO</v>
          </cell>
          <cell r="D218" t="str">
            <v>AST BIBLIOTECA II</v>
          </cell>
        </row>
        <row r="219">
          <cell r="B219" t="str">
            <v>EVELISE MACHADO DE SOUZA</v>
          </cell>
          <cell r="D219" t="str">
            <v>PROFESSOR TITULAR</v>
          </cell>
        </row>
        <row r="220">
          <cell r="B220" t="str">
            <v>RUDIGER DANIEL OLLHOFF</v>
          </cell>
          <cell r="D220" t="str">
            <v>PROFESSOR TITULAR</v>
          </cell>
        </row>
        <row r="221">
          <cell r="B221" t="str">
            <v>INEZ GAIAS</v>
          </cell>
          <cell r="D221" t="str">
            <v>PROFESSOR ASSISTENTE</v>
          </cell>
        </row>
        <row r="222">
          <cell r="B222" t="str">
            <v>RICARDO DIEGO TORRES</v>
          </cell>
          <cell r="D222" t="str">
            <v>PROFESSOR TITULAR</v>
          </cell>
        </row>
        <row r="223">
          <cell r="B223" t="str">
            <v>VIDAL MARTINS</v>
          </cell>
          <cell r="D223" t="str">
            <v>VICE-REITOR</v>
          </cell>
        </row>
        <row r="224">
          <cell r="B224" t="str">
            <v>PATRICIA MARIA STUELP CAMPELO</v>
          </cell>
          <cell r="D224" t="str">
            <v>PROFESSOR TITULAR</v>
          </cell>
        </row>
        <row r="225">
          <cell r="B225" t="str">
            <v>JOSE RIBEIRO</v>
          </cell>
          <cell r="D225" t="str">
            <v>PROFESSOR ASSISTENTE</v>
          </cell>
        </row>
        <row r="226">
          <cell r="B226" t="str">
            <v>MARCELO RUDEK</v>
          </cell>
          <cell r="D226" t="str">
            <v>PROFESSOR TITULAR</v>
          </cell>
        </row>
        <row r="227">
          <cell r="B227" t="str">
            <v>EDUARDO BIACCHI GOMES</v>
          </cell>
          <cell r="D227" t="str">
            <v>PROFESSOR TITULAR</v>
          </cell>
        </row>
        <row r="228">
          <cell r="B228" t="str">
            <v>VINICIUS AUGUSTO TRAMONTINA</v>
          </cell>
          <cell r="D228" t="str">
            <v>PROFESSOR TITULAR</v>
          </cell>
        </row>
        <row r="229">
          <cell r="B229" t="str">
            <v>ELISA SOUZA CAMARGO</v>
          </cell>
          <cell r="D229" t="str">
            <v>PROFESSOR TITULAR</v>
          </cell>
        </row>
        <row r="230">
          <cell r="B230" t="str">
            <v>JEFFERSON PEDRO CUNHA</v>
          </cell>
          <cell r="D230" t="str">
            <v>PROFESSOR ADJUNTO</v>
          </cell>
        </row>
        <row r="231">
          <cell r="B231" t="str">
            <v>OSIRIS CANCIGLIERI JUNIOR</v>
          </cell>
          <cell r="D231" t="str">
            <v>COORD CURSO</v>
          </cell>
        </row>
        <row r="232">
          <cell r="B232" t="str">
            <v>FABRICIO ENEMBRECK</v>
          </cell>
          <cell r="D232" t="str">
            <v>PROFESSOR TITULAR</v>
          </cell>
        </row>
        <row r="233">
          <cell r="B233" t="str">
            <v>MARTA LUCIANE FISCHER</v>
          </cell>
          <cell r="D233" t="str">
            <v>PROFESSOR TITULAR</v>
          </cell>
        </row>
        <row r="234">
          <cell r="B234" t="str">
            <v>SELENE ELIFIO ESPOSITO</v>
          </cell>
          <cell r="D234" t="str">
            <v>PROFESSOR TITULAR</v>
          </cell>
        </row>
        <row r="235">
          <cell r="B235" t="str">
            <v>MARCELO EDUARDO PELLENZ</v>
          </cell>
          <cell r="D235" t="str">
            <v>PROFESSOR TITULAR</v>
          </cell>
        </row>
        <row r="236">
          <cell r="B236" t="str">
            <v>CLEUSA DE CASTRO</v>
          </cell>
          <cell r="D236" t="str">
            <v>PROFESSOR TITULAR</v>
          </cell>
        </row>
        <row r="237">
          <cell r="B237" t="str">
            <v>HELIO GOMES COELHO JUNIOR</v>
          </cell>
          <cell r="D237" t="str">
            <v>PROFESSOR ASSISTENTE</v>
          </cell>
        </row>
        <row r="238">
          <cell r="B238" t="str">
            <v>IVONE MAYUMI IKEDA MORIMOTO</v>
          </cell>
          <cell r="D238" t="str">
            <v>PROFESSOR ADJUNTO</v>
          </cell>
        </row>
        <row r="239">
          <cell r="B239" t="str">
            <v>PAULO SERGIO BATISTA DE PAULA</v>
          </cell>
          <cell r="D239" t="str">
            <v>PROFESSOR TITULAR</v>
          </cell>
        </row>
        <row r="240">
          <cell r="B240" t="str">
            <v>PAULO PINTO</v>
          </cell>
          <cell r="D240" t="str">
            <v>AUX BOVINOCULTURA</v>
          </cell>
        </row>
        <row r="241">
          <cell r="B241" t="str">
            <v>FABIANA BRAGUETTO</v>
          </cell>
          <cell r="D241" t="str">
            <v>COORD ADMINISTRATIVO</v>
          </cell>
        </row>
        <row r="242">
          <cell r="B242" t="str">
            <v>JOSE MARIA TIEPOLO</v>
          </cell>
          <cell r="D242" t="str">
            <v>PROFESSOR ADJUNTO</v>
          </cell>
        </row>
        <row r="243">
          <cell r="B243" t="str">
            <v>PAULA CRISTINA TREVILATTO</v>
          </cell>
          <cell r="D243" t="str">
            <v>PRO-REITOR</v>
          </cell>
        </row>
        <row r="244">
          <cell r="B244" t="str">
            <v>OKSANDRO OSDIVAL GONCALVES</v>
          </cell>
          <cell r="D244" t="str">
            <v>PROFESSOR TITULAR</v>
          </cell>
        </row>
        <row r="245">
          <cell r="B245" t="str">
            <v>EDILBERTO NUNES DE MOURA</v>
          </cell>
          <cell r="D245" t="str">
            <v>DIR EIXO ACADEMICO</v>
          </cell>
        </row>
        <row r="246">
          <cell r="B246" t="str">
            <v>EMERSON MARTIM</v>
          </cell>
          <cell r="D246" t="str">
            <v>PROFESSOR TITULAR</v>
          </cell>
        </row>
        <row r="247">
          <cell r="B247" t="str">
            <v>HELENA DE TOLEDO COELHO</v>
          </cell>
          <cell r="D247" t="str">
            <v>PROFESSOR ADJUNTO</v>
          </cell>
        </row>
        <row r="248">
          <cell r="B248" t="str">
            <v>PAULO SERGIO MACUCHEN NOGAS</v>
          </cell>
          <cell r="D248" t="str">
            <v>DIR REGULACAO E AVALIACAO</v>
          </cell>
        </row>
        <row r="249">
          <cell r="B249" t="str">
            <v>SOLANGE FERNANDES</v>
          </cell>
          <cell r="D249" t="str">
            <v>PROFESSOR ADJUNTO</v>
          </cell>
        </row>
        <row r="250">
          <cell r="B250" t="str">
            <v>DANIELLE ANNE PAMPLONA</v>
          </cell>
          <cell r="D250" t="str">
            <v>COORD CURSO</v>
          </cell>
        </row>
        <row r="251">
          <cell r="B251" t="str">
            <v>ANDRE DA COSTA RIBEIRO</v>
          </cell>
          <cell r="D251" t="str">
            <v>PROFESSOR AUXILIAR</v>
          </cell>
        </row>
        <row r="252">
          <cell r="B252" t="str">
            <v>LEONOR HRECZKA MOULEPES</v>
          </cell>
          <cell r="D252" t="str">
            <v>AST ADMINISTRATIVO II</v>
          </cell>
        </row>
        <row r="253">
          <cell r="B253" t="str">
            <v>LUIS FERNANDO FONSECA KASPRZAK</v>
          </cell>
          <cell r="D253" t="str">
            <v>COORD CURSO</v>
          </cell>
        </row>
        <row r="254">
          <cell r="B254" t="str">
            <v>JOAO ARMANDO BRANCHER</v>
          </cell>
          <cell r="D254" t="str">
            <v>PROFESSOR ADJUNTO</v>
          </cell>
        </row>
        <row r="255">
          <cell r="B255" t="str">
            <v>EDVALDO ANTONIO RIBEIRO ROSA</v>
          </cell>
          <cell r="D255" t="str">
            <v>PROFESSOR TITULAR</v>
          </cell>
        </row>
        <row r="256">
          <cell r="B256" t="str">
            <v>FERNANDO MEYER</v>
          </cell>
          <cell r="D256" t="str">
            <v>PROFESSOR TITULAR</v>
          </cell>
        </row>
        <row r="257">
          <cell r="B257" t="str">
            <v>ROBERTO PINTO</v>
          </cell>
          <cell r="D257" t="str">
            <v>AUX AGROPECUARIA</v>
          </cell>
        </row>
        <row r="258">
          <cell r="B258" t="str">
            <v>ANOR SGANZERLA</v>
          </cell>
          <cell r="D258" t="str">
            <v>PROFESSOR ADJUNTO</v>
          </cell>
        </row>
        <row r="259">
          <cell r="B259" t="str">
            <v>RAQUEL PANKE BITTENCOURT</v>
          </cell>
          <cell r="D259" t="str">
            <v>PROFESSOR ADJUNTO</v>
          </cell>
        </row>
        <row r="260">
          <cell r="B260" t="str">
            <v>ANGELA LEITAO SALLEM</v>
          </cell>
          <cell r="D260" t="str">
            <v>DIR PLANEJAMENTO ESTRATEGICO</v>
          </cell>
        </row>
        <row r="261">
          <cell r="B261" t="str">
            <v>LUCIANO CARDOSO</v>
          </cell>
          <cell r="D261" t="str">
            <v>GTE ADMINISTRATIVO FINANCEIRO</v>
          </cell>
        </row>
        <row r="262">
          <cell r="B262" t="str">
            <v>CLAUDIO RICARDO VIEIRA CARVILHE</v>
          </cell>
          <cell r="D262" t="str">
            <v>PROFESSOR ADJUNTO</v>
          </cell>
        </row>
        <row r="263">
          <cell r="B263" t="str">
            <v>CRISTINA YUKIE MIYAKI</v>
          </cell>
          <cell r="D263" t="str">
            <v>PROFESSOR ADJUNTO</v>
          </cell>
        </row>
        <row r="264">
          <cell r="B264" t="str">
            <v>RODRIGO NUNES RACHED</v>
          </cell>
          <cell r="D264" t="str">
            <v>COORD CURSO</v>
          </cell>
        </row>
        <row r="265">
          <cell r="B265" t="str">
            <v>SILVIO MIRO FRANCHI</v>
          </cell>
          <cell r="D265" t="str">
            <v>PROFESSOR ADJUNTO</v>
          </cell>
        </row>
        <row r="266">
          <cell r="B266" t="str">
            <v>EDUARDO OLIVEIRA AGUSTINHO</v>
          </cell>
          <cell r="D266" t="str">
            <v>PROFESSOR TITULAR</v>
          </cell>
        </row>
        <row r="267">
          <cell r="B267" t="str">
            <v>WILSON DE LIMA</v>
          </cell>
          <cell r="D267" t="str">
            <v>IMPRESSOR GRAFICO</v>
          </cell>
        </row>
        <row r="268">
          <cell r="B268" t="str">
            <v>PAULO MORAIS LOPES</v>
          </cell>
          <cell r="D268" t="str">
            <v>PROFESSOR ASSISTENTE</v>
          </cell>
        </row>
        <row r="269">
          <cell r="B269" t="str">
            <v>RITA MARIA VENANCIO MANGRICH ROCHA</v>
          </cell>
          <cell r="D269" t="str">
            <v>PROFESSOR ADJUNTO</v>
          </cell>
        </row>
        <row r="270">
          <cell r="B270" t="str">
            <v>JOSIAS PEREIRA CLEMENTE</v>
          </cell>
          <cell r="D270" t="str">
            <v>AUX AGROPECUARIA</v>
          </cell>
        </row>
        <row r="271">
          <cell r="B271" t="str">
            <v>JOSE GUSTAVO DE OLIVEIRA FRANCO</v>
          </cell>
          <cell r="D271" t="str">
            <v>PROFESSOR ADJUNTO</v>
          </cell>
        </row>
        <row r="272">
          <cell r="B272" t="str">
            <v>ANDREIA FERREIRA DA SILVA ROSA</v>
          </cell>
          <cell r="D272" t="str">
            <v>ANL PROJETOS COMUNITARIOS PL</v>
          </cell>
        </row>
        <row r="273">
          <cell r="B273" t="str">
            <v>MARCIA LUIZA DAHNE</v>
          </cell>
          <cell r="D273" t="str">
            <v>ANL ADMINISTRATIVO PL</v>
          </cell>
        </row>
        <row r="274">
          <cell r="B274" t="str">
            <v>ANA BEATRIZ COSTA SILVA</v>
          </cell>
          <cell r="D274" t="str">
            <v>PROFESSOR ADJUNTO</v>
          </cell>
        </row>
        <row r="275">
          <cell r="B275" t="str">
            <v>AIRTON RODRIGUES PINTO JUNIOR</v>
          </cell>
          <cell r="D275" t="str">
            <v>PROFESSOR TITULAR</v>
          </cell>
        </row>
        <row r="276">
          <cell r="B276" t="str">
            <v>CARLA CORRADI PERINI</v>
          </cell>
          <cell r="D276" t="str">
            <v>PROFESSOR ADJUNTO</v>
          </cell>
        </row>
        <row r="277">
          <cell r="B277" t="str">
            <v>CILENE DA SILVA GOMES RIBEIRO</v>
          </cell>
          <cell r="D277" t="str">
            <v>PROFESSOR TITULAR</v>
          </cell>
        </row>
        <row r="278">
          <cell r="B278" t="str">
            <v>JULIO CESAR DE MOURA LEITE</v>
          </cell>
          <cell r="D278" t="str">
            <v>PROFESSOR TITULAR</v>
          </cell>
        </row>
        <row r="279">
          <cell r="B279" t="str">
            <v>CINTHIA BITTENCOURT SPRICIGO</v>
          </cell>
          <cell r="D279" t="str">
            <v>COORD PROJETOS PEDAGOGICO</v>
          </cell>
        </row>
        <row r="280">
          <cell r="B280" t="str">
            <v>PAULA CHRISTINA PIRES MULLER MAINGUE</v>
          </cell>
          <cell r="D280" t="str">
            <v>PROFESSOR ASSISTENTE</v>
          </cell>
        </row>
        <row r="281">
          <cell r="B281" t="str">
            <v>ANTONIA SIDENEIA POLETINI</v>
          </cell>
          <cell r="D281" t="str">
            <v>ANL ADMINISTRATIVO PL</v>
          </cell>
        </row>
        <row r="282">
          <cell r="B282" t="str">
            <v>CLAUDIO JOSE BELTRAO</v>
          </cell>
          <cell r="D282" t="str">
            <v>PROFESSOR ADJUNTO</v>
          </cell>
        </row>
        <row r="283">
          <cell r="B283" t="str">
            <v>FERNANDA BIAZETTO VILAR FABRICIO</v>
          </cell>
          <cell r="D283" t="str">
            <v>PROFESSOR ADJUNTO</v>
          </cell>
        </row>
        <row r="284">
          <cell r="B284" t="str">
            <v>ERICSON SAVIO FALABRETTI</v>
          </cell>
          <cell r="D284" t="str">
            <v>PRO-REITOR</v>
          </cell>
        </row>
        <row r="285">
          <cell r="B285" t="str">
            <v>LUCAS BACH ADADA</v>
          </cell>
          <cell r="D285" t="str">
            <v>PROFESSOR ADJUNTO</v>
          </cell>
        </row>
        <row r="286">
          <cell r="B286" t="str">
            <v>JULIO CEZAR MERLIN</v>
          </cell>
          <cell r="D286" t="str">
            <v>PROFESSOR ADJUNTO</v>
          </cell>
        </row>
        <row r="287">
          <cell r="B287" t="str">
            <v>KEY FONSECA DE LIMA</v>
          </cell>
          <cell r="D287" t="str">
            <v>PROFESSOR ADJUNTO</v>
          </cell>
        </row>
        <row r="288">
          <cell r="B288" t="str">
            <v>VIVIAN CRISTINA LIMA LOPEZ VALLE</v>
          </cell>
          <cell r="D288" t="str">
            <v>PROFESSOR TITULAR</v>
          </cell>
        </row>
        <row r="289">
          <cell r="B289" t="str">
            <v>MARCONI RODRIGUES DE FARIAS</v>
          </cell>
          <cell r="D289" t="str">
            <v>PROFESSOR ADJUNTO</v>
          </cell>
        </row>
        <row r="290">
          <cell r="B290" t="str">
            <v>RICARDO CASSIANO NABHEN</v>
          </cell>
          <cell r="D290" t="str">
            <v>COORD CURSO</v>
          </cell>
        </row>
        <row r="291">
          <cell r="B291" t="str">
            <v>ADALBERTO CARAMORI PETRY</v>
          </cell>
          <cell r="D291" t="str">
            <v>PROFESSOR ASSISTENTE</v>
          </cell>
        </row>
        <row r="292">
          <cell r="B292" t="str">
            <v>HAROLDO OSMAR DE PAULA JUNIOR</v>
          </cell>
          <cell r="D292" t="str">
            <v>PROFESSOR ASSISTENTE</v>
          </cell>
        </row>
        <row r="293">
          <cell r="B293" t="str">
            <v>ROSANE DE MELLO SANTO NICOLA</v>
          </cell>
          <cell r="D293" t="str">
            <v>PROFESSOR ASSISTENTE</v>
          </cell>
        </row>
        <row r="294">
          <cell r="B294" t="str">
            <v>EDUARDO AUGUSTO SALOMAO CAMBI</v>
          </cell>
          <cell r="D294" t="str">
            <v>PROFESSOR TITULAR</v>
          </cell>
        </row>
        <row r="295">
          <cell r="B295" t="str">
            <v>PATRICIA APARECIDA PIASSETTA</v>
          </cell>
          <cell r="D295" t="str">
            <v>ANL MOVIMENTACAO PESSOAL PL</v>
          </cell>
        </row>
        <row r="296">
          <cell r="B296" t="str">
            <v>RENATO MACHNIEVSCZ</v>
          </cell>
          <cell r="D296" t="str">
            <v>PROFESSOR ADJUNTO</v>
          </cell>
        </row>
        <row r="297">
          <cell r="B297" t="str">
            <v>GISELE RICHTER MINHOTO</v>
          </cell>
          <cell r="D297" t="str">
            <v>PROFESSOR TITULAR</v>
          </cell>
        </row>
        <row r="298">
          <cell r="B298" t="str">
            <v>RENATA CESCHIN MELFI DE MACEDO</v>
          </cell>
          <cell r="D298" t="str">
            <v>DECANO</v>
          </cell>
        </row>
        <row r="299">
          <cell r="B299" t="str">
            <v>PAULO HENRIQUE COUTO SOUZA</v>
          </cell>
          <cell r="D299" t="str">
            <v>PROFESSOR TITULAR</v>
          </cell>
        </row>
        <row r="300">
          <cell r="B300" t="str">
            <v>WALDIR SOUZA</v>
          </cell>
          <cell r="D300" t="str">
            <v>PROFESSOR ADJUNTO</v>
          </cell>
        </row>
        <row r="301">
          <cell r="B301" t="str">
            <v>ARNALDO CARLOS MULLER JUNIOR</v>
          </cell>
          <cell r="D301" t="str">
            <v>PROFESSOR ASSISTENTE</v>
          </cell>
        </row>
        <row r="302">
          <cell r="B302" t="str">
            <v>MARCOS JOSE ZABLONSKY</v>
          </cell>
          <cell r="D302" t="str">
            <v>PROFESSOR TITULAR</v>
          </cell>
        </row>
        <row r="303">
          <cell r="B303" t="str">
            <v>MARIA CECILIA BARRETO AMORIM PILLA</v>
          </cell>
          <cell r="D303" t="str">
            <v>COORD CURSO</v>
          </cell>
        </row>
        <row r="304">
          <cell r="B304" t="str">
            <v>RICARDO HENRIQUE DIAS</v>
          </cell>
          <cell r="D304" t="str">
            <v>PROFESSOR ADJUNTO</v>
          </cell>
        </row>
        <row r="305">
          <cell r="B305" t="str">
            <v>CRISTINA VERCOSA PEREZ BARRIOS DE SOUZA</v>
          </cell>
          <cell r="D305" t="str">
            <v>PROFESSOR ADJUNTO</v>
          </cell>
        </row>
        <row r="306">
          <cell r="B306" t="str">
            <v>JUCIMERI ISOLDA SILVEIRA</v>
          </cell>
          <cell r="D306" t="str">
            <v>PROFESSOR ADJUNTO</v>
          </cell>
        </row>
        <row r="307">
          <cell r="B307" t="str">
            <v>MARCIA REGINA CUBAS</v>
          </cell>
          <cell r="D307" t="str">
            <v>PROFESSOR ADJUNTO</v>
          </cell>
        </row>
        <row r="308">
          <cell r="B308" t="str">
            <v>MAURICIO DE CARVALHO</v>
          </cell>
          <cell r="D308" t="str">
            <v>PROFESSOR TITULAR</v>
          </cell>
        </row>
        <row r="309">
          <cell r="B309" t="str">
            <v>SHEILA DOS SANTOS REINEHR</v>
          </cell>
          <cell r="D309" t="str">
            <v>PROFESSOR TITULAR</v>
          </cell>
        </row>
        <row r="310">
          <cell r="B310" t="str">
            <v>CYNTIA ERTHAL LEINIG</v>
          </cell>
          <cell r="D310" t="str">
            <v>PROFESSOR ADJUNTO</v>
          </cell>
        </row>
        <row r="311">
          <cell r="B311" t="str">
            <v>ANGELA BONJORNO ARANTES</v>
          </cell>
          <cell r="D311" t="str">
            <v>PROFESSOR ASSISTENTE</v>
          </cell>
        </row>
        <row r="312">
          <cell r="B312" t="str">
            <v>ROSANI KUCARZ DA CUNHA</v>
          </cell>
          <cell r="D312" t="str">
            <v>PROFESSOR ASSISTENTE</v>
          </cell>
        </row>
        <row r="313">
          <cell r="B313" t="str">
            <v>ANDRE OSTRENSKY</v>
          </cell>
          <cell r="D313" t="str">
            <v>PROFESSOR ADJUNTO</v>
          </cell>
        </row>
        <row r="314">
          <cell r="B314" t="str">
            <v>JOSE ADEMAR VILLANOVA JUNIOR</v>
          </cell>
          <cell r="D314" t="str">
            <v>PROFESSOR ADJUNTO</v>
          </cell>
        </row>
        <row r="315">
          <cell r="B315" t="str">
            <v>ERIKA PAULA DE CAMPOS</v>
          </cell>
          <cell r="D315" t="str">
            <v>PROFESSOR ASSISTENTE</v>
          </cell>
        </row>
        <row r="316">
          <cell r="B316" t="str">
            <v>LUCIANA CAETANO DA SILVA</v>
          </cell>
          <cell r="D316" t="str">
            <v>PROFESSOR ADJUNTO</v>
          </cell>
        </row>
        <row r="317">
          <cell r="B317" t="str">
            <v>MARICE TAQUES PEREIRA</v>
          </cell>
          <cell r="D317" t="str">
            <v>PROFESSOR ADJUNTO</v>
          </cell>
        </row>
        <row r="318">
          <cell r="B318" t="str">
            <v>MARIO SERGIO LEPRE</v>
          </cell>
          <cell r="D318" t="str">
            <v>PROFESSOR ASSISTENTE</v>
          </cell>
        </row>
        <row r="319">
          <cell r="B319" t="str">
            <v>PAULO SERGIO MIGUEL</v>
          </cell>
          <cell r="D319" t="str">
            <v>PROFESSOR ADJUNTO</v>
          </cell>
        </row>
        <row r="320">
          <cell r="B320" t="str">
            <v>KLEBER BEZ BIROLO CANDIOTTO</v>
          </cell>
          <cell r="D320" t="str">
            <v>PROFESSOR TITULAR</v>
          </cell>
        </row>
        <row r="321">
          <cell r="B321" t="str">
            <v>ANDREA NOVAIS MORENO AMARAL</v>
          </cell>
          <cell r="D321" t="str">
            <v>PROFESSOR TITULAR</v>
          </cell>
        </row>
        <row r="322">
          <cell r="B322" t="str">
            <v>CLOVIS ULTRAMARI</v>
          </cell>
          <cell r="D322" t="str">
            <v>PROFESSOR TITULAR</v>
          </cell>
        </row>
        <row r="323">
          <cell r="B323" t="str">
            <v>REGINALDO RODRIGUES DA COSTA</v>
          </cell>
          <cell r="D323" t="str">
            <v>PROFESSOR ADJUNTO</v>
          </cell>
        </row>
        <row r="324">
          <cell r="B324" t="str">
            <v>ERICA REGINA TAKANO NATTI</v>
          </cell>
          <cell r="D324" t="str">
            <v>COORD CURSO</v>
          </cell>
        </row>
        <row r="325">
          <cell r="B325" t="str">
            <v>FRANCISCO DE ASSIS DUARTE</v>
          </cell>
          <cell r="D325" t="str">
            <v>AST BIBLIOTECA II</v>
          </cell>
        </row>
        <row r="326">
          <cell r="B326" t="str">
            <v>VIVIANE DA SILVA LOPES HAMBRUSCH</v>
          </cell>
          <cell r="D326" t="str">
            <v>ANL OPERACOES ACADEMICAS SR</v>
          </cell>
        </row>
        <row r="327">
          <cell r="B327" t="str">
            <v>GLAUCIA LUNKMOSS</v>
          </cell>
          <cell r="D327" t="str">
            <v>PROFESSOR ASSISTENTE</v>
          </cell>
        </row>
        <row r="328">
          <cell r="B328" t="str">
            <v>SALMA ALI EL CHAB PAROLIN</v>
          </cell>
          <cell r="D328" t="str">
            <v>PROFESSOR ADJUNTO</v>
          </cell>
        </row>
        <row r="329">
          <cell r="B329" t="str">
            <v>ANA CRISTINA RAVAZZANI DE ALMEIDA FARIA</v>
          </cell>
          <cell r="D329" t="str">
            <v>PROFESSOR ADJUNTO</v>
          </cell>
        </row>
        <row r="330">
          <cell r="B330" t="str">
            <v>EBERSON LEITE DE OLIVEIRA</v>
          </cell>
          <cell r="D330" t="str">
            <v>AST BIBLIOTECA II</v>
          </cell>
        </row>
        <row r="331">
          <cell r="B331" t="str">
            <v>FLAVIA CRISTINA PIOVESAN</v>
          </cell>
          <cell r="D331" t="str">
            <v>PROFESSOR TITULAR</v>
          </cell>
        </row>
        <row r="332">
          <cell r="B332" t="str">
            <v>FRANCISCO VERARDI BOCCA</v>
          </cell>
          <cell r="D332" t="str">
            <v>PROFESSOR TITULAR</v>
          </cell>
        </row>
        <row r="333">
          <cell r="B333" t="str">
            <v>EDUARDO BASTOS DE BARROS</v>
          </cell>
          <cell r="D333" t="str">
            <v>PROFESSOR ASSISTENTE</v>
          </cell>
        </row>
        <row r="334">
          <cell r="B334" t="str">
            <v>MAGDA ROSA RAMOS DA CRUZ</v>
          </cell>
          <cell r="D334" t="str">
            <v>PROFESSOR ADJUNTO</v>
          </cell>
        </row>
        <row r="335">
          <cell r="B335" t="str">
            <v>SONIA MARA LUCZYSZYN</v>
          </cell>
          <cell r="D335" t="str">
            <v>COORD CURSO</v>
          </cell>
        </row>
        <row r="336">
          <cell r="B336" t="str">
            <v>ULISSES XAVIER DA SILVA NETO</v>
          </cell>
          <cell r="D336" t="str">
            <v>PROFESSOR ADJUNTO</v>
          </cell>
        </row>
        <row r="337">
          <cell r="B337" t="str">
            <v>MARCIA OLANDOSKI</v>
          </cell>
          <cell r="D337" t="str">
            <v>PROFESSOR ADJUNTO</v>
          </cell>
        </row>
        <row r="338">
          <cell r="B338" t="str">
            <v>MOZART GONCALVES</v>
          </cell>
          <cell r="D338" t="str">
            <v>PROFESSOR ASSISTENTE</v>
          </cell>
        </row>
        <row r="339">
          <cell r="B339" t="str">
            <v>WALTER BARBOSA BITTAR</v>
          </cell>
          <cell r="D339" t="str">
            <v>PROFESSOR ADJUNTO</v>
          </cell>
        </row>
        <row r="340">
          <cell r="B340" t="str">
            <v>ALBERTINO FABRICIO DAS NEVES</v>
          </cell>
          <cell r="D340" t="str">
            <v>ANL ADMINISTRATIVO PL</v>
          </cell>
        </row>
        <row r="341">
          <cell r="B341" t="str">
            <v>SERGIO BARBOSA RODRIGUES</v>
          </cell>
          <cell r="D341" t="str">
            <v>PROFESSOR ASSISTENTE</v>
          </cell>
        </row>
        <row r="342">
          <cell r="B342" t="str">
            <v>CLAUDIA BELLANDA PEGINI</v>
          </cell>
          <cell r="D342" t="str">
            <v>PROFESSOR TITULAR</v>
          </cell>
        </row>
        <row r="343">
          <cell r="B343" t="str">
            <v>HELIO JOSE BAMBERG</v>
          </cell>
          <cell r="D343" t="str">
            <v>PROFESSOR ASSISTENTE</v>
          </cell>
        </row>
        <row r="344">
          <cell r="B344" t="str">
            <v>AGUILAR SELHORST JUNIOR</v>
          </cell>
          <cell r="D344" t="str">
            <v>GTE DE INTELIGENCIA ESTRATEGICA</v>
          </cell>
        </row>
        <row r="345">
          <cell r="B345" t="str">
            <v>ALCEU SOUZA</v>
          </cell>
          <cell r="D345" t="str">
            <v>PROFESSOR TITULAR</v>
          </cell>
        </row>
        <row r="346">
          <cell r="B346" t="str">
            <v>FERNANDA LETICIA SOARES PINHEIRO</v>
          </cell>
          <cell r="D346" t="str">
            <v>PROFESSOR ADJUNTO</v>
          </cell>
        </row>
        <row r="347">
          <cell r="B347" t="str">
            <v>DENIS ALCIDES REZENDE</v>
          </cell>
          <cell r="D347" t="str">
            <v>PROFESSOR TITULAR</v>
          </cell>
        </row>
        <row r="348">
          <cell r="B348" t="str">
            <v>VICTOR HORACIO DE SOUZA COSTA JUNIOR</v>
          </cell>
          <cell r="D348" t="str">
            <v>PROFESSOR ADJUNTO</v>
          </cell>
        </row>
        <row r="349">
          <cell r="B349" t="str">
            <v>ADALBERTO EGG PASSOS</v>
          </cell>
          <cell r="D349" t="str">
            <v>PROFESSOR ASSISTENTE</v>
          </cell>
        </row>
        <row r="350">
          <cell r="B350" t="str">
            <v>ERICSON LUIZ STRAUB</v>
          </cell>
          <cell r="D350" t="str">
            <v>PROFESSOR ADJUNTO</v>
          </cell>
        </row>
        <row r="351">
          <cell r="B351" t="str">
            <v>LORENA BORTOLINI NAVARRO</v>
          </cell>
          <cell r="D351" t="str">
            <v>PROFESSOR ASSISTENTE</v>
          </cell>
        </row>
        <row r="352">
          <cell r="B352" t="str">
            <v>LUCIANA REIS AZEVEDO ALANIS</v>
          </cell>
          <cell r="D352" t="str">
            <v>PROFESSOR TITULAR</v>
          </cell>
        </row>
        <row r="353">
          <cell r="B353" t="str">
            <v>MARIA HELOISA MADRUGA CHAVES</v>
          </cell>
          <cell r="D353" t="str">
            <v>PROFESSOR ASSISTENTE</v>
          </cell>
        </row>
        <row r="354">
          <cell r="B354" t="str">
            <v>MARTA MARIA BERTAN SELLA GABARDO</v>
          </cell>
          <cell r="D354" t="str">
            <v>PROFESSOR ADJUNTO</v>
          </cell>
        </row>
        <row r="355">
          <cell r="B355" t="str">
            <v>MICHELLE SANTOS VIANNA</v>
          </cell>
          <cell r="D355" t="str">
            <v>PROFESSOR ADJUNTO</v>
          </cell>
        </row>
        <row r="356">
          <cell r="B356" t="str">
            <v>PURA LUCIA OLIVER MARTINS</v>
          </cell>
          <cell r="D356" t="str">
            <v>PROFESSOR TITULAR</v>
          </cell>
        </row>
        <row r="357">
          <cell r="B357" t="str">
            <v>TAHISE NEGRO MARQUES</v>
          </cell>
          <cell r="D357" t="str">
            <v>COORD ADMINISTRATIVO</v>
          </cell>
        </row>
        <row r="358">
          <cell r="B358" t="str">
            <v>ANTONIO RIBEIRO GOMES</v>
          </cell>
          <cell r="D358" t="str">
            <v>TEC LABORATORIO I (C/ AD-INS)</v>
          </cell>
        </row>
        <row r="359">
          <cell r="B359" t="str">
            <v>MISAEL GOMES BARBOSA</v>
          </cell>
          <cell r="D359" t="str">
            <v>BIOLOGO</v>
          </cell>
        </row>
        <row r="360">
          <cell r="B360" t="str">
            <v>ROBERTO FLAVIO SILVA PECOITS FILHO</v>
          </cell>
          <cell r="D360" t="str">
            <v>PROFESSOR TITULAR</v>
          </cell>
        </row>
        <row r="361">
          <cell r="B361" t="str">
            <v>EVERALDO ANTONIO RUTANA PEREIRA</v>
          </cell>
          <cell r="D361" t="str">
            <v>PROFESSOR ADJUNTO</v>
          </cell>
        </row>
        <row r="362">
          <cell r="B362" t="str">
            <v>SANDRA BATISTA DA COSTA</v>
          </cell>
          <cell r="D362" t="str">
            <v>PROFESSOR ADJUNTO</v>
          </cell>
        </row>
        <row r="363">
          <cell r="B363" t="str">
            <v>ADRIANA APARECIDA DAMBROS DA SILVA</v>
          </cell>
          <cell r="D363" t="str">
            <v>PROFESSOR TITULAR</v>
          </cell>
        </row>
        <row r="364">
          <cell r="B364" t="str">
            <v>PRACILIA BATISTA GIBELLATO</v>
          </cell>
          <cell r="D364" t="str">
            <v>AST EXECUTIVA II</v>
          </cell>
        </row>
        <row r="365">
          <cell r="B365" t="str">
            <v>BRUNO CAMPAGNOLO DE PAULA</v>
          </cell>
          <cell r="D365" t="str">
            <v>COORD CURSO</v>
          </cell>
        </row>
        <row r="366">
          <cell r="B366" t="str">
            <v>PATRICIA MANIKA</v>
          </cell>
          <cell r="D366" t="str">
            <v>ANL OPERACOES TI SR</v>
          </cell>
        </row>
        <row r="367">
          <cell r="B367" t="str">
            <v>MARCELO PONESTKI OLIVEIRA</v>
          </cell>
          <cell r="D367" t="str">
            <v>PROFESSOR ADJUNTO</v>
          </cell>
        </row>
        <row r="368">
          <cell r="B368" t="str">
            <v>LINDOMAR WESSLER BONETI</v>
          </cell>
          <cell r="D368" t="str">
            <v>PROFESSOR TITULAR</v>
          </cell>
        </row>
        <row r="369">
          <cell r="B369" t="str">
            <v>ERLI IVANILDE BIANCO</v>
          </cell>
          <cell r="D369" t="str">
            <v>ANL PROJETOS SR</v>
          </cell>
        </row>
        <row r="370">
          <cell r="B370" t="str">
            <v>JHONATAN GEREMIAS</v>
          </cell>
          <cell r="D370" t="str">
            <v>PROFESSOR ASSISTENTE</v>
          </cell>
        </row>
        <row r="371">
          <cell r="B371" t="str">
            <v>ROSA LYDIA TEIXEIRA CORREA</v>
          </cell>
          <cell r="D371" t="str">
            <v>PROFESSOR TITULAR</v>
          </cell>
        </row>
        <row r="372">
          <cell r="B372" t="str">
            <v>SEBASTIANA D APARECIDA NUNES NOGUEIRA</v>
          </cell>
          <cell r="D372" t="str">
            <v>AUX SERVICOS GERAIS</v>
          </cell>
        </row>
        <row r="373">
          <cell r="B373" t="str">
            <v>MARISTELA DENISE MARQUES DE SOUZA</v>
          </cell>
          <cell r="D373" t="str">
            <v>PROFESSOR ADJUNTO</v>
          </cell>
        </row>
        <row r="374">
          <cell r="B374" t="str">
            <v>UBIRAJARA IOBE TASQUETI</v>
          </cell>
          <cell r="D374" t="str">
            <v>PROFESSOR ASSISTENTE</v>
          </cell>
        </row>
        <row r="375">
          <cell r="B375" t="str">
            <v>FERNANDO LOVEL BERGAMASCO</v>
          </cell>
          <cell r="D375" t="str">
            <v>PROFESSOR ADJUNTO</v>
          </cell>
        </row>
        <row r="376">
          <cell r="B376" t="str">
            <v>GIANA SILVEIRA GIOSTRI</v>
          </cell>
          <cell r="D376" t="str">
            <v>PROFESSOR ADJUNTO</v>
          </cell>
        </row>
        <row r="377">
          <cell r="B377" t="str">
            <v>JAMIL FAISSAL SONI</v>
          </cell>
          <cell r="D377" t="str">
            <v>PROFESSOR TITULAR</v>
          </cell>
        </row>
        <row r="378">
          <cell r="B378" t="str">
            <v>JOAO EDUARDO LEAL NICOLUZZI</v>
          </cell>
          <cell r="D378" t="str">
            <v>PROFESSOR TITULAR</v>
          </cell>
        </row>
        <row r="379">
          <cell r="B379" t="str">
            <v>SIDNEI ANTONIO WOITYSZYN</v>
          </cell>
          <cell r="D379" t="str">
            <v>OPERADOR MAQUINAS</v>
          </cell>
        </row>
        <row r="380">
          <cell r="B380" t="str">
            <v>EDSON RAMOS QUIRINO</v>
          </cell>
          <cell r="D380" t="str">
            <v>ANL PROJETOS COMUNITARIOS PL</v>
          </cell>
        </row>
        <row r="381">
          <cell r="B381" t="str">
            <v>ANA PAULA GULARTE LIBERATO</v>
          </cell>
          <cell r="D381" t="str">
            <v>COORD ACADEMICO EDUCACAO CONTINUADA</v>
          </cell>
        </row>
        <row r="382">
          <cell r="B382" t="str">
            <v>MOACIR ROCHA BARBOSA</v>
          </cell>
          <cell r="D382" t="str">
            <v>AST ATENDIMENTO</v>
          </cell>
        </row>
        <row r="383">
          <cell r="B383" t="str">
            <v>JAQUELINE FERNANDES FERREIRA</v>
          </cell>
          <cell r="D383" t="str">
            <v>AUX SERVICOS GERAIS</v>
          </cell>
        </row>
        <row r="384">
          <cell r="B384" t="str">
            <v>WLADEMIR DURAN</v>
          </cell>
          <cell r="D384" t="str">
            <v>ANL PROJETOS COMUNITARIOS PL</v>
          </cell>
        </row>
        <row r="385">
          <cell r="B385" t="str">
            <v>MARIA SOLANGE KRAUSS SIMOES</v>
          </cell>
          <cell r="D385" t="str">
            <v>COORD ADMINISTRATIVO</v>
          </cell>
        </row>
        <row r="386">
          <cell r="B386" t="str">
            <v>CESAR AUGUSTO FERENC</v>
          </cell>
          <cell r="D386" t="str">
            <v>ESP TECNOLOGIA EDUCACIONAL</v>
          </cell>
        </row>
        <row r="387">
          <cell r="B387" t="str">
            <v>CELSO LUIZ DA SILVA</v>
          </cell>
          <cell r="D387" t="str">
            <v>AST MANUTENCAO I</v>
          </cell>
        </row>
        <row r="388">
          <cell r="B388" t="str">
            <v>JAIME JOSE RAUBER</v>
          </cell>
          <cell r="D388" t="str">
            <v>PROFESSOR TITULAR</v>
          </cell>
        </row>
        <row r="389">
          <cell r="B389" t="str">
            <v>MARIA CECILIA DE LIMA RORIG</v>
          </cell>
          <cell r="D389" t="str">
            <v>PROFESSOR ASSISTENTE</v>
          </cell>
        </row>
        <row r="390">
          <cell r="B390" t="str">
            <v>RAPHAEL EDUARDO SYRING</v>
          </cell>
          <cell r="D390" t="str">
            <v>ANL TECNOLOGIA INFORMACAO PL</v>
          </cell>
        </row>
        <row r="391">
          <cell r="B391" t="str">
            <v>LUIZ ALBERTO PEREIRA RIBEIRO</v>
          </cell>
          <cell r="D391" t="str">
            <v>PROFESSOR TITULAR</v>
          </cell>
        </row>
        <row r="392">
          <cell r="B392" t="str">
            <v>PAULA HANSEN SUSS</v>
          </cell>
          <cell r="D392" t="str">
            <v>ANL CULTURA CELULAR SR</v>
          </cell>
        </row>
        <row r="393">
          <cell r="B393" t="str">
            <v>LUCIANE PATRICIA DA CUNHA PEREIRA</v>
          </cell>
          <cell r="D393" t="str">
            <v>ESP FINANCEIRO</v>
          </cell>
        </row>
        <row r="394">
          <cell r="B394" t="str">
            <v>EDINEIA LEMOS DE OLIVEIRA FRANCISCO</v>
          </cell>
          <cell r="D394" t="str">
            <v>AST BIBLIOTECA II</v>
          </cell>
        </row>
        <row r="395">
          <cell r="B395" t="str">
            <v>ADRIANO DE CRISTO EURICH</v>
          </cell>
          <cell r="D395" t="str">
            <v>AST BIBLIOTECA II</v>
          </cell>
        </row>
        <row r="396">
          <cell r="B396" t="str">
            <v>EDINEI SOUZA OLIVEIRA</v>
          </cell>
          <cell r="D396" t="str">
            <v>ANL ADMINISTRATIVO JR</v>
          </cell>
        </row>
        <row r="397">
          <cell r="B397" t="str">
            <v>MARCELO PERRI ROCATO</v>
          </cell>
          <cell r="D397" t="str">
            <v>TEC LABORATORIO I (C/ AD-INS)</v>
          </cell>
        </row>
        <row r="398">
          <cell r="B398" t="str">
            <v>WALDEMAR GERMANO ROGGENBAU NETO</v>
          </cell>
          <cell r="D398" t="str">
            <v>AST BIBLIOTECA II</v>
          </cell>
        </row>
        <row r="399">
          <cell r="B399" t="str">
            <v>GERALDO ALBERTO SEBBEN</v>
          </cell>
          <cell r="D399" t="str">
            <v>PROFESSOR ASSISTENTE</v>
          </cell>
        </row>
        <row r="400">
          <cell r="B400" t="str">
            <v>IRENICE CAIRO DA SILVA</v>
          </cell>
          <cell r="D400" t="str">
            <v>ANL CULTURA CELULAR SR</v>
          </cell>
        </row>
        <row r="401">
          <cell r="B401" t="str">
            <v>CLAUDINE APARECIDO TERRA</v>
          </cell>
          <cell r="D401" t="str">
            <v>PROFESSOR ADJUNTO</v>
          </cell>
        </row>
        <row r="402">
          <cell r="B402" t="str">
            <v>JELSON ROBERTO DE OLIVEIRA</v>
          </cell>
          <cell r="D402" t="str">
            <v>PROFESSOR ADJUNTO</v>
          </cell>
        </row>
        <row r="403">
          <cell r="B403" t="str">
            <v>JOSE ROCHA FARIA NETO</v>
          </cell>
          <cell r="D403" t="str">
            <v>COORD CURSO</v>
          </cell>
        </row>
        <row r="404">
          <cell r="B404" t="str">
            <v>ELISANGELA FERRETTI MANFFRA</v>
          </cell>
          <cell r="D404" t="str">
            <v>PROFESSOR TITULAR</v>
          </cell>
        </row>
        <row r="405">
          <cell r="B405" t="str">
            <v>EDELMI MARCELO KRUGER</v>
          </cell>
          <cell r="D405" t="str">
            <v>GTE ADMINISTRATIVO FINANCEIRO</v>
          </cell>
        </row>
        <row r="406">
          <cell r="B406" t="str">
            <v>LUCI MICHELON LOHMANN</v>
          </cell>
          <cell r="D406" t="str">
            <v>PROFESSOR ADJUNTO</v>
          </cell>
        </row>
        <row r="407">
          <cell r="B407" t="str">
            <v>RENE BERGEL</v>
          </cell>
          <cell r="D407" t="str">
            <v>PROFESSOR ASSISTENTE</v>
          </cell>
        </row>
        <row r="408">
          <cell r="B408" t="str">
            <v>CARLOS ANDRE BERNARDO</v>
          </cell>
          <cell r="D408" t="str">
            <v>AST LOGISTICA II</v>
          </cell>
        </row>
        <row r="409">
          <cell r="B409" t="str">
            <v>CAROLINE VENDRAME</v>
          </cell>
          <cell r="D409" t="str">
            <v>ANL TECNOLOGIA EDUCACIONAL SR</v>
          </cell>
        </row>
        <row r="410">
          <cell r="B410" t="str">
            <v>FABIOLA ANCAY VIEIRA</v>
          </cell>
          <cell r="D410" t="str">
            <v>COORD TECNOLOGIA EDUCACIONAL</v>
          </cell>
        </row>
        <row r="411">
          <cell r="B411" t="str">
            <v>KARLA CRISTINA MARTINEZ</v>
          </cell>
          <cell r="D411" t="str">
            <v>ANL PROJETOS EDUCACIONAIS PL</v>
          </cell>
        </row>
        <row r="412">
          <cell r="B412" t="str">
            <v>DEVANIR LINO</v>
          </cell>
          <cell r="D412" t="str">
            <v>TEC LABORATORIO II (C/ AD-INS)</v>
          </cell>
        </row>
        <row r="413">
          <cell r="B413" t="str">
            <v>LUCINEIA SABINO DA SILVA</v>
          </cell>
          <cell r="D413" t="str">
            <v>AST BIBLIOTECA II</v>
          </cell>
        </row>
        <row r="414">
          <cell r="B414" t="str">
            <v>LUIZ CESAR GUARITA SOUZA</v>
          </cell>
          <cell r="D414" t="str">
            <v>PROFESSOR TITULAR</v>
          </cell>
        </row>
        <row r="415">
          <cell r="B415" t="str">
            <v>FLAVIO PANSIERI</v>
          </cell>
          <cell r="D415" t="str">
            <v>PROFESSOR ADJUNTO</v>
          </cell>
        </row>
        <row r="416">
          <cell r="B416" t="str">
            <v>ACIR JOSE DA SILVA FRANCO</v>
          </cell>
          <cell r="D416" t="str">
            <v>BIOLOGO</v>
          </cell>
        </row>
        <row r="417">
          <cell r="B417" t="str">
            <v>CHRISTIANO FRANCISCO DOS SANTOS</v>
          </cell>
          <cell r="D417" t="str">
            <v>PROFESSOR ADJUNTO</v>
          </cell>
        </row>
        <row r="418">
          <cell r="B418" t="str">
            <v>DEMETRIUS COELHO SOUZA</v>
          </cell>
          <cell r="D418" t="str">
            <v>PROFESSOR ADJUNTO</v>
          </cell>
        </row>
        <row r="419">
          <cell r="B419" t="str">
            <v>JOSE RAFAEL SOLANO DURAN</v>
          </cell>
          <cell r="D419" t="str">
            <v>COORD CURSO</v>
          </cell>
        </row>
        <row r="420">
          <cell r="B420" t="str">
            <v>VALDECI ELEUTERIO</v>
          </cell>
          <cell r="D420" t="str">
            <v>PROFESSOR ASSISTENTE</v>
          </cell>
        </row>
        <row r="421">
          <cell r="B421" t="str">
            <v>EDIVAL DE MORAIS</v>
          </cell>
          <cell r="D421" t="str">
            <v>PROFESSOR ADJUNTO</v>
          </cell>
        </row>
        <row r="422">
          <cell r="B422" t="str">
            <v>MARISSE COSTA DE QUEIROZ</v>
          </cell>
          <cell r="D422" t="str">
            <v>PROFESSOR ADJUNTO</v>
          </cell>
        </row>
        <row r="423">
          <cell r="B423" t="str">
            <v>FLAVIA AULER</v>
          </cell>
          <cell r="D423" t="str">
            <v>COORD CURSO</v>
          </cell>
        </row>
        <row r="424">
          <cell r="B424" t="str">
            <v>ANDRE PARMO FOLLONI</v>
          </cell>
          <cell r="D424" t="str">
            <v>PROFESSOR TITULAR</v>
          </cell>
        </row>
        <row r="425">
          <cell r="B425" t="str">
            <v>JOCELINE FRANCO DALL AGNOL</v>
          </cell>
          <cell r="D425" t="str">
            <v>COORD PEDAGOGICO</v>
          </cell>
        </row>
        <row r="426">
          <cell r="B426" t="str">
            <v>MARIANA MAREZIUZEK DA SILVA</v>
          </cell>
          <cell r="D426" t="str">
            <v>TEC LABORATORIO I (C/ AD-INS)</v>
          </cell>
        </row>
        <row r="427">
          <cell r="B427" t="str">
            <v>JULIO PADOVAM</v>
          </cell>
          <cell r="D427" t="str">
            <v>SPV MANUTENCAO</v>
          </cell>
        </row>
        <row r="428">
          <cell r="B428" t="str">
            <v>NEUSA DA COSTA</v>
          </cell>
          <cell r="D428" t="str">
            <v>AUX SERVICOS GERAIS</v>
          </cell>
        </row>
        <row r="429">
          <cell r="B429" t="str">
            <v>SILVIO ANDRE BRAMBILA RODRIGUES</v>
          </cell>
          <cell r="D429" t="str">
            <v>PROFESSOR ASSISTENTE</v>
          </cell>
        </row>
        <row r="430">
          <cell r="B430" t="str">
            <v>RODRIGO DE ANDRADE KERSTEN</v>
          </cell>
          <cell r="D430" t="str">
            <v>PROFESSOR ADJUNTO</v>
          </cell>
        </row>
        <row r="431">
          <cell r="B431" t="str">
            <v>GEOVANA FERREIRA DE OLIVEIRA</v>
          </cell>
          <cell r="D431" t="str">
            <v>ANL ADMINISTRATIVO JR</v>
          </cell>
        </row>
        <row r="432">
          <cell r="B432" t="str">
            <v>LIDIA ANA ZYTYNSKI MOURA</v>
          </cell>
          <cell r="D432" t="str">
            <v>DIR EIXO ACADEMICO</v>
          </cell>
        </row>
        <row r="433">
          <cell r="B433" t="str">
            <v>JOSE KNOPFHOLZ</v>
          </cell>
          <cell r="D433" t="str">
            <v>DECANO</v>
          </cell>
        </row>
        <row r="434">
          <cell r="B434" t="str">
            <v>CINTIA BRANDAO DOS REIS</v>
          </cell>
          <cell r="D434" t="str">
            <v>ANL TECNOLOGIA EDUCACIONAL PL</v>
          </cell>
        </row>
        <row r="435">
          <cell r="B435" t="str">
            <v>VANESSA YUMIE SALOMAO WATANABE LIBERALESSO</v>
          </cell>
          <cell r="D435" t="str">
            <v>PROFESSOR ASSISTENTE</v>
          </cell>
        </row>
        <row r="436">
          <cell r="B436" t="str">
            <v>ANA LUIZA DIAS VALIENTE ENGELHORN</v>
          </cell>
          <cell r="D436" t="str">
            <v>PROFESSOR ADJUNTO</v>
          </cell>
        </row>
        <row r="437">
          <cell r="B437" t="str">
            <v>EVERDAN CARNEIRO</v>
          </cell>
          <cell r="D437" t="str">
            <v>COORD CURSO</v>
          </cell>
        </row>
        <row r="438">
          <cell r="B438" t="str">
            <v>CAROLINA KOSMA KRIEGER</v>
          </cell>
          <cell r="D438" t="str">
            <v>PROFESSOR ADJUNTO</v>
          </cell>
        </row>
        <row r="439">
          <cell r="B439" t="str">
            <v>VANILDA BATISTA DA SILVA ILARIO</v>
          </cell>
          <cell r="D439" t="str">
            <v>AST ATENDIMENTO</v>
          </cell>
        </row>
        <row r="440">
          <cell r="B440" t="str">
            <v>LUIZ ANTONIO BELINI</v>
          </cell>
          <cell r="D440" t="str">
            <v>PROFESSOR ASSISTENTE</v>
          </cell>
        </row>
        <row r="441">
          <cell r="B441" t="str">
            <v>FABIO INACIO PEREIRA</v>
          </cell>
          <cell r="D441" t="str">
            <v>PROFESSOR TITULAR</v>
          </cell>
        </row>
        <row r="442">
          <cell r="B442" t="str">
            <v>CARLOS DA SILVA BAUER</v>
          </cell>
          <cell r="D442" t="str">
            <v>TEC LABORATORIO II (C/ AD-INS)</v>
          </cell>
        </row>
        <row r="443">
          <cell r="B443" t="str">
            <v>BRUNO SPADONI</v>
          </cell>
          <cell r="D443" t="str">
            <v>PROFESSOR AUXILIAR</v>
          </cell>
        </row>
        <row r="444">
          <cell r="B444" t="str">
            <v>PATRICIA GUILLON RIBEIRO</v>
          </cell>
          <cell r="D444" t="str">
            <v>PROFESSOR ADJUNTO</v>
          </cell>
        </row>
        <row r="445">
          <cell r="B445" t="str">
            <v>PAULO CESAR ZIMMERMANN FELCHNER</v>
          </cell>
          <cell r="D445" t="str">
            <v>PROFESSOR ADJUNTO</v>
          </cell>
        </row>
        <row r="446">
          <cell r="B446" t="str">
            <v>MARISE GUMBOWSKY NARCISO</v>
          </cell>
          <cell r="D446" t="str">
            <v>AST PRONTO ATENDIMENTO</v>
          </cell>
        </row>
        <row r="447">
          <cell r="B447" t="str">
            <v>PAULO SERGIO REDIS</v>
          </cell>
          <cell r="D447" t="str">
            <v>TEC LABORATORIO II (C/ AD-INS)</v>
          </cell>
        </row>
        <row r="448">
          <cell r="B448" t="str">
            <v>SUSAN CRISTINE TREVISANI DOS REIS</v>
          </cell>
          <cell r="D448" t="str">
            <v>EDITOR TEXTO SR</v>
          </cell>
        </row>
        <row r="449">
          <cell r="B449" t="str">
            <v>JOAO EDSON KAEFER</v>
          </cell>
          <cell r="D449" t="str">
            <v>PROFESSOR ADJUNTO</v>
          </cell>
        </row>
        <row r="450">
          <cell r="B450" t="str">
            <v>ROGERIO TONIOLO</v>
          </cell>
          <cell r="D450" t="str">
            <v>PROFESSOR ADJUNTO</v>
          </cell>
        </row>
        <row r="451">
          <cell r="B451" t="str">
            <v>ELADIO CONSTANTINO PABLO CRAIA</v>
          </cell>
          <cell r="D451" t="str">
            <v>PROFESSOR ADJUNTO</v>
          </cell>
        </row>
        <row r="452">
          <cell r="B452" t="str">
            <v>MICHAELLA CARLA LAURINDO</v>
          </cell>
          <cell r="D452" t="str">
            <v>PROFESSOR ADJUNTO</v>
          </cell>
        </row>
        <row r="453">
          <cell r="B453" t="str">
            <v>VICENTE ARTUSO</v>
          </cell>
          <cell r="D453" t="str">
            <v>PROFESSOR ADJUNTO</v>
          </cell>
        </row>
        <row r="454">
          <cell r="B454" t="str">
            <v>EVANDRO JACKSON REDIVO NAVA</v>
          </cell>
          <cell r="D454" t="str">
            <v>COORD CURSO</v>
          </cell>
        </row>
        <row r="455">
          <cell r="B455" t="str">
            <v>MARINA LUISE VIOLA DE AZEVEDO</v>
          </cell>
          <cell r="D455" t="str">
            <v>PROFESSOR ASSISTENTE</v>
          </cell>
        </row>
        <row r="456">
          <cell r="B456" t="str">
            <v>RAFAEL MATHOZO</v>
          </cell>
          <cell r="D456" t="str">
            <v>AST BIBLIOTECA II</v>
          </cell>
        </row>
        <row r="457">
          <cell r="B457" t="str">
            <v>MARCIA FENNER CARISSIMI</v>
          </cell>
          <cell r="D457" t="str">
            <v>TEC LABORATORIO I (C/ AD-INS)</v>
          </cell>
        </row>
        <row r="458">
          <cell r="B458" t="str">
            <v>LEDA RAMOS MAY</v>
          </cell>
          <cell r="D458" t="str">
            <v>PROFESSOR ADJUNTO</v>
          </cell>
        </row>
        <row r="459">
          <cell r="B459" t="str">
            <v>GABRIELA RUBIN TOAZZA</v>
          </cell>
          <cell r="D459" t="str">
            <v>PROFESSOR ASSISTENTE</v>
          </cell>
        </row>
        <row r="460">
          <cell r="B460" t="str">
            <v>PATRICIA CARLA GANDIN PEREIRA</v>
          </cell>
          <cell r="D460" t="str">
            <v>PROFESSOR ASSISTENTE</v>
          </cell>
        </row>
        <row r="461">
          <cell r="B461" t="str">
            <v>ARLETE MARIA WOYCIKIEWICZ</v>
          </cell>
          <cell r="D461" t="str">
            <v>AST ATENDIMENTO</v>
          </cell>
        </row>
        <row r="462">
          <cell r="B462" t="str">
            <v>ANDRE FERREIRA LEONARDI</v>
          </cell>
          <cell r="D462" t="str">
            <v>ANL LABORATORIO PL</v>
          </cell>
        </row>
        <row r="463">
          <cell r="B463" t="str">
            <v>PAULO CESAR SOARES JUNIOR</v>
          </cell>
          <cell r="D463" t="str">
            <v>PROFESSOR ADJUNTO</v>
          </cell>
        </row>
        <row r="464">
          <cell r="B464" t="str">
            <v>SANDRA MARA SPISILA HANNEMANN</v>
          </cell>
          <cell r="D464" t="str">
            <v>ANL FATURAMENTO SR</v>
          </cell>
        </row>
        <row r="465">
          <cell r="B465" t="str">
            <v>RODRIGO JOSE FIRMINO</v>
          </cell>
          <cell r="D465" t="str">
            <v>PROFESSOR TITULAR</v>
          </cell>
        </row>
        <row r="466">
          <cell r="B466" t="str">
            <v>ANA MARIA DE ABREU MOSS</v>
          </cell>
          <cell r="D466" t="str">
            <v>COORD HIGIENIZACAO</v>
          </cell>
        </row>
        <row r="467">
          <cell r="B467" t="str">
            <v>CAROLINA ZAGHI CAVALCANTE HENDGES</v>
          </cell>
          <cell r="D467" t="str">
            <v>PROFESSOR TITULAR</v>
          </cell>
        </row>
        <row r="468">
          <cell r="B468" t="str">
            <v>PAULO HENRIQUE RIBAS</v>
          </cell>
          <cell r="D468" t="str">
            <v>PROFESSOR ASSISTENTE</v>
          </cell>
        </row>
        <row r="469">
          <cell r="B469" t="str">
            <v>ALEXEI VOLACO</v>
          </cell>
          <cell r="D469" t="str">
            <v>PROFESSOR ADJUNTO</v>
          </cell>
        </row>
        <row r="470">
          <cell r="B470" t="str">
            <v>GIOVANNE HENRIQUE BRESSAN SCHIAVON</v>
          </cell>
          <cell r="D470" t="str">
            <v>PROFESSOR TITULAR</v>
          </cell>
        </row>
        <row r="471">
          <cell r="B471" t="str">
            <v>MARIA DAS GRACAS BRAGA SANTANA</v>
          </cell>
          <cell r="D471" t="str">
            <v>ANL ADMINISTRATIVO PL</v>
          </cell>
        </row>
        <row r="472">
          <cell r="B472" t="str">
            <v>CARLA MACHI PUCCI</v>
          </cell>
          <cell r="D472" t="str">
            <v>PROFESSOR ADJUNTO</v>
          </cell>
        </row>
        <row r="473">
          <cell r="B473" t="str">
            <v>FABIANO LUDGERO DE MIRANDA</v>
          </cell>
          <cell r="D473" t="str">
            <v>AST ADMINISTRATIVO II</v>
          </cell>
        </row>
        <row r="474">
          <cell r="B474" t="str">
            <v>FERNANDA CORREA PAVESI LARA</v>
          </cell>
          <cell r="D474" t="str">
            <v>COORD CURSO</v>
          </cell>
        </row>
        <row r="475">
          <cell r="B475" t="str">
            <v>DEBORA BORTH MORATELLI</v>
          </cell>
          <cell r="D475" t="str">
            <v>TEC LABORATORIO II (C/ AD-INS)</v>
          </cell>
        </row>
        <row r="476">
          <cell r="B476" t="str">
            <v>PAULO EDUARDO DOS SANTOS</v>
          </cell>
          <cell r="D476" t="str">
            <v>AST BIBLIOTECA II</v>
          </cell>
        </row>
        <row r="477">
          <cell r="B477" t="str">
            <v>NOURMIRIO BITTENCOURT TESSEROLI FILHO</v>
          </cell>
          <cell r="D477" t="str">
            <v>PROFESSOR ASSISTENTE</v>
          </cell>
        </row>
        <row r="478">
          <cell r="B478" t="str">
            <v>JULIANA ALVES SANTOS</v>
          </cell>
          <cell r="D478" t="str">
            <v>ANL PLANEJAMENTO ACADEMICO SR</v>
          </cell>
        </row>
        <row r="479">
          <cell r="B479" t="str">
            <v>ANDREIA RIBEIRO DOS SANTOS</v>
          </cell>
          <cell r="D479" t="str">
            <v>COORD ADMINISTRATIVO</v>
          </cell>
        </row>
        <row r="480">
          <cell r="B480" t="str">
            <v>JOSE DOMINGOS LOPES FERREIRA</v>
          </cell>
          <cell r="D480" t="str">
            <v>TEC LABORATORIO I (C/ AD-INS)</v>
          </cell>
        </row>
        <row r="481">
          <cell r="B481" t="str">
            <v>ROBSON DA SILVA GIL</v>
          </cell>
          <cell r="D481" t="str">
            <v>ESP FINANCEIRO</v>
          </cell>
        </row>
        <row r="482">
          <cell r="B482" t="str">
            <v>MAUREN ISFER ANGHEBEM</v>
          </cell>
          <cell r="D482" t="str">
            <v>PROFESSOR ADJUNTO</v>
          </cell>
        </row>
        <row r="483">
          <cell r="B483" t="str">
            <v>ANDREIA CUNHA</v>
          </cell>
          <cell r="D483" t="str">
            <v>PROFESSOR ASSISTENTE</v>
          </cell>
        </row>
        <row r="484">
          <cell r="B484" t="str">
            <v>CESAR AUGUSTO NEITZKE</v>
          </cell>
          <cell r="D484" t="str">
            <v>PROFESSOR ADJUNTO</v>
          </cell>
        </row>
        <row r="485">
          <cell r="B485" t="str">
            <v>JACIR DAGA</v>
          </cell>
          <cell r="D485" t="str">
            <v>PROFESSOR ADJUNTO</v>
          </cell>
        </row>
        <row r="486">
          <cell r="B486" t="str">
            <v>RODRIGO CAMPAGNOLO</v>
          </cell>
          <cell r="D486" t="str">
            <v>PROFESSOR ADJUNTO</v>
          </cell>
        </row>
        <row r="487">
          <cell r="B487" t="str">
            <v>LIRA VIEIRA DOS SANTOS</v>
          </cell>
          <cell r="D487" t="str">
            <v>ANL ADMINISTRATIVO PL</v>
          </cell>
        </row>
        <row r="488">
          <cell r="B488" t="str">
            <v>FABIANE BARCHIKI</v>
          </cell>
          <cell r="D488" t="str">
            <v>ANL CULTURA CELULAR PL</v>
          </cell>
        </row>
        <row r="489">
          <cell r="B489" t="str">
            <v>FRANCIELI MOGNON</v>
          </cell>
          <cell r="D489" t="str">
            <v>COORD CURSO</v>
          </cell>
        </row>
        <row r="490">
          <cell r="B490" t="str">
            <v>MAURICIO CESAR IUNG</v>
          </cell>
          <cell r="D490" t="str">
            <v>PROFESSOR ASSISTENTE</v>
          </cell>
        </row>
        <row r="491">
          <cell r="B491" t="str">
            <v>BERENICE SORIANO DE ARAUJO</v>
          </cell>
          <cell r="D491" t="str">
            <v>TEC LABORATORIO II (C/ AD-INS)</v>
          </cell>
        </row>
        <row r="492">
          <cell r="B492" t="str">
            <v>MARCIELE SOLERA</v>
          </cell>
          <cell r="D492" t="str">
            <v>COORD OPER LABORATORIO</v>
          </cell>
        </row>
        <row r="493">
          <cell r="B493" t="str">
            <v>MARY RUTE GOMES ESPERANDIO</v>
          </cell>
          <cell r="D493" t="str">
            <v>PROFESSOR ADJUNTO</v>
          </cell>
        </row>
        <row r="494">
          <cell r="B494" t="str">
            <v>JULIANA FERREIRA MONTENEGRO</v>
          </cell>
          <cell r="D494" t="str">
            <v>PROFESSOR ADJUNTO</v>
          </cell>
        </row>
        <row r="495">
          <cell r="B495" t="str">
            <v>NELSON MASSARU FUKUMOTO</v>
          </cell>
          <cell r="D495" t="str">
            <v>PROFESSOR ADJUNTO</v>
          </cell>
        </row>
        <row r="496">
          <cell r="B496" t="str">
            <v>GISELE PONTAROLI RAYMUNDO</v>
          </cell>
          <cell r="D496" t="str">
            <v>PROFESSOR ASSISTENTE</v>
          </cell>
        </row>
        <row r="497">
          <cell r="B497" t="str">
            <v>LUIZ ALEXANDRE SOLANO ROSSI</v>
          </cell>
          <cell r="D497" t="str">
            <v>PROFESSOR ADJUNTO</v>
          </cell>
        </row>
        <row r="498">
          <cell r="B498" t="str">
            <v>RICARDO ALEXANDRE DIOGO</v>
          </cell>
          <cell r="D498" t="str">
            <v>PROFESSOR ADJUNTO</v>
          </cell>
        </row>
        <row r="499">
          <cell r="B499" t="str">
            <v>MARCIA DE HOLANDA NOZAKI</v>
          </cell>
          <cell r="D499" t="str">
            <v>PROFESSOR ADJUNTO</v>
          </cell>
        </row>
        <row r="500">
          <cell r="B500" t="str">
            <v>EDSON LUIZ LIMA</v>
          </cell>
          <cell r="D500" t="str">
            <v>JARDINEIRO</v>
          </cell>
        </row>
        <row r="501">
          <cell r="B501" t="str">
            <v>NEIDAMAR PEDRINI ARIAS FUGACA</v>
          </cell>
          <cell r="D501" t="str">
            <v>PROFESSOR ASSISTENTE</v>
          </cell>
        </row>
        <row r="502">
          <cell r="B502" t="str">
            <v>ANDRESSA BEHER LORANDI</v>
          </cell>
          <cell r="D502" t="str">
            <v>GTE ADMINISTRATIVO FINANCEIRO</v>
          </cell>
        </row>
        <row r="503">
          <cell r="B503" t="str">
            <v>ANA PAULA MODESTO</v>
          </cell>
          <cell r="D503" t="str">
            <v>PROFESSOR ADJUNTO</v>
          </cell>
        </row>
        <row r="504">
          <cell r="B504" t="str">
            <v>LUCIA RETKA RENZI</v>
          </cell>
          <cell r="D504" t="str">
            <v>TEC LABORATORIO II HISTOPATOLOGIA</v>
          </cell>
        </row>
        <row r="505">
          <cell r="B505" t="str">
            <v>VANESSA SANTOS SOTOMAIOR</v>
          </cell>
          <cell r="D505" t="str">
            <v>DIRETOR</v>
          </cell>
        </row>
        <row r="506">
          <cell r="B506" t="str">
            <v>ALCEU DE SOUZA BRITTO JUNIOR</v>
          </cell>
          <cell r="D506" t="str">
            <v>PROFESSOR TITULAR</v>
          </cell>
        </row>
        <row r="507">
          <cell r="B507" t="str">
            <v>KELY COMIN GRIGOLETTO</v>
          </cell>
          <cell r="D507" t="str">
            <v>BIBLIOTECARIO</v>
          </cell>
        </row>
        <row r="508">
          <cell r="B508" t="str">
            <v>LUCIANA MARIANO BATISTA OLIVEIRA</v>
          </cell>
          <cell r="D508" t="str">
            <v>COORD EMPREGABILIDADE</v>
          </cell>
        </row>
        <row r="509">
          <cell r="B509" t="str">
            <v>MARIANA BRANDL FREZATTO</v>
          </cell>
          <cell r="D509" t="str">
            <v>COORD AUTOMACAO ACADEMICA</v>
          </cell>
        </row>
        <row r="510">
          <cell r="B510" t="str">
            <v>RAQUEL MERCEDES MOTTA XAVIER</v>
          </cell>
          <cell r="D510" t="str">
            <v>PROFESSOR ASSISTENTE</v>
          </cell>
        </row>
        <row r="511">
          <cell r="B511" t="str">
            <v>ADRIANA DIAS BASSETO</v>
          </cell>
          <cell r="D511" t="str">
            <v>PROFESSOR ADJUNTO</v>
          </cell>
        </row>
        <row r="512">
          <cell r="B512" t="str">
            <v>SARA REGINA HOKAI</v>
          </cell>
          <cell r="D512" t="str">
            <v>PROFESSOR ASSISTENTE</v>
          </cell>
        </row>
        <row r="513">
          <cell r="B513" t="str">
            <v>PASQUALINO LAMORTE</v>
          </cell>
          <cell r="D513" t="str">
            <v>PROFESSOR ASSISTENTE</v>
          </cell>
        </row>
        <row r="514">
          <cell r="B514" t="str">
            <v>LUCIANA ANDREIA LASARO MANGIERI</v>
          </cell>
          <cell r="D514" t="str">
            <v>PROFESSOR ASSISTENTE</v>
          </cell>
        </row>
        <row r="515">
          <cell r="B515" t="str">
            <v>LIDIA MARIA WERETYCKI KOVALSKI</v>
          </cell>
          <cell r="D515" t="str">
            <v>COORD MOBILIDADE INTERNACIONAL</v>
          </cell>
        </row>
        <row r="516">
          <cell r="B516" t="str">
            <v>THIAGO THOMAZ KASPCHAK</v>
          </cell>
          <cell r="D516" t="str">
            <v>COORD CURSO</v>
          </cell>
        </row>
        <row r="517">
          <cell r="B517" t="str">
            <v>ANDRESSA DOS SANTOS MENDES CARDOSO</v>
          </cell>
          <cell r="D517" t="str">
            <v>ANL OPERACOES ACADEMICAS SR</v>
          </cell>
        </row>
        <row r="518">
          <cell r="B518" t="str">
            <v>ROBSON ANTONIO PLAVIAK</v>
          </cell>
          <cell r="D518" t="str">
            <v>ESP FINANCEIRO</v>
          </cell>
        </row>
        <row r="519">
          <cell r="B519" t="str">
            <v>LEANDRO TOMAZ</v>
          </cell>
          <cell r="D519" t="str">
            <v>ANL INTELIGENCIA DADOS SR</v>
          </cell>
        </row>
        <row r="520">
          <cell r="B520" t="str">
            <v>TANIA GONCALVES DE JESUS</v>
          </cell>
          <cell r="D520" t="str">
            <v>ANL FINANCEIRO JR</v>
          </cell>
        </row>
        <row r="521">
          <cell r="B521" t="str">
            <v>VANDERLEI JOSE TULIO</v>
          </cell>
          <cell r="D521" t="str">
            <v>ANL REGISTRO ACADEMICO PL</v>
          </cell>
        </row>
        <row r="522">
          <cell r="B522" t="str">
            <v>LUIZ CARLOS PY FLORES</v>
          </cell>
          <cell r="D522" t="str">
            <v>PROFESSOR ASSISTENTE</v>
          </cell>
        </row>
        <row r="523">
          <cell r="B523" t="str">
            <v>ANDRE GOBETTE SANTANA</v>
          </cell>
          <cell r="D523" t="str">
            <v>PROFESSOR ADJUNTO</v>
          </cell>
        </row>
        <row r="524">
          <cell r="B524" t="str">
            <v>DENISE DA MATA MEDEIROS</v>
          </cell>
          <cell r="D524" t="str">
            <v>ANL ADMINISTRATIVO PL</v>
          </cell>
        </row>
        <row r="525">
          <cell r="B525" t="str">
            <v>DANIELE ROCHA SAUCEDO</v>
          </cell>
          <cell r="D525" t="str">
            <v>PROFESSOR ASSISTENTE</v>
          </cell>
        </row>
        <row r="526">
          <cell r="B526" t="str">
            <v>ANTONIO CLAUDIO KOZIKOSKI JUNIOR</v>
          </cell>
          <cell r="D526" t="str">
            <v>COORD CURSO</v>
          </cell>
        </row>
        <row r="527">
          <cell r="B527" t="str">
            <v>MIRIAM STOLSES MAZO</v>
          </cell>
          <cell r="D527" t="str">
            <v>DECANO</v>
          </cell>
        </row>
        <row r="528">
          <cell r="B528" t="str">
            <v>CAROLINE FILLA ROSANELI</v>
          </cell>
          <cell r="D528" t="str">
            <v>COORD CURSO</v>
          </cell>
        </row>
        <row r="529">
          <cell r="B529" t="str">
            <v>ALMIR PETERSEN BARRETO</v>
          </cell>
          <cell r="D529" t="str">
            <v>PROFESSOR ADJUNTO</v>
          </cell>
        </row>
        <row r="530">
          <cell r="B530" t="str">
            <v>DIANA CHAO DECOCK</v>
          </cell>
          <cell r="D530" t="str">
            <v>PROFESSOR ASSISTENTE</v>
          </cell>
        </row>
        <row r="531">
          <cell r="B531" t="str">
            <v>CARMEN LUCIANE SANSON ABOURIHAN</v>
          </cell>
          <cell r="D531" t="str">
            <v>PROFESSOR ASSISTENTE</v>
          </cell>
        </row>
        <row r="532">
          <cell r="B532" t="str">
            <v>MARIA INEZ QUEMELLO DA SILVA</v>
          </cell>
          <cell r="D532" t="str">
            <v>AST BIBLIOTECA II</v>
          </cell>
        </row>
        <row r="533">
          <cell r="B533" t="str">
            <v>WILTON BORGES DOS SANTOS</v>
          </cell>
          <cell r="D533" t="str">
            <v>PROFESSOR ASSISTENTE</v>
          </cell>
        </row>
        <row r="534">
          <cell r="B534" t="str">
            <v>VANESSA TEREZINHA ALES</v>
          </cell>
          <cell r="D534" t="str">
            <v>PROFESSOR ADJUNTO</v>
          </cell>
        </row>
        <row r="535">
          <cell r="B535" t="str">
            <v>LEILA ANDRESSA DISSENHA</v>
          </cell>
          <cell r="D535" t="str">
            <v>PROFESSOR TITULAR</v>
          </cell>
        </row>
        <row r="536">
          <cell r="B536" t="str">
            <v>PRISCILA SILVA ROCHA</v>
          </cell>
          <cell r="D536" t="str">
            <v>PROFESSOR ASSISTENTE</v>
          </cell>
        </row>
        <row r="537">
          <cell r="B537" t="str">
            <v>RICARDO PADILHA VIANNA FILHO</v>
          </cell>
          <cell r="D537" t="str">
            <v>PROFESSOR ASSISTENTE</v>
          </cell>
        </row>
        <row r="538">
          <cell r="B538" t="str">
            <v>CLAUDIA MARIA BORGES COSTA PINTO</v>
          </cell>
          <cell r="D538" t="str">
            <v>PROFESSOR ADJUNTO</v>
          </cell>
        </row>
        <row r="539">
          <cell r="B539" t="str">
            <v>EMERSON DONAISKY</v>
          </cell>
          <cell r="D539" t="str">
            <v>COORD CURSO</v>
          </cell>
        </row>
        <row r="540">
          <cell r="B540" t="str">
            <v>NELISA SITA PIRES PICOLOTTO MARTIM</v>
          </cell>
          <cell r="D540" t="str">
            <v>PROFESSOR ADJUNTO</v>
          </cell>
        </row>
        <row r="541">
          <cell r="B541" t="str">
            <v>MOARA ZUCCHERELLI</v>
          </cell>
          <cell r="D541" t="str">
            <v>PROFESSOR ADJUNTO</v>
          </cell>
        </row>
        <row r="542">
          <cell r="B542" t="str">
            <v>UBALDINO DA ROSA FERREIRA FILHO</v>
          </cell>
          <cell r="D542" t="str">
            <v>PROFESSOR ASSISTENTE</v>
          </cell>
        </row>
        <row r="543">
          <cell r="B543" t="str">
            <v>FLAVIA BEUTING PEREIRA DE ALMEIDA</v>
          </cell>
          <cell r="D543" t="str">
            <v>ANL ADMINISTRATIVO PL</v>
          </cell>
        </row>
        <row r="544">
          <cell r="B544" t="str">
            <v>ERICSON PEREIRA</v>
          </cell>
          <cell r="D544" t="str">
            <v>COORD CURSO</v>
          </cell>
        </row>
        <row r="545">
          <cell r="B545" t="str">
            <v>CAMILA AMENT GIULIANI DOS SANTOS FRANCO</v>
          </cell>
          <cell r="D545" t="str">
            <v>COORD CURSO</v>
          </cell>
        </row>
        <row r="546">
          <cell r="B546" t="str">
            <v>RENATO SOLEIMAN FRANCO</v>
          </cell>
          <cell r="D546" t="str">
            <v>PROFESSOR ADJUNTO</v>
          </cell>
        </row>
        <row r="547">
          <cell r="B547" t="str">
            <v>ROBERTO SAMPAIO</v>
          </cell>
          <cell r="D547" t="str">
            <v>PROFESSOR ADJUNTO</v>
          </cell>
        </row>
        <row r="548">
          <cell r="B548" t="str">
            <v>ALEXANDRE MORAIS DOS SANTOS</v>
          </cell>
          <cell r="D548" t="str">
            <v>AST MANUTENCAO I</v>
          </cell>
        </row>
        <row r="549">
          <cell r="B549" t="str">
            <v>FABIO VINICIUS BINDER</v>
          </cell>
          <cell r="D549" t="str">
            <v>COORD CURSO</v>
          </cell>
        </row>
        <row r="550">
          <cell r="B550" t="str">
            <v>MIRIAN CELIA CASTELLAIN GUEBERT</v>
          </cell>
          <cell r="D550" t="str">
            <v>PROFESSOR ADJUNTO</v>
          </cell>
        </row>
        <row r="551">
          <cell r="B551" t="str">
            <v>EDELIZE CORREIA RIBEIRO DE OLIVEIRA</v>
          </cell>
          <cell r="D551" t="str">
            <v>AST EXECUTIVA II</v>
          </cell>
        </row>
        <row r="552">
          <cell r="B552" t="str">
            <v>LUCIANA ALVES FOGACA</v>
          </cell>
          <cell r="D552" t="str">
            <v>PROFESSOR ADJUNTO</v>
          </cell>
        </row>
        <row r="553">
          <cell r="B553" t="str">
            <v>JULIANA DEL SECCHI</v>
          </cell>
          <cell r="D553" t="str">
            <v>PROFESSOR TITULAR</v>
          </cell>
        </row>
        <row r="554">
          <cell r="B554" t="str">
            <v>JUNIO CESAR MANGONARO</v>
          </cell>
          <cell r="D554" t="str">
            <v>PROFESSOR ADJUNTO</v>
          </cell>
        </row>
        <row r="555">
          <cell r="B555" t="str">
            <v>ALCINDO PISSAIA JUNIOR</v>
          </cell>
          <cell r="D555" t="str">
            <v>PROFESSOR ADJUNTO</v>
          </cell>
        </row>
        <row r="556">
          <cell r="B556" t="str">
            <v>MARCO ANTONIO PEDRONI</v>
          </cell>
          <cell r="D556" t="str">
            <v>PROFESSOR ADJUNTO</v>
          </cell>
        </row>
        <row r="557">
          <cell r="B557" t="str">
            <v>RODRIGO ALVARENGA</v>
          </cell>
          <cell r="D557" t="str">
            <v>PROFESSOR ADJUNTO</v>
          </cell>
        </row>
        <row r="558">
          <cell r="B558" t="str">
            <v>VALERIA NATASCHA TEIXEIRA</v>
          </cell>
          <cell r="D558" t="str">
            <v>COORD CURSO</v>
          </cell>
        </row>
        <row r="559">
          <cell r="B559" t="str">
            <v>FERNANDA CRISTINA OSTROVSKI SALES</v>
          </cell>
          <cell r="D559" t="str">
            <v>COORD CURSO</v>
          </cell>
        </row>
        <row r="560">
          <cell r="B560" t="str">
            <v>LUCIANE HILU</v>
          </cell>
          <cell r="D560" t="str">
            <v>PROFESSOR TITULAR</v>
          </cell>
        </row>
        <row r="561">
          <cell r="B561" t="str">
            <v>CARLO RENATO BORGES</v>
          </cell>
          <cell r="D561" t="str">
            <v>PROFESSOR AUXILIAR</v>
          </cell>
        </row>
        <row r="562">
          <cell r="B562" t="str">
            <v>CARLOS EDUARDO CAMARGO</v>
          </cell>
          <cell r="D562" t="str">
            <v>PROFESSOR ADJUNTO</v>
          </cell>
        </row>
        <row r="563">
          <cell r="B563" t="str">
            <v>JULIANA SANTOS LEONARDI</v>
          </cell>
          <cell r="D563" t="str">
            <v>TEC LABORATORIO II (C/ AD-INS)</v>
          </cell>
        </row>
        <row r="564">
          <cell r="B564" t="str">
            <v>JEFFERSON LUIZ DE ALBUQUERQUE SANTOS</v>
          </cell>
          <cell r="D564" t="str">
            <v>AST MONITORAMENTO CFTV</v>
          </cell>
        </row>
        <row r="565">
          <cell r="B565" t="str">
            <v>RICARDO JOSE BERTIN</v>
          </cell>
          <cell r="D565" t="str">
            <v>PROFESSOR ADJUNTO</v>
          </cell>
        </row>
        <row r="566">
          <cell r="B566" t="str">
            <v>SIMONE CARRERA ALVES PEREIRA</v>
          </cell>
          <cell r="D566" t="str">
            <v>ANL ADMINISTRATIVO JR</v>
          </cell>
        </row>
        <row r="567">
          <cell r="B567" t="str">
            <v>ANDREIA CRISTINA SERRATO</v>
          </cell>
          <cell r="D567" t="str">
            <v>PROFESSOR ADJUNTO</v>
          </cell>
        </row>
        <row r="568">
          <cell r="B568" t="str">
            <v>EMILEIDE CRISTINA PERIN CANEDO</v>
          </cell>
          <cell r="D568" t="str">
            <v>ANL QUALIDADE PL</v>
          </cell>
        </row>
        <row r="569">
          <cell r="B569" t="str">
            <v>EDUARDO DAMIAO DA SILVA</v>
          </cell>
          <cell r="D569" t="str">
            <v>PROFESSOR TITULAR</v>
          </cell>
        </row>
        <row r="570">
          <cell r="B570" t="str">
            <v>ALINE CRISTINA BATISTA RODRIGUES</v>
          </cell>
          <cell r="D570" t="str">
            <v>COORD CURSO</v>
          </cell>
        </row>
        <row r="571">
          <cell r="B571" t="str">
            <v>REGINALDO ALICANDRO BORDIN</v>
          </cell>
          <cell r="D571" t="str">
            <v>PROFESSOR ADJUNTO</v>
          </cell>
        </row>
        <row r="572">
          <cell r="B572" t="str">
            <v>RAFAEL MENDONCA REY DOS SANTOS</v>
          </cell>
          <cell r="D572" t="str">
            <v>PROFESSOR ASSISTENTE</v>
          </cell>
        </row>
        <row r="573">
          <cell r="B573" t="str">
            <v>ROSIMARA DA SILVA FERRANTE</v>
          </cell>
          <cell r="D573" t="str">
            <v>COORD OPERACOES</v>
          </cell>
        </row>
        <row r="574">
          <cell r="B574" t="str">
            <v>CARLOS AUGUSTO CANDEO FONTANINI</v>
          </cell>
          <cell r="D574" t="str">
            <v>PROFESSOR ADJUNTO</v>
          </cell>
        </row>
        <row r="575">
          <cell r="B575" t="str">
            <v>CEZAR BUENO DE LIMA</v>
          </cell>
          <cell r="D575" t="str">
            <v>PROFESSOR ADJUNTO</v>
          </cell>
        </row>
        <row r="576">
          <cell r="B576" t="str">
            <v>LUCIENE MARTINS MOREIRA</v>
          </cell>
          <cell r="D576" t="str">
            <v>PROFESSOR ADJUNTO</v>
          </cell>
        </row>
        <row r="577">
          <cell r="B577" t="str">
            <v>JULIO CESAR DE SOUZA MOTA</v>
          </cell>
          <cell r="D577" t="str">
            <v>PROFESSOR TITULAR</v>
          </cell>
        </row>
        <row r="578">
          <cell r="B578" t="str">
            <v>ADRIANA MOCELIM</v>
          </cell>
          <cell r="D578" t="str">
            <v>PROFESSOR ADJUNTO</v>
          </cell>
        </row>
        <row r="579">
          <cell r="B579" t="str">
            <v>TIAGO FRANCESCONI</v>
          </cell>
          <cell r="D579" t="str">
            <v>DIR RELACIONAMENTO</v>
          </cell>
        </row>
        <row r="580">
          <cell r="B580" t="str">
            <v>SILVIA MARIA DE MORAES MONTEIRO PAZELLO</v>
          </cell>
          <cell r="D580" t="str">
            <v>PROFESSOR ADJUNTO</v>
          </cell>
        </row>
        <row r="581">
          <cell r="B581" t="str">
            <v>CAUE KRUGER</v>
          </cell>
          <cell r="D581" t="str">
            <v>PROFESSOR ASSISTENTE</v>
          </cell>
        </row>
        <row r="582">
          <cell r="B582" t="str">
            <v>VINICIUS GODOY DE MENDONCA</v>
          </cell>
          <cell r="D582" t="str">
            <v>PROFESSOR ADJUNTO</v>
          </cell>
        </row>
        <row r="583">
          <cell r="B583" t="str">
            <v>FABIO HENRIQUE FELTRIN</v>
          </cell>
          <cell r="D583" t="str">
            <v>GTE DE PLANEJAMENTO ESTRATEGICO</v>
          </cell>
        </row>
        <row r="584">
          <cell r="B584" t="str">
            <v>LEO PERUZZO JUNIOR</v>
          </cell>
          <cell r="D584" t="str">
            <v>PROFESSOR ADJUNTO</v>
          </cell>
        </row>
        <row r="585">
          <cell r="B585" t="str">
            <v>MARCIO LUIZ FERNANDES</v>
          </cell>
          <cell r="D585" t="str">
            <v>PROFESSOR ADJUNTO</v>
          </cell>
        </row>
        <row r="586">
          <cell r="B586" t="str">
            <v>DANIELE SAHEB PEDROSO</v>
          </cell>
          <cell r="D586" t="str">
            <v>COORD CURSO</v>
          </cell>
        </row>
        <row r="587">
          <cell r="B587" t="str">
            <v>GABRIELA GARCEZ DUARTE</v>
          </cell>
          <cell r="D587" t="str">
            <v>PROFESSOR ADJUNTO</v>
          </cell>
        </row>
        <row r="588">
          <cell r="B588" t="str">
            <v>SELMA WOYCIKIEWIZC</v>
          </cell>
          <cell r="D588" t="str">
            <v>PROFESSOR ADJUNTO</v>
          </cell>
        </row>
        <row r="589">
          <cell r="B589" t="str">
            <v>CASSIA MESSIAS PONS AYRES</v>
          </cell>
          <cell r="D589" t="str">
            <v>PROFESSOR ASSISTENTE</v>
          </cell>
        </row>
        <row r="590">
          <cell r="B590" t="str">
            <v>ALTAIR ROSA</v>
          </cell>
          <cell r="D590" t="str">
            <v>PROFESSOR ADJUNTO</v>
          </cell>
        </row>
        <row r="591">
          <cell r="B591" t="str">
            <v>GEZELDA CHRISTIANE MORAES</v>
          </cell>
          <cell r="D591" t="str">
            <v>PROFESSOR ASSISTENTE</v>
          </cell>
        </row>
        <row r="592">
          <cell r="B592" t="str">
            <v>EMERSON GABARDO</v>
          </cell>
          <cell r="D592" t="str">
            <v>PROFESSOR TITULAR</v>
          </cell>
        </row>
        <row r="593">
          <cell r="B593" t="str">
            <v>MAICRIS FERNANDES</v>
          </cell>
          <cell r="D593" t="str">
            <v>PROFESSOR ASSISTENTE</v>
          </cell>
        </row>
        <row r="594">
          <cell r="B594" t="str">
            <v>RAFAELA DA SILVA LIMONS DA CUNHA</v>
          </cell>
          <cell r="D594" t="str">
            <v>PROFESSOR ADJUNTO</v>
          </cell>
        </row>
        <row r="595">
          <cell r="B595" t="str">
            <v>KARINA DA SILVA MAGATAO</v>
          </cell>
          <cell r="D595" t="str">
            <v>COORD CURSO</v>
          </cell>
        </row>
        <row r="596">
          <cell r="B596" t="str">
            <v>ANGELA CRISTINA CARARO</v>
          </cell>
          <cell r="D596" t="str">
            <v>PROFESSOR ADJUNTO</v>
          </cell>
        </row>
        <row r="597">
          <cell r="B597" t="str">
            <v>ERNESTO LAZARO SIENNA</v>
          </cell>
          <cell r="D597" t="str">
            <v>COORD CURSO</v>
          </cell>
        </row>
        <row r="598">
          <cell r="B598" t="str">
            <v>ADALGISA APARECIDA DE OLIVEIRA GONCALVES</v>
          </cell>
          <cell r="D598" t="str">
            <v>PROFESSOR TITULAR</v>
          </cell>
        </row>
        <row r="599">
          <cell r="B599" t="str">
            <v>KELLY CRISTINA DA SILVA DISSENHA</v>
          </cell>
          <cell r="D599" t="str">
            <v>ANL OPERACOES ACADEMICAS PL</v>
          </cell>
        </row>
        <row r="600">
          <cell r="B600" t="str">
            <v>ZELIA SALETE DE SOUZA MELATO ALVES</v>
          </cell>
          <cell r="D600" t="str">
            <v>TEC LABORATORIO I (C/ AD-INS)</v>
          </cell>
        </row>
        <row r="601">
          <cell r="B601" t="str">
            <v>MICHELLE SOSTAG MERUVIA</v>
          </cell>
          <cell r="D601" t="str">
            <v>PROFESSOR ADJUNTO</v>
          </cell>
        </row>
        <row r="602">
          <cell r="B602" t="str">
            <v>MICHELLE FERNANDA SUSIN</v>
          </cell>
          <cell r="D602" t="str">
            <v>PROFESSOR ADJUNTO</v>
          </cell>
        </row>
        <row r="603">
          <cell r="B603" t="str">
            <v>SAULO HENRIQUE WEBER</v>
          </cell>
          <cell r="D603" t="str">
            <v>PROFESSOR ADJUNTO</v>
          </cell>
        </row>
        <row r="604">
          <cell r="B604" t="str">
            <v>LILIAN KORNIEVICZ KOSSAR</v>
          </cell>
          <cell r="D604" t="str">
            <v>ANL REGISTRO ACADEMICO PL</v>
          </cell>
        </row>
        <row r="605">
          <cell r="B605" t="str">
            <v>HSU YANG SHANG</v>
          </cell>
          <cell r="D605" t="str">
            <v>PROFESSOR ADJUNTO</v>
          </cell>
        </row>
        <row r="606">
          <cell r="B606" t="str">
            <v>CESAR ALMEIDA FILHO</v>
          </cell>
          <cell r="D606" t="str">
            <v>BIBLIOTECARIO SR</v>
          </cell>
        </row>
        <row r="607">
          <cell r="B607" t="str">
            <v>SILVANA DOS SANTOS MASETTO</v>
          </cell>
          <cell r="D607" t="str">
            <v>ESP FINANCEIRO</v>
          </cell>
        </row>
        <row r="608">
          <cell r="B608" t="str">
            <v>DAIANE CRISTINA PAZIN</v>
          </cell>
          <cell r="D608" t="str">
            <v>PROFESSOR ADJUNTO</v>
          </cell>
        </row>
        <row r="609">
          <cell r="B609" t="str">
            <v>TATIANA LORENA DA LUZ KAESTNER</v>
          </cell>
          <cell r="D609" t="str">
            <v>PROFESSOR ADJUNTO</v>
          </cell>
        </row>
        <row r="610">
          <cell r="B610" t="str">
            <v>MARIA ESTER CONTIN DE OLIVEIRA KLOSS</v>
          </cell>
          <cell r="D610" t="str">
            <v>PROFESSOR ADJUNTO</v>
          </cell>
        </row>
        <row r="611">
          <cell r="B611" t="str">
            <v>CASSIO PREIS</v>
          </cell>
          <cell r="D611" t="str">
            <v>PROFESSOR ADJUNTO</v>
          </cell>
        </row>
        <row r="612">
          <cell r="B612" t="str">
            <v>ELCIO MIGUEL PRUS</v>
          </cell>
          <cell r="D612" t="str">
            <v>ESP PROJETOS</v>
          </cell>
        </row>
        <row r="613">
          <cell r="B613" t="str">
            <v>EDUARDO FERNANDES BINS</v>
          </cell>
          <cell r="D613" t="str">
            <v>ANL PROJETOS E MELHORIA CONTINUA PL</v>
          </cell>
        </row>
        <row r="614">
          <cell r="B614" t="str">
            <v>PAULO DE PAULA BAPTISTA</v>
          </cell>
          <cell r="D614" t="str">
            <v>DECANO</v>
          </cell>
        </row>
        <row r="615">
          <cell r="B615" t="str">
            <v>WILLIAN GUSTAVO ZUCLINSKI</v>
          </cell>
          <cell r="D615" t="str">
            <v>ANL PROJETOS SR</v>
          </cell>
        </row>
        <row r="616">
          <cell r="B616" t="str">
            <v>WELLINGTON EVANDRO MARAFIGO</v>
          </cell>
          <cell r="D616" t="str">
            <v>COORD OPERACOES</v>
          </cell>
        </row>
        <row r="617">
          <cell r="B617" t="str">
            <v>PABLO GEORGIO DE SOUZA</v>
          </cell>
          <cell r="D617" t="str">
            <v>PROFESSOR ADJUNTO</v>
          </cell>
        </row>
        <row r="618">
          <cell r="B618" t="str">
            <v>MARILIA DELHY GAVA SANTOS</v>
          </cell>
          <cell r="D618" t="str">
            <v>ANL LABORATORIO JR GASTRONOMIA</v>
          </cell>
        </row>
        <row r="619">
          <cell r="B619" t="str">
            <v>KELLY CHRISTINE LANDOLFI BETTIO</v>
          </cell>
          <cell r="D619" t="str">
            <v>PROFESSOR ADJUNTO</v>
          </cell>
        </row>
        <row r="620">
          <cell r="B620" t="str">
            <v>GLAUCO VINICIUS DE FRANCA FURSTENBERGER</v>
          </cell>
          <cell r="D620" t="str">
            <v>PROFESSOR ASSISTENTE</v>
          </cell>
        </row>
        <row r="621">
          <cell r="B621" t="str">
            <v>CLEBER MACHADO DE SOUZA</v>
          </cell>
          <cell r="D621" t="str">
            <v>PROFESSOR ADJUNTO</v>
          </cell>
        </row>
        <row r="622">
          <cell r="B622" t="str">
            <v>KAROLINE MOREIRA BASTOS DE SOUZA</v>
          </cell>
          <cell r="D622" t="str">
            <v>ANL OPERACOES ACADEMICAS SR</v>
          </cell>
        </row>
        <row r="623">
          <cell r="B623" t="str">
            <v>RICARDO KURESKI</v>
          </cell>
          <cell r="D623" t="str">
            <v>PROFESSOR TITULAR</v>
          </cell>
        </row>
        <row r="624">
          <cell r="B624" t="str">
            <v>DEWEY MORETO WOLLMANN</v>
          </cell>
          <cell r="D624" t="str">
            <v>PROFESSOR TITULAR</v>
          </cell>
        </row>
        <row r="625">
          <cell r="B625" t="str">
            <v>GUILHERME NUNES NOGUEIRA NETO</v>
          </cell>
          <cell r="D625" t="str">
            <v>PROFESSOR ADJUNTO</v>
          </cell>
        </row>
        <row r="626">
          <cell r="B626" t="str">
            <v>RODRIGO OTAVIO SCHNEIDER RIBEIRO</v>
          </cell>
          <cell r="D626" t="str">
            <v>PROFESSOR ASSISTENTE</v>
          </cell>
        </row>
        <row r="627">
          <cell r="B627" t="str">
            <v>JOSIANE DE SOUZA LIMA</v>
          </cell>
          <cell r="D627" t="str">
            <v>AST BIBLIOTECA II</v>
          </cell>
        </row>
        <row r="628">
          <cell r="B628" t="str">
            <v>DEISE PARISE DOS SANTOS</v>
          </cell>
          <cell r="D628" t="str">
            <v>ANL PASTORAL PL</v>
          </cell>
        </row>
        <row r="629">
          <cell r="B629" t="str">
            <v>MOACIR FERNANDO CUNHA JUNIOR</v>
          </cell>
          <cell r="D629" t="str">
            <v>GTE CONVENIOS</v>
          </cell>
        </row>
        <row r="630">
          <cell r="B630" t="str">
            <v>HELINE SIVINI FERREIRA</v>
          </cell>
          <cell r="D630" t="str">
            <v>PROFESSOR ADJUNTO</v>
          </cell>
        </row>
        <row r="631">
          <cell r="B631" t="str">
            <v>FERNANDA RIBEIRO CAMARGO</v>
          </cell>
          <cell r="D631" t="str">
            <v>ANL REGISTRO ACADEMICO SR</v>
          </cell>
        </row>
        <row r="632">
          <cell r="B632" t="str">
            <v>MARCIO LUIZ BOBATO</v>
          </cell>
          <cell r="D632" t="str">
            <v>ANL TECNOLOGIA INFORMACAO PL</v>
          </cell>
        </row>
        <row r="633">
          <cell r="B633" t="str">
            <v>RENATO EVANDRO ORTOLAN DE REZENDE</v>
          </cell>
          <cell r="D633" t="str">
            <v>TEC LABORATORIO I (C/ AD-INS)</v>
          </cell>
        </row>
        <row r="634">
          <cell r="B634" t="str">
            <v>TACIARA CRISTINA MOMBACH</v>
          </cell>
          <cell r="D634" t="str">
            <v>TEC LABORATORIO I (C/ AD-INS)</v>
          </cell>
        </row>
        <row r="635">
          <cell r="B635" t="str">
            <v>ROMARIO SOUZA DO AMARAL</v>
          </cell>
          <cell r="D635" t="str">
            <v>TEC LABORATORIO II (S/ AD-INS)</v>
          </cell>
        </row>
        <row r="636">
          <cell r="B636" t="str">
            <v>GISLAINE DE OLIVEIRA GARCIA</v>
          </cell>
          <cell r="D636" t="str">
            <v>COORD PROCESSOS</v>
          </cell>
        </row>
        <row r="637">
          <cell r="B637" t="str">
            <v>JANAINA AMARAL MARQUES</v>
          </cell>
          <cell r="D637" t="str">
            <v>TEC LABORATORIO I (C/ AD-INS)</v>
          </cell>
        </row>
        <row r="638">
          <cell r="B638" t="str">
            <v>REGINA DOS SANTOS SCHELEIDER</v>
          </cell>
          <cell r="D638" t="str">
            <v>TEC LABORATORIO I (C/ AD-INS)</v>
          </cell>
        </row>
        <row r="639">
          <cell r="B639" t="str">
            <v>RODRIGO MORAES DA SILVEIRA</v>
          </cell>
          <cell r="D639" t="str">
            <v>PROFESSOR ADJUNTO</v>
          </cell>
        </row>
        <row r="640">
          <cell r="B640" t="str">
            <v>NICE MIKA SAKAMOTO KAMINARI</v>
          </cell>
          <cell r="D640" t="str">
            <v>PROFESSOR ADJUNTO</v>
          </cell>
        </row>
        <row r="641">
          <cell r="B641" t="str">
            <v>TALITA CRISTINA FIDELIS PEREIRA BIAGI</v>
          </cell>
          <cell r="D641" t="str">
            <v>PROFESSOR ADJUNTO</v>
          </cell>
        </row>
        <row r="642">
          <cell r="B642" t="str">
            <v>HUMBERTO MACIEL FRANCA MADEIRA</v>
          </cell>
          <cell r="D642" t="str">
            <v>PROFESSOR TITULAR</v>
          </cell>
        </row>
        <row r="643">
          <cell r="B643" t="str">
            <v>ARTUR DE FRANCA MITTELBACH</v>
          </cell>
          <cell r="D643" t="str">
            <v>PROFESSOR ASSISTENTE</v>
          </cell>
        </row>
        <row r="644">
          <cell r="B644" t="str">
            <v>KELLY MAZUTTI MONTEIRO</v>
          </cell>
          <cell r="D644" t="str">
            <v>PROFESSOR ADJUNTO</v>
          </cell>
        </row>
        <row r="645">
          <cell r="B645" t="str">
            <v>KEITH MARY DE SOUZA SATO URBINATI</v>
          </cell>
          <cell r="D645" t="str">
            <v>PROFESSOR ASSISTENTE</v>
          </cell>
        </row>
        <row r="646">
          <cell r="B646" t="str">
            <v>ELIANE CRISTINE FRANCISCO MAFFEZZOLLI</v>
          </cell>
          <cell r="D646" t="str">
            <v>PROFESSOR TITULAR</v>
          </cell>
        </row>
        <row r="647">
          <cell r="B647" t="str">
            <v>FABIO TEODORO DE SOUZA</v>
          </cell>
          <cell r="D647" t="str">
            <v>PROFESSOR ADJUNTO</v>
          </cell>
        </row>
        <row r="648">
          <cell r="B648" t="str">
            <v>MIRIAM IZOLINA PADOIN DALLA ROSA</v>
          </cell>
          <cell r="D648" t="str">
            <v>PROFESSOR ASSISTENTE</v>
          </cell>
        </row>
        <row r="649">
          <cell r="B649" t="str">
            <v>RODRIGO FREESE GONZATTO</v>
          </cell>
          <cell r="D649" t="str">
            <v>PROFESSOR ADJUNTO</v>
          </cell>
        </row>
        <row r="650">
          <cell r="B650" t="str">
            <v>OSNY DE BARROS JUNIOR</v>
          </cell>
          <cell r="D650" t="str">
            <v>PROFESSOR AUXILIAR</v>
          </cell>
        </row>
        <row r="651">
          <cell r="B651" t="str">
            <v>FABIO ROCHA FARIAS</v>
          </cell>
          <cell r="D651" t="str">
            <v>PROFESSOR ASSISTENTE</v>
          </cell>
        </row>
        <row r="652">
          <cell r="B652" t="str">
            <v>MARCO ANTONIO GONZALEZ MORAES</v>
          </cell>
          <cell r="D652" t="str">
            <v>PROFESSOR ASSISTENTE</v>
          </cell>
        </row>
        <row r="653">
          <cell r="B653" t="str">
            <v>CARLOS AUGUSTO HENNING LAURINDO</v>
          </cell>
          <cell r="D653" t="str">
            <v>PROFESSOR ADJUNTO</v>
          </cell>
        </row>
        <row r="654">
          <cell r="B654" t="str">
            <v>HENRIQUE CECILIATO DE CARVALHO</v>
          </cell>
          <cell r="D654" t="str">
            <v>PROFESSOR ADJUNTO</v>
          </cell>
        </row>
        <row r="655">
          <cell r="B655" t="str">
            <v>LUCIMARY DE CASTRO SYLVESTRE</v>
          </cell>
          <cell r="D655" t="str">
            <v>PROFESSOR ADJUNTO</v>
          </cell>
        </row>
        <row r="656">
          <cell r="B656" t="str">
            <v>IDIANA MARINA DALASTRA</v>
          </cell>
          <cell r="D656" t="str">
            <v>PROFESSOR ASSISTENTE</v>
          </cell>
        </row>
        <row r="657">
          <cell r="B657" t="str">
            <v>GEOVANI VIOLA MORETTO</v>
          </cell>
          <cell r="D657" t="str">
            <v>COORD CURSO</v>
          </cell>
        </row>
        <row r="658">
          <cell r="B658" t="str">
            <v>RAQUEL PASTERNAK GLITZ KOWALSKI</v>
          </cell>
          <cell r="D658" t="str">
            <v>PROFESSOR ADJUNTO</v>
          </cell>
        </row>
        <row r="659">
          <cell r="B659" t="str">
            <v>ALEXANDRE LUIS MULLER</v>
          </cell>
          <cell r="D659" t="str">
            <v>PROFESSOR ADJUNTO</v>
          </cell>
        </row>
        <row r="660">
          <cell r="B660" t="str">
            <v>THYAGO PROENCA DE MORAES</v>
          </cell>
          <cell r="D660" t="str">
            <v>PROFESSOR ADJUNTO</v>
          </cell>
        </row>
        <row r="661">
          <cell r="B661" t="str">
            <v>PATRICIA LONGHI BUSO</v>
          </cell>
          <cell r="D661" t="str">
            <v>PROFESSOR ASSISTENTE</v>
          </cell>
        </row>
        <row r="662">
          <cell r="B662" t="str">
            <v>DANIELI VALLE</v>
          </cell>
          <cell r="D662" t="str">
            <v>ANL TECNOLOGIA EDUCACIONAL PL</v>
          </cell>
        </row>
        <row r="663">
          <cell r="B663" t="str">
            <v>SIRLENE DONAISKI MOTIN</v>
          </cell>
          <cell r="D663" t="str">
            <v>ANL TECNOLOGIA EDUCACIONAL SR</v>
          </cell>
        </row>
        <row r="664">
          <cell r="B664" t="str">
            <v>GRACE KELLY DE MELO CLAUDINO</v>
          </cell>
          <cell r="D664" t="str">
            <v>ANL PROJETOS E MELHORIA CONTINUA PL</v>
          </cell>
        </row>
        <row r="665">
          <cell r="B665" t="str">
            <v>FLUVIO CARDINELLE OLIVEIRA GARCIA</v>
          </cell>
          <cell r="D665" t="str">
            <v>PROFESSOR ADJUNTO</v>
          </cell>
        </row>
        <row r="666">
          <cell r="B666" t="str">
            <v>MARINA FIGUEIREDO MULLER</v>
          </cell>
          <cell r="D666" t="str">
            <v>PROFESSOR ADJUNTO</v>
          </cell>
        </row>
        <row r="667">
          <cell r="B667" t="str">
            <v>JULIANA DE OLIVEIRA SOUZA</v>
          </cell>
          <cell r="D667" t="str">
            <v>ESP IDENTIDADE INSTITUCIONAL</v>
          </cell>
        </row>
        <row r="668">
          <cell r="B668" t="str">
            <v>PAULO GUSTAVO KOTZE</v>
          </cell>
          <cell r="D668" t="str">
            <v>PROFESSOR ADJUNTO</v>
          </cell>
        </row>
        <row r="669">
          <cell r="B669" t="str">
            <v>SILVANE MONTE MACHADO GONÇALVES</v>
          </cell>
          <cell r="D669" t="str">
            <v>ESP PROJETOS</v>
          </cell>
        </row>
        <row r="670">
          <cell r="B670" t="str">
            <v>MARCOS LUIS FERREIRA LUZ</v>
          </cell>
          <cell r="D670" t="str">
            <v>ANL PATRIMONIO IMOBILIARIO PL</v>
          </cell>
        </row>
        <row r="671">
          <cell r="B671" t="str">
            <v>JOAO JULIANI</v>
          </cell>
          <cell r="D671" t="str">
            <v>PROFESSOR ADJUNTO</v>
          </cell>
        </row>
        <row r="672">
          <cell r="B672" t="str">
            <v>DARLI DE FATIMA SAMPAIO</v>
          </cell>
          <cell r="D672" t="str">
            <v>PROFESSOR ASSISTENTE</v>
          </cell>
        </row>
        <row r="673">
          <cell r="B673" t="str">
            <v>ROSIMERI SIRLEI CRUZ</v>
          </cell>
          <cell r="D673" t="str">
            <v>ANL ADMINISTRATIVO PL</v>
          </cell>
        </row>
        <row r="674">
          <cell r="B674" t="str">
            <v>JOSIANE DA CUNHA RODRIGUES PIETRASKO</v>
          </cell>
          <cell r="D674" t="str">
            <v>TEC LABORATORIO II (C/ AD-INS)</v>
          </cell>
        </row>
        <row r="675">
          <cell r="B675" t="str">
            <v>POLLYANA MARA SCHLENKER</v>
          </cell>
          <cell r="D675" t="str">
            <v>ANL ADMINISTRATIVO PL</v>
          </cell>
        </row>
        <row r="676">
          <cell r="B676" t="str">
            <v>VIVIANE PEREIRA DOS SANTOS RUHOFF</v>
          </cell>
          <cell r="D676" t="str">
            <v>ANL PASTORAL JR</v>
          </cell>
        </row>
        <row r="677">
          <cell r="B677" t="str">
            <v>EDUARDO DE CASTRO NUNES</v>
          </cell>
          <cell r="D677" t="str">
            <v>AST ATENDIMENTO</v>
          </cell>
        </row>
        <row r="678">
          <cell r="B678" t="str">
            <v>ELZELI VASCONCELOS DE ALMEIDA</v>
          </cell>
          <cell r="D678" t="str">
            <v>AST ATENDIMENTO</v>
          </cell>
        </row>
        <row r="679">
          <cell r="B679" t="str">
            <v>LUIS DARIO SEPULVEDA</v>
          </cell>
          <cell r="D679" t="str">
            <v>PROFESSOR ASSISTENTE</v>
          </cell>
        </row>
        <row r="680">
          <cell r="B680" t="str">
            <v>FLAVIA MARIA DE PAULA SOARES</v>
          </cell>
          <cell r="D680" t="str">
            <v>PROFESSOR ASSISTENTE</v>
          </cell>
        </row>
        <row r="681">
          <cell r="B681" t="str">
            <v>CARLOS ALBERTO FERNANDES BALTAR</v>
          </cell>
          <cell r="D681" t="str">
            <v>PROFESSOR ASSISTENTE</v>
          </cell>
        </row>
        <row r="682">
          <cell r="B682" t="str">
            <v>MAUREN ABREU DE SOUZA</v>
          </cell>
          <cell r="D682" t="str">
            <v>PROFESSOR ADJUNTO</v>
          </cell>
        </row>
        <row r="683">
          <cell r="B683" t="str">
            <v>JESSICA FAGUNDES DOS REIS</v>
          </cell>
          <cell r="D683" t="str">
            <v>COORD QUALIDADE</v>
          </cell>
        </row>
        <row r="684">
          <cell r="B684" t="str">
            <v>NEOLI LUCYSZYN SUCKOW</v>
          </cell>
          <cell r="D684" t="str">
            <v>PROFESSOR ADJUNTO</v>
          </cell>
        </row>
        <row r="685">
          <cell r="B685" t="str">
            <v>SHELDON RODRIGO BOTOGOSKI</v>
          </cell>
          <cell r="D685" t="str">
            <v>PROFESSOR ADJUNTO</v>
          </cell>
        </row>
        <row r="686">
          <cell r="B686" t="str">
            <v>RENATA IANI WERNECK</v>
          </cell>
          <cell r="D686" t="str">
            <v>PROFESSOR ADJUNTO</v>
          </cell>
        </row>
        <row r="687">
          <cell r="B687" t="str">
            <v>JEAN RODRIGO TAFAREL</v>
          </cell>
          <cell r="D687" t="str">
            <v>COORD CURSO</v>
          </cell>
        </row>
        <row r="688">
          <cell r="B688" t="str">
            <v>GIBRAN AVELINO FRANDOLOSO</v>
          </cell>
          <cell r="D688" t="str">
            <v>PROFESSOR ASSISTENTE</v>
          </cell>
        </row>
        <row r="689">
          <cell r="B689" t="str">
            <v>LIZ RIBEIRO WALLIM</v>
          </cell>
          <cell r="D689" t="str">
            <v>PROFESSOR AUXILIAR</v>
          </cell>
        </row>
        <row r="690">
          <cell r="B690" t="str">
            <v>JOSE AUGUSTO RIBAS FORTES</v>
          </cell>
          <cell r="D690" t="str">
            <v>PROFESSOR ASSISTENTE</v>
          </cell>
        </row>
        <row r="691">
          <cell r="B691" t="str">
            <v>VANIA GOMES DOS SANTOS</v>
          </cell>
          <cell r="D691" t="str">
            <v>AST BIBLIOTECA I</v>
          </cell>
        </row>
        <row r="692">
          <cell r="B692" t="str">
            <v>PAULO HENRIQUE ZINK</v>
          </cell>
          <cell r="D692" t="str">
            <v>TEC LABORATORIO II (C/ AD-INS)</v>
          </cell>
        </row>
        <row r="693">
          <cell r="B693" t="str">
            <v>BRUNO MENESES LORENZETTO</v>
          </cell>
          <cell r="D693" t="str">
            <v>PROFESSOR ADJUNTO</v>
          </cell>
        </row>
        <row r="694">
          <cell r="B694" t="str">
            <v>LUIZ GUSTAVO PUJOL</v>
          </cell>
          <cell r="D694" t="str">
            <v>PROFESSOR ASSISTENTE</v>
          </cell>
        </row>
        <row r="695">
          <cell r="B695" t="str">
            <v>PATRICIA REGINA PIASECKI CUSTODIO</v>
          </cell>
          <cell r="D695" t="str">
            <v>PROFESSOR AUXILIAR</v>
          </cell>
        </row>
        <row r="696">
          <cell r="B696" t="str">
            <v>MARILENE LOPES DE MENEZES</v>
          </cell>
          <cell r="D696" t="str">
            <v>ANL PROJETOS EDUCACIONAIS PL</v>
          </cell>
        </row>
        <row r="697">
          <cell r="B697" t="str">
            <v>RENNE LEONARDO SANT ANA GOMIERO</v>
          </cell>
          <cell r="D697" t="str">
            <v>PROFESSOR ASSISTENTE</v>
          </cell>
        </row>
        <row r="698">
          <cell r="B698" t="str">
            <v>PATRICIA BONILAURI SENS MONKEN</v>
          </cell>
          <cell r="D698" t="str">
            <v>ANL FINANCEIRO SR</v>
          </cell>
        </row>
        <row r="699">
          <cell r="B699" t="str">
            <v>ADRIANO FERNANDO DE SOUZA</v>
          </cell>
          <cell r="D699" t="str">
            <v>COORD OPERACOES</v>
          </cell>
        </row>
        <row r="700">
          <cell r="B700" t="str">
            <v>ANA PAULA VICENTE DE MATTOS</v>
          </cell>
          <cell r="D700" t="str">
            <v>ANL FINANCEIRO PL</v>
          </cell>
        </row>
        <row r="701">
          <cell r="B701" t="str">
            <v>GUILHERME DE QUEIROZ MATYNIAK</v>
          </cell>
          <cell r="D701" t="str">
            <v>COORD ATENDIMENTO</v>
          </cell>
        </row>
        <row r="702">
          <cell r="B702" t="str">
            <v>DANIELLE CRISTINA DA SILVA</v>
          </cell>
          <cell r="D702" t="str">
            <v>TEC ENFERMAGEM</v>
          </cell>
        </row>
        <row r="703">
          <cell r="B703" t="str">
            <v>SUZANA SIKORA PISKA</v>
          </cell>
          <cell r="D703" t="str">
            <v>ADVOGADO SR</v>
          </cell>
        </row>
        <row r="704">
          <cell r="B704" t="str">
            <v>MARGARETE WINKLER MARQUES MACHADO</v>
          </cell>
          <cell r="D704" t="str">
            <v>PROFESSOR AUXILIAR</v>
          </cell>
        </row>
        <row r="705">
          <cell r="B705" t="str">
            <v>MARCELO DAUDT VON DER HEYDE</v>
          </cell>
          <cell r="D705" t="str">
            <v>PROFESSOR AUXILIAR</v>
          </cell>
        </row>
        <row r="706">
          <cell r="B706" t="str">
            <v>CARLOS ALEXANDRE TWARDOWSCHY</v>
          </cell>
          <cell r="D706" t="str">
            <v>PROFESSOR ADJUNTO</v>
          </cell>
        </row>
        <row r="707">
          <cell r="B707" t="str">
            <v>FLAVIO HEUTA IVANO</v>
          </cell>
          <cell r="D707" t="str">
            <v>PROFESSOR ADJUNTO</v>
          </cell>
        </row>
        <row r="708">
          <cell r="B708" t="str">
            <v>HELLEN JAQUELINE SAUER DE MORAES</v>
          </cell>
          <cell r="D708" t="str">
            <v>ANL ATENDIMENTO PL</v>
          </cell>
        </row>
        <row r="709">
          <cell r="B709" t="str">
            <v>VALMIR ROGERIO ZAMPERLINE</v>
          </cell>
          <cell r="D709" t="str">
            <v>ANL OPERACOES ACADEMICAS PL</v>
          </cell>
        </row>
        <row r="710">
          <cell r="B710" t="str">
            <v>ADRIANE DO ROCIO NOGUEIRA</v>
          </cell>
          <cell r="D710" t="str">
            <v>ESP PLANEJAMENTO</v>
          </cell>
        </row>
        <row r="711">
          <cell r="B711" t="str">
            <v>MICHELL DE ALMEIDA RAMOS</v>
          </cell>
          <cell r="D711" t="str">
            <v>TEC LABORATORIO II (S/ AD-INS)</v>
          </cell>
        </row>
        <row r="712">
          <cell r="B712" t="str">
            <v>MARCOS ROBERTO GARCIA</v>
          </cell>
          <cell r="D712" t="str">
            <v>COORD CURSO</v>
          </cell>
        </row>
        <row r="713">
          <cell r="B713" t="str">
            <v>FERNANDO BITTENCOURT LUCIANO</v>
          </cell>
          <cell r="D713" t="str">
            <v>PROFESSOR ADJUNTO</v>
          </cell>
        </row>
        <row r="714">
          <cell r="B714" t="str">
            <v>HUGO DIAS AMARO</v>
          </cell>
          <cell r="D714" t="str">
            <v>COORD CURSO</v>
          </cell>
        </row>
        <row r="715">
          <cell r="B715" t="str">
            <v>EDUARDO MENDONCA SCHEEREN</v>
          </cell>
          <cell r="D715" t="str">
            <v>PROFESSOR ADJUNTO</v>
          </cell>
        </row>
        <row r="716">
          <cell r="B716" t="str">
            <v>FRANCISCO BARTOSIEVICZ NETTO</v>
          </cell>
          <cell r="D716" t="str">
            <v>PROFESSOR ADJUNTO</v>
          </cell>
        </row>
        <row r="717">
          <cell r="B717" t="str">
            <v>ADRIANA MARTELLO VALERO</v>
          </cell>
          <cell r="D717" t="str">
            <v>COORD CURSO</v>
          </cell>
        </row>
        <row r="718">
          <cell r="B718" t="str">
            <v>MAURO PELLISSARI</v>
          </cell>
          <cell r="D718" t="str">
            <v>PROFESSOR ASSISTENTE</v>
          </cell>
        </row>
        <row r="719">
          <cell r="B719" t="str">
            <v>LINIZAI LERIKA SANTOS</v>
          </cell>
          <cell r="D719" t="str">
            <v>ANL OPERACOES ACADEMICAS SR</v>
          </cell>
        </row>
        <row r="720">
          <cell r="B720" t="str">
            <v>CLAUDETE MARIA ZACLIKEVIC</v>
          </cell>
          <cell r="D720" t="str">
            <v>PROFESSOR ASSISTENTE</v>
          </cell>
        </row>
        <row r="721">
          <cell r="B721" t="str">
            <v>JULIANO MUNIK BORA</v>
          </cell>
          <cell r="D721" t="str">
            <v>PROFESSOR ASSISTENTE</v>
          </cell>
        </row>
        <row r="722">
          <cell r="B722" t="str">
            <v>RAQUEL CAVALCANTE CABRAL</v>
          </cell>
          <cell r="D722" t="str">
            <v>PROFESSOR ASSISTENTE</v>
          </cell>
        </row>
        <row r="723">
          <cell r="B723" t="str">
            <v>VALDIR BORGES</v>
          </cell>
          <cell r="D723" t="str">
            <v>PROFESSOR ADJUNTO</v>
          </cell>
        </row>
        <row r="724">
          <cell r="B724" t="str">
            <v>MARCO ANTONIO PALUDO</v>
          </cell>
          <cell r="D724" t="str">
            <v>DECANO</v>
          </cell>
        </row>
        <row r="725">
          <cell r="B725" t="str">
            <v>MAISA KELLY NODARI</v>
          </cell>
          <cell r="D725" t="str">
            <v>PROFESSOR ADJUNTO</v>
          </cell>
        </row>
        <row r="726">
          <cell r="B726" t="str">
            <v>VALTER FREITAS</v>
          </cell>
          <cell r="D726" t="str">
            <v>PROFESSOR ADJUNTO</v>
          </cell>
        </row>
        <row r="727">
          <cell r="B727" t="str">
            <v>FRED CARLOS TREVISAN</v>
          </cell>
          <cell r="D727" t="str">
            <v>PROFESSOR ASSISTENTE</v>
          </cell>
        </row>
        <row r="728">
          <cell r="B728" t="str">
            <v>ANDERSON LUIS SZEJKA</v>
          </cell>
          <cell r="D728" t="str">
            <v>DIR ADJ NEGOCIOS</v>
          </cell>
        </row>
        <row r="729">
          <cell r="B729" t="str">
            <v>SORAYA DE AZAMBUJA BERTI COUTO</v>
          </cell>
          <cell r="D729" t="str">
            <v>PROFESSOR ADJUNTO</v>
          </cell>
        </row>
        <row r="730">
          <cell r="B730" t="str">
            <v>JOAO CARLOS MINOZZO</v>
          </cell>
          <cell r="D730" t="str">
            <v>PROFESSOR ADJUNTO</v>
          </cell>
        </row>
        <row r="731">
          <cell r="B731" t="str">
            <v>GRAZIELA SAPIENZA</v>
          </cell>
          <cell r="D731" t="str">
            <v>PROFESSOR ADJUNTO</v>
          </cell>
        </row>
        <row r="732">
          <cell r="B732" t="str">
            <v>FERNANDA PAMPUCH DE FARIA</v>
          </cell>
          <cell r="D732" t="str">
            <v>ANL ADMINISTRATIVO SR</v>
          </cell>
        </row>
        <row r="733">
          <cell r="B733" t="str">
            <v>EDUARDO MURILO NOVAK</v>
          </cell>
          <cell r="D733" t="str">
            <v>PROFESSOR ADJUNTO</v>
          </cell>
        </row>
        <row r="734">
          <cell r="B734" t="str">
            <v>LEONARDO GONCALVES RODRIGUES DA SILVA</v>
          </cell>
          <cell r="D734" t="str">
            <v>COORD CURSO</v>
          </cell>
        </row>
        <row r="735">
          <cell r="B735" t="str">
            <v>MARINA RUTZ MULLER ZIPPERER</v>
          </cell>
          <cell r="D735" t="str">
            <v>GTE AMERICAN ACADEMY</v>
          </cell>
        </row>
        <row r="736">
          <cell r="B736" t="str">
            <v>JULIANO GASPARETTO</v>
          </cell>
          <cell r="D736" t="str">
            <v>DIR HOSPITAL</v>
          </cell>
        </row>
        <row r="737">
          <cell r="B737" t="str">
            <v>JOSELAINE VALASKI</v>
          </cell>
          <cell r="D737" t="str">
            <v>COORD CURSO</v>
          </cell>
        </row>
        <row r="738">
          <cell r="B738" t="str">
            <v>BRUNO AUGUSTO HASENAUER ZAITTER</v>
          </cell>
          <cell r="D738" t="str">
            <v>PROFESSOR ADJUNTO</v>
          </cell>
        </row>
        <row r="739">
          <cell r="B739" t="str">
            <v>CARLOS ALBERTO MATTOZO</v>
          </cell>
          <cell r="D739" t="str">
            <v>PROFESSOR ASSISTENTE</v>
          </cell>
        </row>
        <row r="740">
          <cell r="B740" t="str">
            <v>RAFAEL RODRIGUES GUIMARAES WOLLMANN</v>
          </cell>
          <cell r="D740" t="str">
            <v>PROFESSOR ASSISTENTE</v>
          </cell>
        </row>
        <row r="741">
          <cell r="B741" t="str">
            <v>ANGELA CRISTINA RAIMONDI</v>
          </cell>
          <cell r="D741" t="str">
            <v>PROFESSOR ADJUNTO</v>
          </cell>
        </row>
        <row r="742">
          <cell r="B742" t="str">
            <v>CAROLINA BITTENCOURT WOLF NIKKEL</v>
          </cell>
          <cell r="D742" t="str">
            <v>PROFESSOR LINGUA ESTRANGEIRA</v>
          </cell>
        </row>
        <row r="743">
          <cell r="B743" t="str">
            <v>JULIANA VERMELHO MARTINS</v>
          </cell>
          <cell r="D743" t="str">
            <v>PROFESSOR LINGUA ESTRANGEIRA</v>
          </cell>
        </row>
        <row r="744">
          <cell r="B744" t="str">
            <v>LILEANE DA PIEDADE GUERCHEWSKI PISSAIA</v>
          </cell>
          <cell r="D744" t="str">
            <v>PROFESSOR LINGUA ESTRANGEIRA</v>
          </cell>
        </row>
        <row r="745">
          <cell r="B745" t="str">
            <v>ALEXA NOHEMY SOMOZA RUDNIAK</v>
          </cell>
          <cell r="D745" t="str">
            <v>PROFESSOR LINGUA ESTRANGEIRA</v>
          </cell>
        </row>
        <row r="746">
          <cell r="B746" t="str">
            <v>MARTA MATILDE LUCHESA</v>
          </cell>
          <cell r="D746" t="str">
            <v>PROFESSOR LINGUA ESTRANGEIRA</v>
          </cell>
        </row>
        <row r="747">
          <cell r="B747" t="str">
            <v>SILMARA CARDOZO DA ROCHA</v>
          </cell>
          <cell r="D747" t="str">
            <v>PROFESSOR LINGUA ESTRANGEIRA</v>
          </cell>
        </row>
        <row r="748">
          <cell r="B748" t="str">
            <v>GABRIELA LENFERS CHAVES</v>
          </cell>
          <cell r="D748" t="str">
            <v>PROFESSOR LINGUA ESTRANGEIRA</v>
          </cell>
        </row>
        <row r="749">
          <cell r="B749" t="str">
            <v>GUSTAVO GAVAZZONI BLUME</v>
          </cell>
          <cell r="D749" t="str">
            <v>PROFESSOR ASSISTENTE</v>
          </cell>
        </row>
        <row r="750">
          <cell r="B750" t="str">
            <v>PATRICIA MARTIN</v>
          </cell>
          <cell r="D750" t="str">
            <v>PROFESSOR ADJUNTO</v>
          </cell>
        </row>
        <row r="751">
          <cell r="B751" t="str">
            <v>FRANCINE VALENGA</v>
          </cell>
          <cell r="D751" t="str">
            <v>COORD CURSO</v>
          </cell>
        </row>
        <row r="752">
          <cell r="B752" t="str">
            <v>RAFAEL WEISSHEIMER</v>
          </cell>
          <cell r="D752" t="str">
            <v>PROFESSOR AUXILIAR</v>
          </cell>
        </row>
        <row r="753">
          <cell r="B753" t="str">
            <v>PAULO RICARDO FRANCIOZI GOIS</v>
          </cell>
          <cell r="D753" t="str">
            <v>PROFESSOR ASSISTENTE</v>
          </cell>
        </row>
        <row r="754">
          <cell r="B754" t="str">
            <v>DEBORA ESTER FEOLA BANA</v>
          </cell>
          <cell r="D754" t="str">
            <v>COORD PROJETOS COMUNITARIOS</v>
          </cell>
        </row>
        <row r="755">
          <cell r="B755" t="str">
            <v>ROSENILDA APARECIDA PAES FERREIRA</v>
          </cell>
          <cell r="D755" t="str">
            <v>AST BIBLIOTECA II</v>
          </cell>
        </row>
        <row r="756">
          <cell r="B756" t="str">
            <v>ALINE BURBELLO SAMPAIO</v>
          </cell>
          <cell r="D756" t="str">
            <v>ANL CONTROLADORIA SR</v>
          </cell>
        </row>
        <row r="757">
          <cell r="B757" t="str">
            <v>MARJORIE SUIDER</v>
          </cell>
          <cell r="D757" t="str">
            <v>COORD PROJETOS ENGENHARIA</v>
          </cell>
        </row>
        <row r="758">
          <cell r="B758" t="str">
            <v>SUSANNE CRISTINE PERTSCHI BORGES</v>
          </cell>
          <cell r="D758" t="str">
            <v>DECANO</v>
          </cell>
        </row>
        <row r="759">
          <cell r="B759" t="str">
            <v>VANESSA SELESTINO PEREIRA</v>
          </cell>
          <cell r="D759" t="str">
            <v>ANL OPERACOES ACADEMICAS JR</v>
          </cell>
        </row>
        <row r="760">
          <cell r="B760" t="str">
            <v>JOSE CARLOS PAUKSCIO</v>
          </cell>
          <cell r="D760" t="str">
            <v>AST MANUTENCAO I</v>
          </cell>
        </row>
        <row r="761">
          <cell r="B761" t="str">
            <v>JOEL PEREIRA DA SILVA</v>
          </cell>
          <cell r="D761" t="str">
            <v>TEC LABORATORIO II (C/ AD-INS)</v>
          </cell>
        </row>
        <row r="762">
          <cell r="B762" t="str">
            <v>MADLAINE DO ROCIO CARDOSO</v>
          </cell>
          <cell r="D762" t="str">
            <v>ANL ADM MARKETING PL</v>
          </cell>
        </row>
        <row r="763">
          <cell r="B763" t="str">
            <v>GISELLE HARUMI NIEKAWA</v>
          </cell>
          <cell r="D763" t="str">
            <v>ANL ADMINISTRATIVO PL</v>
          </cell>
        </row>
        <row r="764">
          <cell r="B764" t="str">
            <v>LIDIANE MARIA BOLDRINI LEITE</v>
          </cell>
          <cell r="D764" t="str">
            <v>ANL CULTURA CELULAR PL</v>
          </cell>
        </row>
        <row r="765">
          <cell r="B765" t="str">
            <v>DEBORA REGINA DAGA</v>
          </cell>
          <cell r="D765" t="str">
            <v>ANL CULTURA CELULAR PL</v>
          </cell>
        </row>
        <row r="766">
          <cell r="B766" t="str">
            <v>ELIANE PINHEIRO DE SOUZA</v>
          </cell>
          <cell r="D766" t="str">
            <v>ANL FINANCEIRO JR</v>
          </cell>
        </row>
        <row r="767">
          <cell r="B767" t="str">
            <v>JOAO GUSTAVO DA SILVA FREIRE RITTER</v>
          </cell>
          <cell r="D767" t="str">
            <v>PROFESSOR ASSISTENTE</v>
          </cell>
        </row>
        <row r="768">
          <cell r="B768" t="str">
            <v>MARCIANO DE ALMEIDA CUNHA</v>
          </cell>
          <cell r="D768" t="str">
            <v>PROFESSOR ADJUNTO</v>
          </cell>
        </row>
        <row r="769">
          <cell r="B769" t="str">
            <v>MARI REGINA ANASTACIO</v>
          </cell>
          <cell r="D769" t="str">
            <v>PROFESSOR ASSISTENTE</v>
          </cell>
        </row>
        <row r="770">
          <cell r="B770" t="str">
            <v>SOLANGE DE LIMA BARBOSA</v>
          </cell>
          <cell r="D770" t="str">
            <v>PROFESSOR ADJUNTO</v>
          </cell>
        </row>
        <row r="771">
          <cell r="B771" t="str">
            <v>UBIRATA TORTATO</v>
          </cell>
          <cell r="D771" t="str">
            <v>PROFESSOR TITULAR</v>
          </cell>
        </row>
        <row r="772">
          <cell r="B772" t="str">
            <v>VILMAR RODRIGUES MOREIRA</v>
          </cell>
          <cell r="D772" t="str">
            <v>PROFESSOR TITULAR</v>
          </cell>
        </row>
        <row r="773">
          <cell r="B773" t="str">
            <v>VALESCA WALESKO</v>
          </cell>
          <cell r="D773" t="str">
            <v>ESP AMERICAN ACADEMY</v>
          </cell>
        </row>
        <row r="774">
          <cell r="B774" t="str">
            <v>DANI JULIANO CZELUSNIAK</v>
          </cell>
          <cell r="D774" t="str">
            <v>PROFESSOR ADJUNTO</v>
          </cell>
        </row>
        <row r="775">
          <cell r="B775" t="str">
            <v>ROSIMEIRE SEDREZ BITENCOURT</v>
          </cell>
          <cell r="D775" t="str">
            <v>PROFESSOR ADJUNTO</v>
          </cell>
        </row>
        <row r="776">
          <cell r="B776" t="str">
            <v>FULVY ANTONELLA VENTURI PEREIRA</v>
          </cell>
          <cell r="D776" t="str">
            <v>PROFESSOR ADJUNTO</v>
          </cell>
        </row>
        <row r="777">
          <cell r="B777" t="str">
            <v>LEANA CAROLINA FERREIRA</v>
          </cell>
          <cell r="D777" t="str">
            <v>PROFESSOR ADJUNTO</v>
          </cell>
        </row>
        <row r="778">
          <cell r="B778" t="str">
            <v>JORDAO VIOLIN</v>
          </cell>
          <cell r="D778" t="str">
            <v>PROFESSOR ASSISTENTE</v>
          </cell>
        </row>
        <row r="779">
          <cell r="B779" t="str">
            <v>PAULO ROBERTO BIGNARDI</v>
          </cell>
          <cell r="D779" t="str">
            <v>COORD CURSO</v>
          </cell>
        </row>
        <row r="780">
          <cell r="B780" t="str">
            <v>ELEONORA ELISIA ABRA BLANCO</v>
          </cell>
          <cell r="D780" t="str">
            <v>PROFESSOR ADJUNTO</v>
          </cell>
        </row>
        <row r="781">
          <cell r="B781" t="str">
            <v>ANDRE LUIZ BRAGA TURBAY</v>
          </cell>
          <cell r="D781" t="str">
            <v>PROFESSOR ASSISTENTE</v>
          </cell>
        </row>
        <row r="782">
          <cell r="B782" t="str">
            <v>SANDRA JOIA MIZRAHI JAKOBSON</v>
          </cell>
          <cell r="D782" t="str">
            <v>PROFESSOR ADJUNTO</v>
          </cell>
        </row>
        <row r="783">
          <cell r="B783" t="str">
            <v>CAROLINE EHLKE GONZAGA</v>
          </cell>
          <cell r="D783" t="str">
            <v>COORD CURSO</v>
          </cell>
        </row>
        <row r="784">
          <cell r="B784" t="str">
            <v>BERNARDO STROBEL GUIMARAES</v>
          </cell>
          <cell r="D784" t="str">
            <v>PROFESSOR ADJUNTO</v>
          </cell>
        </row>
        <row r="785">
          <cell r="B785" t="str">
            <v>MARIO PROKOPIUK</v>
          </cell>
          <cell r="D785" t="str">
            <v>PROFESSOR ADJUNTO</v>
          </cell>
        </row>
        <row r="786">
          <cell r="B786" t="str">
            <v>FRANCISCO EDUARDO CORAL</v>
          </cell>
          <cell r="D786" t="str">
            <v>PROFESSOR ASSISTENTE</v>
          </cell>
        </row>
        <row r="787">
          <cell r="B787" t="str">
            <v>CASSIO SLOMPO RAMOS</v>
          </cell>
          <cell r="D787" t="str">
            <v>PROFESSOR ASSISTENTE</v>
          </cell>
        </row>
        <row r="788">
          <cell r="B788" t="str">
            <v>PABLO HENRIQUE DE OLIVEIRA</v>
          </cell>
          <cell r="D788" t="str">
            <v>ANL FINANCEIRO PL</v>
          </cell>
        </row>
        <row r="789">
          <cell r="B789" t="str">
            <v>JOAO HENRIQUE VERILLO</v>
          </cell>
          <cell r="D789" t="str">
            <v>TEC LABORATORIO II (C/ AD-INS)</v>
          </cell>
        </row>
        <row r="790">
          <cell r="B790" t="str">
            <v>VIVIANE RODRIGUES MARTINS MADER</v>
          </cell>
          <cell r="D790" t="str">
            <v>COORD MOBILIDADE INTERNACIONAL</v>
          </cell>
        </row>
        <row r="791">
          <cell r="B791" t="str">
            <v>SERGIO ALEXANDRE LIBLIK</v>
          </cell>
          <cell r="D791" t="str">
            <v>PROFESSOR AUXILIAR</v>
          </cell>
        </row>
        <row r="792">
          <cell r="B792" t="str">
            <v>ANA PAULA BIAOBOK</v>
          </cell>
          <cell r="D792" t="str">
            <v>COORD OPERACOES ACADEMICAS</v>
          </cell>
        </row>
        <row r="793">
          <cell r="B793" t="str">
            <v>FERNANDO ROMANO KRINKE</v>
          </cell>
          <cell r="D793" t="str">
            <v>ANL INTELIGENCIA MERCADO SR</v>
          </cell>
        </row>
        <row r="794">
          <cell r="B794" t="str">
            <v>MARCELO JOSE MARCOLLA</v>
          </cell>
          <cell r="D794" t="str">
            <v>PROFESSOR AUXILIAR</v>
          </cell>
        </row>
        <row r="795">
          <cell r="B795" t="str">
            <v>DIEGO DOS SANTOS VIEIRA</v>
          </cell>
          <cell r="D795" t="str">
            <v>ANL OPERACOES ACADEMICAS SR</v>
          </cell>
        </row>
        <row r="796">
          <cell r="B796" t="str">
            <v>MARCELO CICHACZ</v>
          </cell>
          <cell r="D796" t="str">
            <v>PROFESSOR ADJUNTO</v>
          </cell>
        </row>
        <row r="797">
          <cell r="B797" t="str">
            <v>ROBSON IVAN STIVAL</v>
          </cell>
          <cell r="D797" t="str">
            <v>PROFESSOR ASSISTENTE</v>
          </cell>
        </row>
        <row r="798">
          <cell r="B798" t="str">
            <v>WESLEY MARCOS DE ALMEIDA</v>
          </cell>
          <cell r="D798" t="str">
            <v>PROFESSOR ADJUNTO</v>
          </cell>
        </row>
        <row r="799">
          <cell r="B799" t="str">
            <v>LUIS CESAR DE CARLI TURCO</v>
          </cell>
          <cell r="D799" t="str">
            <v>PROFESSOR ASSISTENTE</v>
          </cell>
        </row>
        <row r="800">
          <cell r="B800" t="str">
            <v>FABIANA AYROSA IWANKIW</v>
          </cell>
          <cell r="D800" t="str">
            <v>ESP PLANEJAMENTO ESTRATEGICO</v>
          </cell>
        </row>
        <row r="801">
          <cell r="B801" t="str">
            <v>DANIELE DE JESUS DA SILVA</v>
          </cell>
          <cell r="D801" t="str">
            <v>ANL OPERACOES ACADEMICAS PL</v>
          </cell>
        </row>
        <row r="802">
          <cell r="B802" t="str">
            <v>JORGE LUIZ COSTA CASTRO</v>
          </cell>
          <cell r="D802" t="str">
            <v>PROFESSOR ADJUNTO</v>
          </cell>
        </row>
        <row r="803">
          <cell r="B803" t="str">
            <v>FRANCIELE FIGUEIREDO RIGOTTO FARINACIO</v>
          </cell>
          <cell r="D803" t="str">
            <v>ANL NEGOCIOS TI SR</v>
          </cell>
        </row>
        <row r="804">
          <cell r="B804" t="str">
            <v>CAMILLA OHYA DE LIMA PAVANELI</v>
          </cell>
          <cell r="D804" t="str">
            <v>ANL PASTORAL PL</v>
          </cell>
        </row>
        <row r="805">
          <cell r="B805" t="str">
            <v>FABIANO INCERTI</v>
          </cell>
          <cell r="D805" t="str">
            <v>PRO-REITOR</v>
          </cell>
        </row>
        <row r="806">
          <cell r="B806" t="str">
            <v>OTTO HENRIQUE MARTINS DA SILVA</v>
          </cell>
          <cell r="D806" t="str">
            <v>PROFESSOR ASSISTENTE</v>
          </cell>
        </row>
        <row r="807">
          <cell r="B807" t="str">
            <v>CESAR LEANDRO RIBEIRO</v>
          </cell>
          <cell r="D807" t="str">
            <v>COORD CURSO</v>
          </cell>
        </row>
        <row r="808">
          <cell r="B808" t="str">
            <v>SIMONE APARECIDA OLIVEIRA</v>
          </cell>
          <cell r="D808" t="str">
            <v>AST ATENDIMENTO</v>
          </cell>
        </row>
        <row r="809">
          <cell r="B809" t="str">
            <v>MILENE OLIVEIRA DA SILVA</v>
          </cell>
          <cell r="D809" t="str">
            <v>TEC LABORATORIO II (C/ AD-INS)</v>
          </cell>
        </row>
        <row r="810">
          <cell r="B810" t="str">
            <v>ALESSANDRA RODRIGUES DE ALMEIDA</v>
          </cell>
          <cell r="D810" t="str">
            <v>ANL TRANSFORMACAO PROCESSOS PL</v>
          </cell>
        </row>
        <row r="811">
          <cell r="B811" t="str">
            <v>SILVANA TASCHEK HASTREITER</v>
          </cell>
          <cell r="D811" t="str">
            <v>COORD CURSO</v>
          </cell>
        </row>
        <row r="812">
          <cell r="B812" t="str">
            <v>HENRIQUE RAVANHOL FRIGERI</v>
          </cell>
          <cell r="D812" t="str">
            <v>PROFESSOR ADJUNTO</v>
          </cell>
        </row>
        <row r="813">
          <cell r="B813" t="str">
            <v>ALEX SANDRO QUADROS WEYMER</v>
          </cell>
          <cell r="D813" t="str">
            <v>PROFESSOR ADJUNTO</v>
          </cell>
        </row>
        <row r="814">
          <cell r="B814" t="str">
            <v>RODRIGO TAVORA MIRA</v>
          </cell>
          <cell r="D814" t="str">
            <v>PROFESSOR ADJUNTO</v>
          </cell>
        </row>
        <row r="815">
          <cell r="B815" t="str">
            <v>EDENA MARIA BEIGA GREIN</v>
          </cell>
          <cell r="D815" t="str">
            <v>ANL PROJETOS PESQUISAS PL</v>
          </cell>
        </row>
        <row r="816">
          <cell r="B816" t="str">
            <v>CATIA DIANA FILIPE OLIVEIRA</v>
          </cell>
          <cell r="D816" t="str">
            <v>GTE NEGOCIOS RH</v>
          </cell>
        </row>
        <row r="817">
          <cell r="B817" t="str">
            <v>DIEGO JOSE TEIDER</v>
          </cell>
          <cell r="D817" t="str">
            <v>ESP MARKETING</v>
          </cell>
        </row>
        <row r="818">
          <cell r="B818" t="str">
            <v>ANA PAULA GONCALVES DE AGUIAR</v>
          </cell>
          <cell r="D818" t="str">
            <v>AST ATENDIMENTO</v>
          </cell>
        </row>
        <row r="819">
          <cell r="B819" t="str">
            <v>JACKSON TEIXEIRA BITTENCOURT</v>
          </cell>
          <cell r="D819" t="str">
            <v>COORD CURSO</v>
          </cell>
        </row>
        <row r="820">
          <cell r="B820" t="str">
            <v>JOSELIA RIBEIRO</v>
          </cell>
          <cell r="D820" t="str">
            <v>COORD CURSO</v>
          </cell>
        </row>
        <row r="821">
          <cell r="B821" t="str">
            <v>VALTER KLEIN JUNIOR</v>
          </cell>
          <cell r="D821" t="str">
            <v>COORD CURSO</v>
          </cell>
        </row>
        <row r="822">
          <cell r="B822" t="str">
            <v>TAISA VIEIRA SENA</v>
          </cell>
          <cell r="D822" t="str">
            <v>PROFESSOR ADJUNTO</v>
          </cell>
        </row>
        <row r="823">
          <cell r="B823" t="str">
            <v>GLAIR BRAUN</v>
          </cell>
          <cell r="D823" t="str">
            <v>ANL ADMINISTRATIVO JR</v>
          </cell>
        </row>
        <row r="824">
          <cell r="B824" t="str">
            <v>LAERCIO UEMURA</v>
          </cell>
          <cell r="D824" t="str">
            <v>PROFESSOR ASSISTENTE</v>
          </cell>
        </row>
        <row r="825">
          <cell r="B825" t="str">
            <v>LUCI KEIKO KUROMOTO DE CASTRO</v>
          </cell>
          <cell r="D825" t="str">
            <v>COORD CURSO</v>
          </cell>
        </row>
        <row r="826">
          <cell r="B826" t="str">
            <v>CEZAR AUGUSTO DE OLIVEIRA FRANCO</v>
          </cell>
          <cell r="D826" t="str">
            <v>COORD PEDAGOGICO</v>
          </cell>
        </row>
        <row r="827">
          <cell r="B827" t="str">
            <v>FABIANA BARTALINI VON DER OSTEN</v>
          </cell>
          <cell r="D827" t="str">
            <v>COORD CURSO</v>
          </cell>
        </row>
        <row r="828">
          <cell r="B828" t="str">
            <v>PRISCILLA PEREZ RUSSO</v>
          </cell>
          <cell r="D828" t="str">
            <v>PROFESSOR ASSISTENTE</v>
          </cell>
        </row>
        <row r="829">
          <cell r="B829" t="str">
            <v>JOSILAINE OLIVEIRA CEZAR</v>
          </cell>
          <cell r="D829" t="str">
            <v>GTE BIBLIOTECA</v>
          </cell>
        </row>
        <row r="830">
          <cell r="B830" t="str">
            <v>RAFAEL TORRES BRUM</v>
          </cell>
          <cell r="D830" t="str">
            <v>PROFESSOR ADJUNTO</v>
          </cell>
        </row>
        <row r="831">
          <cell r="B831" t="str">
            <v>CLAUDIA CRISTINA DOS SANTOS</v>
          </cell>
          <cell r="D831" t="str">
            <v>COORD EDUCACAO CONTINUADA</v>
          </cell>
        </row>
        <row r="832">
          <cell r="B832" t="str">
            <v>LEANDRO TADEU CATAPAM</v>
          </cell>
          <cell r="D832" t="str">
            <v>PROFESSOR ASSISTENTE</v>
          </cell>
        </row>
        <row r="833">
          <cell r="B833" t="str">
            <v>PAULO ROBERTO FERREIRA DE CAMARGO</v>
          </cell>
          <cell r="D833" t="str">
            <v>COORD CURSO</v>
          </cell>
        </row>
        <row r="834">
          <cell r="B834" t="str">
            <v>PAULO CESAR PORTO MARTINS</v>
          </cell>
          <cell r="D834" t="str">
            <v>COORD EMPREENDEDORISMO</v>
          </cell>
        </row>
        <row r="835">
          <cell r="B835" t="str">
            <v>IZABELA PATRICIO BASTOS</v>
          </cell>
          <cell r="D835" t="str">
            <v>PROFESSOR ASSISTENTE</v>
          </cell>
        </row>
        <row r="836">
          <cell r="B836" t="str">
            <v>LEANDRO ZEN KARAM</v>
          </cell>
          <cell r="D836" t="str">
            <v>DIR EIXO ACADEMICO</v>
          </cell>
        </row>
        <row r="837">
          <cell r="B837" t="str">
            <v>LILIANE DO ROCIO MARCONCIN</v>
          </cell>
          <cell r="D837" t="str">
            <v>PROFESSOR ASSISTENTE</v>
          </cell>
        </row>
        <row r="838">
          <cell r="B838" t="str">
            <v>KARLA CRISTIANE ARSIE</v>
          </cell>
          <cell r="D838" t="str">
            <v>GTE QUALIDADE ACADEMICA</v>
          </cell>
        </row>
        <row r="839">
          <cell r="B839" t="str">
            <v>ELIAS WOLFF</v>
          </cell>
          <cell r="D839" t="str">
            <v>PROFESSOR ADJUNTO</v>
          </cell>
        </row>
        <row r="840">
          <cell r="B840" t="str">
            <v>KARLAN MULLER MUNIZ</v>
          </cell>
          <cell r="D840" t="str">
            <v>PROFESSOR ADJUNTO</v>
          </cell>
        </row>
        <row r="841">
          <cell r="B841" t="str">
            <v>MARLOS HARDT</v>
          </cell>
          <cell r="D841" t="str">
            <v>PROFESSOR ADJUNTO</v>
          </cell>
        </row>
        <row r="842">
          <cell r="B842" t="str">
            <v>WILLIAM SADE JUNIOR</v>
          </cell>
          <cell r="D842" t="str">
            <v>PROFESSOR ASSISTENTE</v>
          </cell>
        </row>
        <row r="843">
          <cell r="B843" t="str">
            <v>HUMBERTO LUIZ FOGACA DE MEDEIROS</v>
          </cell>
          <cell r="D843" t="str">
            <v>COORD CURSO</v>
          </cell>
        </row>
        <row r="844">
          <cell r="B844" t="str">
            <v>CAMILA FUKUDA GOMES SANTOS</v>
          </cell>
          <cell r="D844" t="str">
            <v>PROFESSOR ASSISTENTE</v>
          </cell>
        </row>
        <row r="845">
          <cell r="B845" t="str">
            <v>ALESSANDRO BERTOLINO</v>
          </cell>
          <cell r="D845" t="str">
            <v>PROFESSOR ADJUNTO</v>
          </cell>
        </row>
        <row r="846">
          <cell r="B846" t="str">
            <v>ANA PRISCILLA CHRISTIANO</v>
          </cell>
          <cell r="D846" t="str">
            <v>PROFESSOR ADJUNTO</v>
          </cell>
        </row>
        <row r="847">
          <cell r="B847" t="str">
            <v>JULIANA FERNANDES JUNGES CARARO</v>
          </cell>
          <cell r="D847" t="str">
            <v>COORD ACADEMICO EDUCACAO CONTINUADA</v>
          </cell>
        </row>
        <row r="848">
          <cell r="B848" t="str">
            <v>SANDRA REGINA ARENDARCHUK</v>
          </cell>
          <cell r="D848" t="str">
            <v>ESP CONTRATOS</v>
          </cell>
        </row>
        <row r="849">
          <cell r="B849" t="str">
            <v>SANDRA CRISTINA BOUFLEUR</v>
          </cell>
          <cell r="D849" t="str">
            <v>PROFESSOR ASSISTENTE</v>
          </cell>
        </row>
        <row r="850">
          <cell r="B850" t="str">
            <v>MARCELO DO CARMO CAMARGO GAIOTTO</v>
          </cell>
          <cell r="D850" t="str">
            <v>PROFESSOR ASSISTENTE</v>
          </cell>
        </row>
        <row r="851">
          <cell r="B851" t="str">
            <v>CAROLINA CAIRES MOTTA</v>
          </cell>
          <cell r="D851" t="str">
            <v>PROFESSOR ASSISTENTE</v>
          </cell>
        </row>
        <row r="852">
          <cell r="B852" t="str">
            <v>MARIA HELENA CAMARGO PERALTA DEL VALLE</v>
          </cell>
          <cell r="D852" t="str">
            <v>PROFESSOR AUXILIAR</v>
          </cell>
        </row>
        <row r="853">
          <cell r="B853" t="str">
            <v>LIS CLAUDIA MORRETES NEU</v>
          </cell>
          <cell r="D853" t="str">
            <v>ANL ADMINISTRATIVO PL</v>
          </cell>
        </row>
        <row r="854">
          <cell r="B854" t="str">
            <v>CLAYTON FERNANDES DE SOUZA</v>
          </cell>
          <cell r="D854" t="str">
            <v>PROFESSOR ADJUNTO</v>
          </cell>
        </row>
        <row r="855">
          <cell r="B855" t="str">
            <v>CAIO CESAR SILVA DE CASTRO</v>
          </cell>
          <cell r="D855" t="str">
            <v>PROFESSOR ADJUNTO</v>
          </cell>
        </row>
        <row r="856">
          <cell r="B856" t="str">
            <v>JULIANA RADAELLI</v>
          </cell>
          <cell r="D856" t="str">
            <v>PROFESSOR ADJUNTO</v>
          </cell>
        </row>
        <row r="857">
          <cell r="B857" t="str">
            <v>ISAQUE SOARES ALEGRE</v>
          </cell>
          <cell r="D857" t="str">
            <v>AST LOGISTICA II</v>
          </cell>
        </row>
        <row r="858">
          <cell r="B858" t="str">
            <v>MARIA ANGELICA SILVEIRA PIRES</v>
          </cell>
          <cell r="D858" t="str">
            <v>COORD ADMINISTRATIVO</v>
          </cell>
        </row>
        <row r="859">
          <cell r="B859" t="str">
            <v>ALINE KIMIE BORBA SUGIYAMA</v>
          </cell>
          <cell r="D859" t="str">
            <v>ANL FATURAMENTO SR</v>
          </cell>
        </row>
        <row r="860">
          <cell r="B860" t="str">
            <v>CRISTINA PELLEGRINO BAENA</v>
          </cell>
          <cell r="D860" t="str">
            <v>PROFESSOR ADJUNTO</v>
          </cell>
        </row>
        <row r="861">
          <cell r="B861" t="str">
            <v>ANA CRISTINA DA SILVA DE LACERDA</v>
          </cell>
          <cell r="D861" t="str">
            <v>PROFESSOR ASSISTENTE</v>
          </cell>
        </row>
        <row r="862">
          <cell r="B862" t="str">
            <v>THAIS LUCIA COSTA</v>
          </cell>
          <cell r="D862" t="str">
            <v>GTE MARKETING CLIENTE</v>
          </cell>
        </row>
        <row r="863">
          <cell r="B863" t="str">
            <v>MARA FRANCIELI MOTIN</v>
          </cell>
          <cell r="D863" t="str">
            <v>PROFESSOR ADJUNTO</v>
          </cell>
        </row>
        <row r="864">
          <cell r="B864" t="str">
            <v>EDUARDO RIBEIRO DA FONSECA</v>
          </cell>
          <cell r="D864" t="str">
            <v>PROFESSOR ADJUNTO</v>
          </cell>
        </row>
        <row r="865">
          <cell r="B865" t="str">
            <v>LEANDRO BATISTA COSTA</v>
          </cell>
          <cell r="D865" t="str">
            <v>PROFESSOR ADJUNTO</v>
          </cell>
        </row>
        <row r="866">
          <cell r="B866" t="str">
            <v>MARK EIRIK SCORTEGAGNA JOSELLI</v>
          </cell>
          <cell r="D866" t="str">
            <v>PROFESSOR ADJUNTO</v>
          </cell>
        </row>
        <row r="867">
          <cell r="B867" t="str">
            <v>GISLAINE CARVALHO PALUCOSKI</v>
          </cell>
          <cell r="D867" t="str">
            <v>ANL CONTROLADORIA SR</v>
          </cell>
        </row>
        <row r="868">
          <cell r="B868" t="str">
            <v>LOURRAYNE DIAS PEREIRA</v>
          </cell>
          <cell r="D868" t="str">
            <v>COORD FATURAMENTO COBRANCA</v>
          </cell>
        </row>
        <row r="869">
          <cell r="B869" t="str">
            <v>JEAN PSCHEIDT WEISS</v>
          </cell>
          <cell r="D869" t="str">
            <v>ANL TRANSFORMACAO PROCESSOS SR</v>
          </cell>
        </row>
        <row r="870">
          <cell r="B870" t="str">
            <v>ANA PAULA DOS SANTOS VIEIRA</v>
          </cell>
          <cell r="D870" t="str">
            <v>AST MONITORAMENTO CFTV</v>
          </cell>
        </row>
        <row r="871">
          <cell r="B871" t="str">
            <v>VALCIR MORAES</v>
          </cell>
          <cell r="D871" t="str">
            <v>PROFESSOR AUXILIAR</v>
          </cell>
        </row>
        <row r="872">
          <cell r="B872" t="str">
            <v>MARCUS VINICIUS BRUDZINSKI</v>
          </cell>
          <cell r="D872" t="str">
            <v>PROFESSOR AUXILIAR</v>
          </cell>
        </row>
        <row r="873">
          <cell r="B873" t="str">
            <v>RAFAEL AUGUSTO CAMARGO</v>
          </cell>
          <cell r="D873" t="str">
            <v>PROFESSOR AUXILIAR</v>
          </cell>
        </row>
        <row r="874">
          <cell r="B874" t="str">
            <v>ABEL RIBEIRO DOS SANTOS</v>
          </cell>
          <cell r="D874" t="str">
            <v>PROFESSOR ASSISTENTE</v>
          </cell>
        </row>
        <row r="875">
          <cell r="B875" t="str">
            <v>PATRICIA ELIANE DA ROSA SARDETO</v>
          </cell>
          <cell r="D875" t="str">
            <v>PROFESSOR ADJUNTO</v>
          </cell>
        </row>
        <row r="876">
          <cell r="B876" t="str">
            <v>RAFAEL JUNIOR SOARES</v>
          </cell>
          <cell r="D876" t="str">
            <v>PROFESSOR ASSISTENTE</v>
          </cell>
        </row>
        <row r="877">
          <cell r="B877" t="str">
            <v>VANIA APARECIDA TERRA</v>
          </cell>
          <cell r="D877" t="str">
            <v>PROFESSOR TITULAR</v>
          </cell>
        </row>
        <row r="878">
          <cell r="B878" t="str">
            <v>ALINE TANCLER STIPP</v>
          </cell>
          <cell r="D878" t="str">
            <v>COORD CURSO</v>
          </cell>
        </row>
        <row r="879">
          <cell r="B879" t="str">
            <v>CRISTIANO TEODORO RUSSO</v>
          </cell>
          <cell r="D879" t="str">
            <v>PROFESSOR ADJUNTO</v>
          </cell>
        </row>
        <row r="880">
          <cell r="B880" t="str">
            <v>RAQUEL CRISTINA SILVA DAS NEVES</v>
          </cell>
          <cell r="D880" t="str">
            <v>PROFESSOR ASSISTENTE</v>
          </cell>
        </row>
        <row r="881">
          <cell r="B881" t="str">
            <v>ANDRE BITTENCOURT LORUSSO</v>
          </cell>
          <cell r="D881" t="str">
            <v>COORD CURSO</v>
          </cell>
        </row>
        <row r="882">
          <cell r="B882" t="str">
            <v>PRISCILA BRENTAN PRAXEDES PEREIRA</v>
          </cell>
          <cell r="D882" t="str">
            <v>COORD CURSO</v>
          </cell>
        </row>
        <row r="883">
          <cell r="B883" t="str">
            <v>CARLOS EDUARDO LUNELLI</v>
          </cell>
          <cell r="D883" t="str">
            <v>PROFESSOR ASSISTENTE</v>
          </cell>
        </row>
        <row r="884">
          <cell r="B884" t="str">
            <v>MICHELLA YAMAMURA BARDELLI DA SILVA</v>
          </cell>
          <cell r="D884" t="str">
            <v>PROFESSOR ADJUNTO</v>
          </cell>
        </row>
        <row r="885">
          <cell r="B885" t="str">
            <v>LARA GUERIOS</v>
          </cell>
          <cell r="D885" t="str">
            <v>PROFESSOR ADJUNTO</v>
          </cell>
        </row>
        <row r="886">
          <cell r="B886" t="str">
            <v>PATRICIA ANDREIA DOMBROWSKI</v>
          </cell>
          <cell r="D886" t="str">
            <v>PROFESSOR ADJUNTO</v>
          </cell>
        </row>
        <row r="887">
          <cell r="B887" t="str">
            <v>JOYCE LEONITA DA SILVA BENINCA</v>
          </cell>
          <cell r="D887" t="str">
            <v>BIBLIOTECARIO SR</v>
          </cell>
        </row>
        <row r="888">
          <cell r="B888" t="str">
            <v>DELMARY DO ROCIO KALED</v>
          </cell>
          <cell r="D888" t="str">
            <v>ADVOGADO SR</v>
          </cell>
        </row>
        <row r="889">
          <cell r="B889" t="str">
            <v>EDILE MARIA FRACARO RODRIGUES</v>
          </cell>
          <cell r="D889" t="str">
            <v>PROFESSOR ASSISTENTE</v>
          </cell>
        </row>
        <row r="890">
          <cell r="B890" t="str">
            <v>SUELI TEREZINHA BRUNETTI DE CARVALHO</v>
          </cell>
          <cell r="D890" t="str">
            <v>AUX SERVICOS GERAIS</v>
          </cell>
        </row>
        <row r="891">
          <cell r="B891" t="str">
            <v>DANIEL IDEL BONGANHI FEFERMAN</v>
          </cell>
          <cell r="D891" t="str">
            <v>PROFESSOR ASSISTENTE</v>
          </cell>
        </row>
        <row r="892">
          <cell r="B892" t="str">
            <v>LUIZ GUSTAVO THADEO BRAGA</v>
          </cell>
          <cell r="D892" t="str">
            <v>PROFESSOR ASSISTENTE</v>
          </cell>
        </row>
        <row r="893">
          <cell r="B893" t="str">
            <v>CARLOS ALBERTO DEBIASI</v>
          </cell>
          <cell r="D893" t="str">
            <v>PROFESSOR ADJUNTO</v>
          </cell>
        </row>
        <row r="894">
          <cell r="B894" t="str">
            <v>WYLKYS WEINHARDT GONCALVES</v>
          </cell>
          <cell r="D894" t="str">
            <v>PROFESSOR AUXILIAR</v>
          </cell>
        </row>
        <row r="895">
          <cell r="B895" t="str">
            <v>CARINA DEVITTE ORNIESKI</v>
          </cell>
          <cell r="D895" t="str">
            <v>ANL ADMINISTRATIVO PL</v>
          </cell>
        </row>
        <row r="896">
          <cell r="B896" t="str">
            <v>DANRLEI FOGACA DA SILVA</v>
          </cell>
          <cell r="D896" t="str">
            <v>ANL RELACIONAMENTO SR</v>
          </cell>
        </row>
        <row r="897">
          <cell r="B897" t="str">
            <v>PAULA NUNES ZANELLATTO</v>
          </cell>
          <cell r="D897" t="str">
            <v>ANL PROJETOS PESQUISAS SR</v>
          </cell>
        </row>
        <row r="898">
          <cell r="B898" t="str">
            <v>ILDA DA SILVA REIS</v>
          </cell>
          <cell r="D898" t="str">
            <v>AST MONITORAMENTO CFTV</v>
          </cell>
        </row>
        <row r="899">
          <cell r="B899" t="str">
            <v>ORDELEI RAMOS</v>
          </cell>
          <cell r="D899" t="str">
            <v>SPV SERVICOS GERAIS</v>
          </cell>
        </row>
        <row r="900">
          <cell r="B900" t="str">
            <v>EDUARDO RODRIGUES GARCIA</v>
          </cell>
          <cell r="D900" t="str">
            <v>GTE SR ADMINISTRATIVO FINANCEIRO</v>
          </cell>
        </row>
        <row r="901">
          <cell r="B901" t="str">
            <v>SILVIA HELENA DOS SANTOS GAJARDONI FARGES</v>
          </cell>
          <cell r="D901" t="str">
            <v>PROFESSOR ASSISTENTE</v>
          </cell>
        </row>
        <row r="902">
          <cell r="B902" t="str">
            <v>RICARDO LEMES DA ROSA</v>
          </cell>
          <cell r="D902" t="str">
            <v>PROFESSOR ASSISTENTE</v>
          </cell>
        </row>
        <row r="903">
          <cell r="B903" t="str">
            <v>THIAGO BUENO DE CAMPOS</v>
          </cell>
          <cell r="D903" t="str">
            <v>TEC SEGURANCA TRABALHO</v>
          </cell>
        </row>
        <row r="904">
          <cell r="B904" t="str">
            <v>IVONILDA DOS SANTOS DE SOUZA</v>
          </cell>
          <cell r="D904" t="str">
            <v>JARDINEIRO</v>
          </cell>
        </row>
        <row r="905">
          <cell r="B905" t="str">
            <v>THAIS PACIEVITCH</v>
          </cell>
          <cell r="D905" t="str">
            <v>PROFESSOR ASSISTENTE</v>
          </cell>
        </row>
        <row r="906">
          <cell r="B906" t="str">
            <v>JESSICA CRISTINA DE OLIVEIRA</v>
          </cell>
          <cell r="D906" t="str">
            <v>TEC LABORATORIO I (C/ AD-INS)</v>
          </cell>
        </row>
        <row r="907">
          <cell r="B907" t="str">
            <v>MARCELA DUARTE TRINDADE</v>
          </cell>
          <cell r="D907" t="str">
            <v>ANL FINANCEIRO PL</v>
          </cell>
        </row>
        <row r="908">
          <cell r="B908" t="str">
            <v>ANTONIO NILSON CHAVES DOS SANTOS</v>
          </cell>
          <cell r="D908" t="str">
            <v>AUX AGROPECUARIA</v>
          </cell>
        </row>
        <row r="909">
          <cell r="B909" t="str">
            <v>FERNANDA BRANDALISE BOGONI</v>
          </cell>
          <cell r="D909" t="str">
            <v>PROFESSOR AUXILIAR</v>
          </cell>
        </row>
        <row r="910">
          <cell r="B910" t="str">
            <v>MARIA CRISTINA DINIZ</v>
          </cell>
          <cell r="D910" t="str">
            <v>GTE ADMINISTRATIVO FINANCEIRO</v>
          </cell>
        </row>
        <row r="911">
          <cell r="B911" t="str">
            <v>JOSE EDUARDO DA COSTA BATISTA ESPINEL</v>
          </cell>
          <cell r="D911" t="str">
            <v>ESP PROJETOS E MELHORIA CONTINUA</v>
          </cell>
        </row>
        <row r="912">
          <cell r="B912" t="str">
            <v>JESSICA PEREIRA DO PRADO DA ROCHA</v>
          </cell>
          <cell r="D912" t="str">
            <v>COORD ADMINISTRATIVO</v>
          </cell>
        </row>
        <row r="913">
          <cell r="B913" t="str">
            <v>PATRICIA DA CONCEICAO DE ANDRADE</v>
          </cell>
          <cell r="D913" t="str">
            <v>ANL MOBILIDADE INTERNACIONAL PL</v>
          </cell>
        </row>
        <row r="914">
          <cell r="B914" t="str">
            <v>ZENILDA DAS GRACAS MATOSO DE MEIRA</v>
          </cell>
          <cell r="D914" t="str">
            <v>JARDINEIRO</v>
          </cell>
        </row>
        <row r="915">
          <cell r="B915" t="str">
            <v>VANESSA DOS SANTOS DE ALMEIDA</v>
          </cell>
          <cell r="D915" t="str">
            <v>ANL ATENDIMENTO JR</v>
          </cell>
        </row>
        <row r="916">
          <cell r="B916" t="str">
            <v>IAN DE SOUZA FERNANDES</v>
          </cell>
          <cell r="D916" t="str">
            <v>TEC LABORATORIO II (C/ AD-INS)</v>
          </cell>
        </row>
        <row r="917">
          <cell r="B917" t="str">
            <v>BRUNA D AMICO</v>
          </cell>
          <cell r="D917" t="str">
            <v>ANL MARKETING SR</v>
          </cell>
        </row>
        <row r="918">
          <cell r="B918" t="str">
            <v>ROBERTA ALMEIDA POPINHAKI</v>
          </cell>
          <cell r="D918" t="str">
            <v>ANL MARKETING SR</v>
          </cell>
        </row>
        <row r="919">
          <cell r="B919" t="str">
            <v>JAIR RODINI ENGRACIA FILHO</v>
          </cell>
          <cell r="D919" t="str">
            <v>PROFESSOR ADJUNTO</v>
          </cell>
        </row>
        <row r="920">
          <cell r="B920" t="str">
            <v>OSEAS RODRIGUES DE CAMPOS</v>
          </cell>
          <cell r="D920" t="str">
            <v>SPV MANUTENCAO</v>
          </cell>
        </row>
        <row r="921">
          <cell r="B921" t="str">
            <v>CAMILA MAIA DE OLIVEIRA BORGES PARANA</v>
          </cell>
          <cell r="D921" t="str">
            <v>COORD CURSO</v>
          </cell>
        </row>
        <row r="922">
          <cell r="B922" t="str">
            <v>CAROLINE KRETZMANN</v>
          </cell>
          <cell r="D922" t="str">
            <v>PROFESSOR ASSISTENTE</v>
          </cell>
        </row>
        <row r="923">
          <cell r="B923" t="str">
            <v>KELLY RAFAELA OTEMAIER</v>
          </cell>
          <cell r="D923" t="str">
            <v>COORD CURSO</v>
          </cell>
        </row>
        <row r="924">
          <cell r="B924" t="str">
            <v>RAFAEL DE OLIVEIRA ANDRADE</v>
          </cell>
          <cell r="D924" t="str">
            <v>PROFESSOR ADJUNTO</v>
          </cell>
        </row>
        <row r="925">
          <cell r="B925" t="str">
            <v>KARINA PLATZ</v>
          </cell>
          <cell r="D925" t="str">
            <v>COORD TRANSFORMACAO PROCESSOS</v>
          </cell>
        </row>
        <row r="926">
          <cell r="B926" t="str">
            <v>ADRIANE REICHERT FARIA</v>
          </cell>
          <cell r="D926" t="str">
            <v>PROFESSOR ADJUNTO</v>
          </cell>
        </row>
        <row r="927">
          <cell r="B927" t="str">
            <v>VIVIANE BERNARDES DE OLIVEIRA CHAIBEN</v>
          </cell>
          <cell r="D927" t="str">
            <v>COORD EXCELENCIA ACADEMICA</v>
          </cell>
        </row>
        <row r="928">
          <cell r="B928" t="str">
            <v>JUAN JOSE CAMOU VIACAVA</v>
          </cell>
          <cell r="D928" t="str">
            <v>PROFESSOR ADJUNTO</v>
          </cell>
        </row>
        <row r="929">
          <cell r="B929" t="str">
            <v>ADRIANO AKIRA FERREIRA HINO</v>
          </cell>
          <cell r="D929" t="str">
            <v>PROFESSOR ADJUNTO</v>
          </cell>
        </row>
        <row r="930">
          <cell r="B930" t="str">
            <v>ALBERTO PAULO NETO</v>
          </cell>
          <cell r="D930" t="str">
            <v>PROFESSOR ADJUNTO</v>
          </cell>
        </row>
        <row r="931">
          <cell r="B931" t="str">
            <v>EMANUEL GOIS JUNIOR</v>
          </cell>
          <cell r="D931" t="str">
            <v>PROFESSOR ASSISTENTE</v>
          </cell>
        </row>
        <row r="932">
          <cell r="B932" t="str">
            <v>RICARDO BERNARDO DA SILVA</v>
          </cell>
          <cell r="D932" t="str">
            <v>PROFESSOR AUXILIAR</v>
          </cell>
        </row>
        <row r="933">
          <cell r="B933" t="str">
            <v>ANA CRISTINA DA SILVA DO AMARAL HERRERA</v>
          </cell>
          <cell r="D933" t="str">
            <v>PROFESSOR ADJUNTO</v>
          </cell>
        </row>
        <row r="934">
          <cell r="B934" t="str">
            <v>EMERSON PEREIRA GREGORIO</v>
          </cell>
          <cell r="D934" t="str">
            <v>PROFESSOR ADJUNTO</v>
          </cell>
        </row>
        <row r="935">
          <cell r="B935" t="str">
            <v>LUIZ GUILHERME ACHCAR CAPRIGLIONE</v>
          </cell>
          <cell r="D935" t="str">
            <v>PROFESSOR ADJUNTO</v>
          </cell>
        </row>
        <row r="936">
          <cell r="B936" t="str">
            <v>RAFAEL MATTA CARNASCIALI</v>
          </cell>
          <cell r="D936" t="str">
            <v>PROFESSOR AUXILIAR</v>
          </cell>
        </row>
        <row r="937">
          <cell r="B937" t="str">
            <v>ANGELA CRISTIANE SANTOS POVOA</v>
          </cell>
          <cell r="D937" t="str">
            <v>PROFESSOR TITULAR</v>
          </cell>
        </row>
        <row r="938">
          <cell r="B938" t="str">
            <v>MARTIOS ECCO</v>
          </cell>
          <cell r="D938" t="str">
            <v>PROFESSOR ASSISTENTE</v>
          </cell>
        </row>
        <row r="939">
          <cell r="B939" t="str">
            <v>RODRIGO GOMES DE OLIVEIRA</v>
          </cell>
          <cell r="D939" t="str">
            <v>PROFESSOR ASSISTENTE</v>
          </cell>
        </row>
        <row r="940">
          <cell r="B940" t="str">
            <v>LAYS CHEROBIM PAROLIN</v>
          </cell>
          <cell r="D940" t="str">
            <v>COORD PEDAGOGICO</v>
          </cell>
        </row>
        <row r="941">
          <cell r="B941" t="str">
            <v>IVONE KWASNEI</v>
          </cell>
          <cell r="D941" t="str">
            <v>AST BIBLIOTECA II</v>
          </cell>
        </row>
        <row r="942">
          <cell r="B942" t="str">
            <v>HENRIQUE JOSE POLATO GOMES</v>
          </cell>
          <cell r="D942" t="str">
            <v>PROFESSOR ADJUNTO</v>
          </cell>
        </row>
        <row r="943">
          <cell r="B943" t="str">
            <v>PAMELA TRAVASSOS DE FREITAS</v>
          </cell>
          <cell r="D943" t="str">
            <v>BIBLIOTECARIO SR</v>
          </cell>
        </row>
        <row r="944">
          <cell r="B944" t="str">
            <v>DENISE GLOVASKI FARIAS SOUTO</v>
          </cell>
          <cell r="D944" t="str">
            <v>COORD SECRETARIA GERAL</v>
          </cell>
        </row>
        <row r="945">
          <cell r="B945" t="str">
            <v>CLAUDIA MARA BARRADO MENEGHETTI</v>
          </cell>
          <cell r="D945" t="str">
            <v>AST EXECUTIVA II</v>
          </cell>
        </row>
        <row r="946">
          <cell r="B946" t="str">
            <v>HOMERO LUIS DE AQUINO PALMA</v>
          </cell>
          <cell r="D946" t="str">
            <v>PROFESSOR ASSISTENTE</v>
          </cell>
        </row>
        <row r="947">
          <cell r="B947" t="str">
            <v>IVONETE TERESINHA PALHANO ALEGRE</v>
          </cell>
          <cell r="D947" t="str">
            <v>ANL ADMINISTRATIVO JR</v>
          </cell>
        </row>
        <row r="948">
          <cell r="B948" t="str">
            <v>FELIPE FRANCISCO BONDAN TUON</v>
          </cell>
          <cell r="D948" t="str">
            <v>PROFESSOR ADJUNTO</v>
          </cell>
        </row>
        <row r="949">
          <cell r="B949" t="str">
            <v>JULIANO GERALDI</v>
          </cell>
          <cell r="D949" t="str">
            <v>PROFESSOR ASSISTENTE</v>
          </cell>
        </row>
        <row r="950">
          <cell r="B950" t="str">
            <v>CELINA TIE NISHIMORI DUQUE</v>
          </cell>
          <cell r="D950" t="str">
            <v>COORD CURSO</v>
          </cell>
        </row>
        <row r="951">
          <cell r="B951" t="str">
            <v>DANIEL WUNDER HACHEM</v>
          </cell>
          <cell r="D951" t="str">
            <v>DIRETOR</v>
          </cell>
        </row>
        <row r="952">
          <cell r="B952" t="str">
            <v>DANIELLE MARCHAR</v>
          </cell>
          <cell r="D952" t="str">
            <v>ANL PROJETOS SR</v>
          </cell>
        </row>
        <row r="953">
          <cell r="B953" t="str">
            <v>JAIME LUIS LOPES ROCHA</v>
          </cell>
          <cell r="D953" t="str">
            <v>PROFESSOR AUXILIAR</v>
          </cell>
        </row>
        <row r="954">
          <cell r="B954" t="str">
            <v>KARINA PACHECO DOS SANTOS VANDER BROOCK</v>
          </cell>
          <cell r="D954" t="str">
            <v>PROFESSOR ASSISTENTE</v>
          </cell>
        </row>
        <row r="955">
          <cell r="B955" t="str">
            <v>WILLIAM FRANCO DA SILVA</v>
          </cell>
          <cell r="D955" t="str">
            <v>COORD PEDAGOGICO</v>
          </cell>
        </row>
        <row r="956">
          <cell r="B956" t="str">
            <v>BEATRIZ LUCI FERNANDES</v>
          </cell>
          <cell r="D956" t="str">
            <v>PROFESSOR ADJUNTO</v>
          </cell>
        </row>
        <row r="957">
          <cell r="B957" t="str">
            <v>DOUGLAS BORGES CANDIDO</v>
          </cell>
          <cell r="D957" t="str">
            <v>COORD IDENTIDADE MISSAO VOCACAO</v>
          </cell>
        </row>
        <row r="958">
          <cell r="B958" t="str">
            <v>FLAVIANO DE CASSIO TEIXEIRA</v>
          </cell>
          <cell r="D958" t="str">
            <v>ANL RELACIONAMENTO PL</v>
          </cell>
        </row>
        <row r="959">
          <cell r="B959" t="str">
            <v>DALTON ALEXANDRE KAI</v>
          </cell>
          <cell r="D959" t="str">
            <v>PROFESSOR ASSISTENTE</v>
          </cell>
        </row>
        <row r="960">
          <cell r="B960" t="str">
            <v>JANIO DENIS GABRIEL</v>
          </cell>
          <cell r="D960" t="str">
            <v>PROFESSOR ASSISTENTE</v>
          </cell>
        </row>
        <row r="961">
          <cell r="B961" t="str">
            <v>REGINA FABIA LOPES DE ALBUQUERQUE</v>
          </cell>
          <cell r="D961" t="str">
            <v>COORD CURSO</v>
          </cell>
        </row>
        <row r="962">
          <cell r="B962" t="str">
            <v>RENAN COLOMBO</v>
          </cell>
          <cell r="D962" t="str">
            <v>COORD CURSO</v>
          </cell>
        </row>
        <row r="963">
          <cell r="B963" t="str">
            <v>BARBARA MARIA CAMILOTTI</v>
          </cell>
          <cell r="D963" t="str">
            <v>PROFESSOR ADJUNTO</v>
          </cell>
        </row>
        <row r="964">
          <cell r="B964" t="str">
            <v>THAISE LOHR TACLA</v>
          </cell>
          <cell r="D964" t="str">
            <v>PROFESSOR ASSISTENTE</v>
          </cell>
        </row>
        <row r="965">
          <cell r="B965" t="str">
            <v>TATIANY HONORIO PORTO AOKI</v>
          </cell>
          <cell r="D965" t="str">
            <v>PROFESSOR ADJUNTO</v>
          </cell>
        </row>
        <row r="966">
          <cell r="B966" t="str">
            <v>JACKELINE MICHELE LEMOS EIDT</v>
          </cell>
          <cell r="D966" t="str">
            <v>COORD ADMINISTRATIVO</v>
          </cell>
        </row>
        <row r="967">
          <cell r="B967" t="str">
            <v>RENATA MACAGNANI DIAS</v>
          </cell>
          <cell r="D967" t="str">
            <v>ANL PROJETOS SR</v>
          </cell>
        </row>
        <row r="968">
          <cell r="B968" t="str">
            <v>MARCELO PUPPI MUNHOZ</v>
          </cell>
          <cell r="D968" t="str">
            <v>PROFESSOR ASSISTENTE</v>
          </cell>
        </row>
        <row r="969">
          <cell r="B969" t="str">
            <v>OTTO LEOPOLDO WINCK</v>
          </cell>
          <cell r="D969" t="str">
            <v>PROFESSOR ADJUNTO</v>
          </cell>
        </row>
        <row r="970">
          <cell r="B970" t="str">
            <v>CLOVIS MASSATO KUWAHARA</v>
          </cell>
          <cell r="D970" t="str">
            <v>PROFESSOR ASSISTENTE</v>
          </cell>
        </row>
        <row r="971">
          <cell r="B971" t="str">
            <v>SANDRA REGINA CABEL</v>
          </cell>
          <cell r="D971" t="str">
            <v>PROFESSOR ASSISTENTE</v>
          </cell>
        </row>
        <row r="972">
          <cell r="B972" t="str">
            <v>ABEL ESTEVES SOARES</v>
          </cell>
          <cell r="D972" t="str">
            <v>PROFESSOR ASSISTENTE</v>
          </cell>
        </row>
        <row r="973">
          <cell r="B973" t="str">
            <v>CLAUDIA NASCIMENTO MONTEMOR</v>
          </cell>
          <cell r="D973" t="str">
            <v>PROFESSOR AUXILIAR</v>
          </cell>
        </row>
        <row r="974">
          <cell r="B974" t="str">
            <v>LUIZ FERNANDO KUNII</v>
          </cell>
          <cell r="D974" t="str">
            <v>PROFESSOR AUXILIAR</v>
          </cell>
        </row>
        <row r="975">
          <cell r="B975" t="str">
            <v>KAREN SUMIRE KUBO</v>
          </cell>
          <cell r="D975" t="str">
            <v>COORD CURSO</v>
          </cell>
        </row>
        <row r="976">
          <cell r="B976" t="str">
            <v>SERGIO VINICIUS MONFERNATTI</v>
          </cell>
          <cell r="D976" t="str">
            <v>PROFESSOR LINGUA ESTRANGEIRA</v>
          </cell>
        </row>
        <row r="977">
          <cell r="B977" t="str">
            <v>HENRY BELCHIOR DA CUNHA</v>
          </cell>
          <cell r="D977" t="str">
            <v>PROFESSOR ASSISTENTE</v>
          </cell>
        </row>
        <row r="978">
          <cell r="B978" t="str">
            <v>REGINA MARIA MARTINS DE ARAUJO KLEIN</v>
          </cell>
          <cell r="D978" t="str">
            <v>COORD CURSO</v>
          </cell>
        </row>
        <row r="979">
          <cell r="B979" t="str">
            <v>SILVINA REGINA LEAO ALMEIDA DE SOUSA</v>
          </cell>
          <cell r="D979" t="str">
            <v>AST ATENDIMENTO</v>
          </cell>
        </row>
        <row r="980">
          <cell r="B980" t="str">
            <v>LUCIANA DE CASTRO COSTA LEAL</v>
          </cell>
          <cell r="D980" t="str">
            <v>AST ATENDIMENTO</v>
          </cell>
        </row>
        <row r="981">
          <cell r="B981" t="str">
            <v>RONALDO ADRIANO ALVES DOS SANTOS</v>
          </cell>
          <cell r="D981" t="str">
            <v>COORD CURSO</v>
          </cell>
        </row>
        <row r="982">
          <cell r="B982" t="str">
            <v>MONICA JANKE DE CASTRO PROSDOCIMO</v>
          </cell>
          <cell r="D982" t="str">
            <v>PROFESSOR ASSISTENTE</v>
          </cell>
        </row>
        <row r="983">
          <cell r="B983" t="str">
            <v>FEDERICO FERRAGUTO</v>
          </cell>
          <cell r="D983" t="str">
            <v>COORD CURSO</v>
          </cell>
        </row>
        <row r="984">
          <cell r="B984" t="str">
            <v>CLEVERSON WILLIAN DE REZENDE</v>
          </cell>
          <cell r="D984" t="str">
            <v>ANL ADMINISTRATIVO JR</v>
          </cell>
        </row>
        <row r="985">
          <cell r="B985" t="str">
            <v>RENATA DINARDI BORGES LIBONI</v>
          </cell>
          <cell r="D985" t="str">
            <v>PROFESSOR AUXILIAR</v>
          </cell>
        </row>
        <row r="986">
          <cell r="B986" t="str">
            <v>ELIANE APARECIDA TEIXEIRA</v>
          </cell>
          <cell r="D986" t="str">
            <v>ANL CONVENIOS PL</v>
          </cell>
        </row>
        <row r="987">
          <cell r="B987" t="str">
            <v>SILVIA TURRA GRECHINSKI</v>
          </cell>
          <cell r="D987" t="str">
            <v>PROFESSOR ASSISTENTE</v>
          </cell>
        </row>
        <row r="988">
          <cell r="B988" t="str">
            <v>DAVID QUEIROZ DE SANT ANA</v>
          </cell>
          <cell r="D988" t="str">
            <v>PROFESSOR ASSISTENTE</v>
          </cell>
        </row>
        <row r="989">
          <cell r="B989" t="str">
            <v>DANIELLE CRISTINE BOARON GRUNEWALDER</v>
          </cell>
          <cell r="D989" t="str">
            <v>ANL PRODUCAO CONTEUDO DIGITAL SR</v>
          </cell>
        </row>
        <row r="990">
          <cell r="B990" t="str">
            <v>GABRIEL AZEVEDO DE ABREU PINTO</v>
          </cell>
          <cell r="D990" t="str">
            <v>ANL MARKETING SR</v>
          </cell>
        </row>
        <row r="991">
          <cell r="B991" t="str">
            <v>ROBERTO MASAHIKO AOKI</v>
          </cell>
          <cell r="D991" t="str">
            <v>PROFESSOR ASSISTENTE</v>
          </cell>
        </row>
        <row r="992">
          <cell r="B992" t="str">
            <v>TANIA MARA SANTA ROSA</v>
          </cell>
          <cell r="D992" t="str">
            <v>COORD ADMINISTRATIVO</v>
          </cell>
        </row>
        <row r="993">
          <cell r="B993" t="str">
            <v>JAKELINE KRAST</v>
          </cell>
          <cell r="D993" t="str">
            <v>COORD EDUCACAO CONTINUADA</v>
          </cell>
        </row>
        <row r="994">
          <cell r="B994" t="str">
            <v>JOAO ANILSON CARVALHO DE LARA FILHO</v>
          </cell>
          <cell r="D994" t="str">
            <v>COORD PLANEJAMENTO FINANCEIRO ACADE</v>
          </cell>
        </row>
        <row r="995">
          <cell r="B995" t="str">
            <v>SIRLEI MACHADO DOS SANTOS</v>
          </cell>
          <cell r="D995" t="str">
            <v>AST MONITORAMENTO CFTV</v>
          </cell>
        </row>
        <row r="996">
          <cell r="B996" t="str">
            <v>PRISCILA XIMENES SOUZA DO NASCIMENTO</v>
          </cell>
          <cell r="D996" t="str">
            <v>PROFESSOR ASSISTENTE</v>
          </cell>
        </row>
        <row r="997">
          <cell r="B997" t="str">
            <v>BRUNA CRISTINA MATOS DE MELO</v>
          </cell>
          <cell r="D997" t="str">
            <v>COORD PROJETOS DE PESQUISA</v>
          </cell>
        </row>
        <row r="998">
          <cell r="B998" t="str">
            <v>THAIS EMANUELLY SALES MOREIRA</v>
          </cell>
          <cell r="D998" t="str">
            <v>ANL MOBILIDADE INTERNACIONAL SR</v>
          </cell>
        </row>
        <row r="999">
          <cell r="B999" t="str">
            <v>IVALDO FIRMINO DE ARAUJO</v>
          </cell>
          <cell r="D999" t="str">
            <v>JARDINEIRO</v>
          </cell>
        </row>
        <row r="1000">
          <cell r="B1000" t="str">
            <v>MARCELO ORTEGA MASSAMBANI</v>
          </cell>
          <cell r="D1000" t="str">
            <v>PROFESSOR ASSISTENTE</v>
          </cell>
        </row>
        <row r="1001">
          <cell r="B1001" t="str">
            <v>JULIAURI CAMPOS PEREIRA</v>
          </cell>
          <cell r="D1001" t="str">
            <v>ANL ADMINISTRATIVO PL</v>
          </cell>
        </row>
        <row r="1002">
          <cell r="B1002" t="str">
            <v>DENISE DA SILVA DE ALMEIDA</v>
          </cell>
          <cell r="D1002" t="str">
            <v>ANL ATENDIMENTO JR</v>
          </cell>
        </row>
        <row r="1003">
          <cell r="B1003" t="str">
            <v>SIMONE NASCIMENTO</v>
          </cell>
          <cell r="D1003" t="str">
            <v>ANL ADMINISTRATIVO PL</v>
          </cell>
        </row>
        <row r="1004">
          <cell r="B1004" t="str">
            <v>ROBERTO HIROCHI HERAI</v>
          </cell>
          <cell r="D1004" t="str">
            <v>PROFESSOR ADJUNTO</v>
          </cell>
        </row>
        <row r="1005">
          <cell r="B1005" t="str">
            <v>ALESSANDRA D AMARO</v>
          </cell>
          <cell r="D1005" t="str">
            <v>ANL PROJETOS E MELHORIA CONTINUA SR</v>
          </cell>
        </row>
        <row r="1006">
          <cell r="B1006" t="str">
            <v>LIDIA MONTEIRO DE OLIVEIRA FELIPE</v>
          </cell>
          <cell r="D1006" t="str">
            <v>ANL PROJETOS COMUNITARIOS PL</v>
          </cell>
        </row>
        <row r="1007">
          <cell r="B1007" t="str">
            <v>ERICA SLOTY ZAGONEL</v>
          </cell>
          <cell r="D1007" t="str">
            <v>TEC SEGURANCA TRABALHO</v>
          </cell>
        </row>
        <row r="1008">
          <cell r="B1008" t="str">
            <v>ALESSANDRA GRAFETTI</v>
          </cell>
          <cell r="D1008" t="str">
            <v>ANL FINANCEIRO PL</v>
          </cell>
        </row>
        <row r="1009">
          <cell r="B1009" t="str">
            <v>BERNARDO REISDORFER LEITE</v>
          </cell>
          <cell r="D1009" t="str">
            <v>ESP GESTAO INDICADORES</v>
          </cell>
        </row>
        <row r="1010">
          <cell r="B1010" t="str">
            <v>THAIS DOS SANTOS FREITAS DE OLIVEIRA</v>
          </cell>
          <cell r="D1010" t="str">
            <v>ANL ADMINISTRATIVO SR</v>
          </cell>
        </row>
        <row r="1011">
          <cell r="B1011" t="str">
            <v>PEDRO PEREIRA DA CONCEICAO</v>
          </cell>
          <cell r="D1011" t="str">
            <v>JARDINEIRO</v>
          </cell>
        </row>
        <row r="1012">
          <cell r="B1012" t="str">
            <v>RUBIA CAROLINA FARIAS SANTOS</v>
          </cell>
          <cell r="D1012" t="str">
            <v>AST ADMINISTRATIVO II</v>
          </cell>
        </row>
        <row r="1013">
          <cell r="B1013" t="str">
            <v>ELOIZE AUGUSTA DA CRUZ</v>
          </cell>
          <cell r="D1013" t="str">
            <v>COORD CURSO</v>
          </cell>
        </row>
        <row r="1014">
          <cell r="B1014" t="str">
            <v>KARINA AIRES REINLEIN FERNANDES COUTO DE MORAES</v>
          </cell>
          <cell r="D1014" t="str">
            <v>PROFESSOR ASSISTENTE</v>
          </cell>
        </row>
        <row r="1015">
          <cell r="B1015" t="str">
            <v>IZIQUEL ANTONIO RADVANSKEI</v>
          </cell>
          <cell r="D1015" t="str">
            <v>PROFESSOR ASSISTENTE</v>
          </cell>
        </row>
        <row r="1016">
          <cell r="B1016" t="str">
            <v>SERGIO LUIS DO NASCIMENTO</v>
          </cell>
          <cell r="D1016" t="str">
            <v>PROFESSOR ADJUNTO</v>
          </cell>
        </row>
        <row r="1017">
          <cell r="B1017" t="str">
            <v>GABRIELA LOBO VEIGA</v>
          </cell>
          <cell r="D1017" t="str">
            <v>COORD CURSO</v>
          </cell>
        </row>
        <row r="1018">
          <cell r="B1018" t="str">
            <v>LUCIANO ALVES LEANDRO</v>
          </cell>
          <cell r="D1018" t="str">
            <v>PROFESSOR ASSISTENTE</v>
          </cell>
        </row>
        <row r="1019">
          <cell r="B1019" t="str">
            <v>THIAGO ROCHA DA CUNHA</v>
          </cell>
          <cell r="D1019" t="str">
            <v>PROFESSOR ADJUNTO</v>
          </cell>
        </row>
        <row r="1020">
          <cell r="B1020" t="str">
            <v>FABIANA DA SILVEIRA</v>
          </cell>
          <cell r="D1020" t="str">
            <v>ANL RELACIONAMENTO JR</v>
          </cell>
        </row>
        <row r="1021">
          <cell r="B1021" t="str">
            <v>ADRIANO MORITA FERNANDES DA SILVA</v>
          </cell>
          <cell r="D1021" t="str">
            <v>PROFESSOR TITULAR</v>
          </cell>
        </row>
        <row r="1022">
          <cell r="B1022" t="str">
            <v>TATIANA MAYUMI VEIGA IRIYODA</v>
          </cell>
          <cell r="D1022" t="str">
            <v>PROFESSOR ADJUNTO</v>
          </cell>
        </row>
        <row r="1023">
          <cell r="B1023" t="str">
            <v>PAULO HENRIQUE MARAVIESKI BRAMBILLA</v>
          </cell>
          <cell r="D1023" t="str">
            <v>PROFESSOR ASSISTENTE</v>
          </cell>
        </row>
        <row r="1024">
          <cell r="B1024" t="str">
            <v>CINTIA MIYUKI ODA</v>
          </cell>
          <cell r="D1024" t="str">
            <v>PROFESSOR ASSISTENTE</v>
          </cell>
        </row>
        <row r="1025">
          <cell r="B1025" t="str">
            <v>GUILHERME BITTENCOURT TEIXEIRA</v>
          </cell>
          <cell r="D1025" t="str">
            <v>PROFESSOR ASSISTENTE</v>
          </cell>
        </row>
        <row r="1026">
          <cell r="B1026" t="str">
            <v>ANDERSON VERMONDE HAMILKO</v>
          </cell>
          <cell r="D1026" t="str">
            <v>PROFESSOR ASSISTENTE</v>
          </cell>
        </row>
        <row r="1027">
          <cell r="B1027" t="str">
            <v>SIMONE DO AMARAL CASSILHA</v>
          </cell>
          <cell r="D1027" t="str">
            <v>PROFESSOR ASSISTENTE</v>
          </cell>
        </row>
        <row r="1028">
          <cell r="B1028" t="str">
            <v>FABIANA THIELE ESCUDERO</v>
          </cell>
          <cell r="D1028" t="str">
            <v>COORD CURSO</v>
          </cell>
        </row>
        <row r="1029">
          <cell r="B1029" t="str">
            <v>DORIS BERALDO</v>
          </cell>
          <cell r="D1029" t="str">
            <v>PROFESSOR AUXILIAR</v>
          </cell>
        </row>
        <row r="1030">
          <cell r="B1030" t="str">
            <v>JEFERSON JOSE THAUNY</v>
          </cell>
          <cell r="D1030" t="str">
            <v>COORD CURSO</v>
          </cell>
        </row>
        <row r="1031">
          <cell r="B1031" t="str">
            <v>RODRIGO APARECIDO MISAEL GUSMAO</v>
          </cell>
          <cell r="D1031" t="str">
            <v>MEDICO VETERINARIO</v>
          </cell>
        </row>
        <row r="1032">
          <cell r="B1032" t="str">
            <v>TATIANE CRISTINA MELLO BOROSKI</v>
          </cell>
          <cell r="D1032" t="str">
            <v>ANL CONTRATOS SR</v>
          </cell>
        </row>
        <row r="1033">
          <cell r="B1033" t="str">
            <v>LAURA CINQUINI FRANCO</v>
          </cell>
          <cell r="D1033" t="str">
            <v>PROFESSOR AUXILIAR</v>
          </cell>
        </row>
        <row r="1034">
          <cell r="B1034" t="str">
            <v>EDSON CARLOS FAUSTINO</v>
          </cell>
          <cell r="D1034" t="str">
            <v>ANL PASTORAL SR</v>
          </cell>
        </row>
        <row r="1035">
          <cell r="B1035" t="str">
            <v>JANAINA BRAGA NORTE</v>
          </cell>
          <cell r="D1035" t="str">
            <v>PROFESSOR ADJUNTO</v>
          </cell>
        </row>
        <row r="1036">
          <cell r="B1036" t="str">
            <v>GUSTAVO RAVAGLIO</v>
          </cell>
          <cell r="D1036" t="str">
            <v>PROFESSOR AUXILIAR</v>
          </cell>
        </row>
        <row r="1037">
          <cell r="B1037" t="str">
            <v>GABRIELA UNGER UNRUH</v>
          </cell>
          <cell r="D1037" t="str">
            <v>PROFESSOR ASSISTENTE</v>
          </cell>
        </row>
        <row r="1038">
          <cell r="B1038" t="str">
            <v>MARIANA CORCAO</v>
          </cell>
          <cell r="D1038" t="str">
            <v>PROFESSOR ADJUNTO</v>
          </cell>
        </row>
        <row r="1039">
          <cell r="B1039" t="str">
            <v>BEATRIZ POLIDORI ZECHLINSKI</v>
          </cell>
          <cell r="D1039" t="str">
            <v>PROFESSOR ADJUNTO</v>
          </cell>
        </row>
        <row r="1040">
          <cell r="B1040" t="str">
            <v>VINICIUS EL GHOZ DE LARA</v>
          </cell>
          <cell r="D1040" t="str">
            <v>PROFESSOR ASSISTENTE</v>
          </cell>
        </row>
        <row r="1041">
          <cell r="B1041" t="str">
            <v>MARCIAL MACANEIRO</v>
          </cell>
          <cell r="D1041" t="str">
            <v>PROFESSOR ADJUNTO</v>
          </cell>
        </row>
        <row r="1042">
          <cell r="B1042" t="str">
            <v>ANDERSON LUIZ CHAGAS</v>
          </cell>
          <cell r="D1042" t="str">
            <v>PROFESSOR ASSISTENTE</v>
          </cell>
        </row>
        <row r="1043">
          <cell r="B1043" t="str">
            <v>ANA CLAUDIA KAMPA</v>
          </cell>
          <cell r="D1043" t="str">
            <v>AST EXECUTIVA II</v>
          </cell>
        </row>
        <row r="1044">
          <cell r="B1044" t="str">
            <v>DANIELA DUTRA VIEIRA SEPECA</v>
          </cell>
          <cell r="D1044" t="str">
            <v>COORD EDUCACAO CONTINUADA</v>
          </cell>
        </row>
        <row r="1045">
          <cell r="B1045" t="str">
            <v>ROSIMEIRE TAKAKI ROSA</v>
          </cell>
          <cell r="D1045" t="str">
            <v>TEC LABORATORIO II (C/ AD-INS)</v>
          </cell>
        </row>
        <row r="1046">
          <cell r="B1046" t="str">
            <v>ANDREIA BOGO BETIATI</v>
          </cell>
          <cell r="D1046" t="str">
            <v>COORD EVENTOS</v>
          </cell>
        </row>
        <row r="1047">
          <cell r="B1047" t="str">
            <v>DEBORA CRISTINA RIBEIRO MIGUEL</v>
          </cell>
          <cell r="D1047" t="str">
            <v>COORD OPERACOES ACADEMICAS</v>
          </cell>
        </row>
        <row r="1048">
          <cell r="B1048" t="str">
            <v>ANNA RITA DE CASSIA DE SOUZA</v>
          </cell>
          <cell r="D1048" t="str">
            <v>ANL PROJETOS PL</v>
          </cell>
        </row>
        <row r="1049">
          <cell r="B1049" t="str">
            <v>KARIN ADRIANE KLEUSER MOREIRA</v>
          </cell>
          <cell r="D1049" t="str">
            <v>ANL RELACIONAMENTO JR</v>
          </cell>
        </row>
        <row r="1050">
          <cell r="B1050" t="str">
            <v>ANDREA TROVO LOPES</v>
          </cell>
          <cell r="D1050" t="str">
            <v>ANL PLANEJAMENTO FINANCEIRO SR</v>
          </cell>
        </row>
        <row r="1051">
          <cell r="B1051" t="str">
            <v>BRUNO COCUS BIATTO ZANARDI</v>
          </cell>
          <cell r="D1051" t="str">
            <v>AST NUCLEO PRATICAS JURIDICAS</v>
          </cell>
        </row>
        <row r="1052">
          <cell r="B1052" t="str">
            <v>PAULO NASCIMENTO NETO</v>
          </cell>
          <cell r="D1052" t="str">
            <v>COORD CURSO</v>
          </cell>
        </row>
        <row r="1053">
          <cell r="B1053" t="str">
            <v>ALEXANDRE KOWALCZUCK</v>
          </cell>
          <cell r="D1053" t="str">
            <v>PROFESSOR ADJUNTO</v>
          </cell>
        </row>
        <row r="1054">
          <cell r="B1054" t="str">
            <v>DENISE RATMANN ARRUDA COLIN</v>
          </cell>
          <cell r="D1054" t="str">
            <v>PROFESSOR ADJUNTO</v>
          </cell>
        </row>
        <row r="1055">
          <cell r="B1055" t="str">
            <v>ELISANGELA BESKO LUIZ</v>
          </cell>
          <cell r="D1055" t="str">
            <v>ANL OPERACOES ACADEMICAS PL</v>
          </cell>
        </row>
        <row r="1056">
          <cell r="B1056" t="str">
            <v>MARCIO RICARDO VIANNA</v>
          </cell>
          <cell r="D1056" t="str">
            <v>GTE SR ADMINISTRATIVO FINANCEIRO</v>
          </cell>
        </row>
        <row r="1057">
          <cell r="B1057" t="str">
            <v>ANDREA FERNANDES CALESSO</v>
          </cell>
          <cell r="D1057" t="str">
            <v>AST EXECUTIVA II</v>
          </cell>
        </row>
        <row r="1058">
          <cell r="B1058" t="str">
            <v>JONATHAN DE JESUS ALVES</v>
          </cell>
          <cell r="D1058" t="str">
            <v>ANL LABORATORIO JR</v>
          </cell>
        </row>
        <row r="1059">
          <cell r="B1059" t="str">
            <v>ANDRE CARLOS MACHADO</v>
          </cell>
          <cell r="D1059" t="str">
            <v>AST LOGISTICA I</v>
          </cell>
        </row>
        <row r="1060">
          <cell r="B1060" t="str">
            <v>DELSON PEREIRA DA SILVA</v>
          </cell>
          <cell r="D1060" t="str">
            <v>AUX BOVINOCULTURA</v>
          </cell>
        </row>
        <row r="1061">
          <cell r="B1061" t="str">
            <v>PAUL JURGEN KELTER</v>
          </cell>
          <cell r="D1061" t="str">
            <v>PROFESSOR ASSISTENTE</v>
          </cell>
        </row>
        <row r="1062">
          <cell r="B1062" t="str">
            <v>RUI BARROSO SCHIMITI</v>
          </cell>
          <cell r="D1062" t="str">
            <v>PROFESSOR ASSISTENTE</v>
          </cell>
        </row>
        <row r="1063">
          <cell r="B1063" t="str">
            <v>FERNANDA LIBONI CAVICCHIOLI</v>
          </cell>
          <cell r="D1063" t="str">
            <v>PROFESSOR AUXILIAR</v>
          </cell>
        </row>
        <row r="1064">
          <cell r="B1064" t="str">
            <v>GISLAINE APARECIDA SUZUKI</v>
          </cell>
          <cell r="D1064" t="str">
            <v>PROFESSOR ASSISTENTE</v>
          </cell>
        </row>
        <row r="1065">
          <cell r="B1065" t="str">
            <v>SAULO PFEFFER GEBER</v>
          </cell>
          <cell r="D1065" t="str">
            <v>DIR SERVICO ESTUDANTE</v>
          </cell>
        </row>
        <row r="1066">
          <cell r="B1066" t="str">
            <v>DANIELLE BECKER LANZONI LAURINDO</v>
          </cell>
          <cell r="D1066" t="str">
            <v>ANL ADMINISTRATIVO PL</v>
          </cell>
        </row>
        <row r="1067">
          <cell r="B1067" t="str">
            <v>CLAUDIA LUCIA MENEGATTI</v>
          </cell>
          <cell r="D1067" t="str">
            <v>PROFESSOR ASSISTENTE</v>
          </cell>
        </row>
        <row r="1068">
          <cell r="B1068" t="str">
            <v>MARCO AURELIO FORNAZIERI</v>
          </cell>
          <cell r="D1068" t="str">
            <v>PROFESSOR ADJUNTO</v>
          </cell>
        </row>
        <row r="1069">
          <cell r="B1069" t="str">
            <v>GUSTAVO LENCI MARQUES</v>
          </cell>
          <cell r="D1069" t="str">
            <v>PROFESSOR ASSISTENTE</v>
          </cell>
        </row>
        <row r="1070">
          <cell r="B1070" t="str">
            <v>MICHEL ALEXANDRE FILLUS</v>
          </cell>
          <cell r="D1070" t="str">
            <v>PROFESSOR ASSISTENTE</v>
          </cell>
        </row>
        <row r="1071">
          <cell r="B1071" t="str">
            <v>ANDRESSA MARIANNE SALLES ENGELMANN</v>
          </cell>
          <cell r="D1071" t="str">
            <v>PROFESSOR AUXILIAR</v>
          </cell>
        </row>
        <row r="1072">
          <cell r="B1072" t="str">
            <v>MARIA ALICE WITT</v>
          </cell>
          <cell r="D1072" t="str">
            <v>COORD CURSO</v>
          </cell>
        </row>
        <row r="1073">
          <cell r="B1073" t="str">
            <v>KAMILA COLOMBO</v>
          </cell>
          <cell r="D1073" t="str">
            <v>COORD PEDAGOGICO</v>
          </cell>
        </row>
        <row r="1074">
          <cell r="B1074" t="str">
            <v>TANIA CRISTINA SILVA BARBIERI</v>
          </cell>
          <cell r="D1074" t="str">
            <v>PROFESSOR AUXILIAR</v>
          </cell>
        </row>
        <row r="1075">
          <cell r="B1075" t="str">
            <v>DANIEL PALA ABECHE</v>
          </cell>
          <cell r="D1075" t="str">
            <v>PROFESSOR ASSISTENTE</v>
          </cell>
        </row>
        <row r="1076">
          <cell r="B1076" t="str">
            <v>PAULO HENRIQUE GUILMAN TANIZAWA</v>
          </cell>
          <cell r="D1076" t="str">
            <v>COORD CURSO</v>
          </cell>
        </row>
        <row r="1077">
          <cell r="B1077" t="str">
            <v>MARCOS MASSASHI HORITA</v>
          </cell>
          <cell r="D1077" t="str">
            <v>PROFESSOR ASSISTENTE</v>
          </cell>
        </row>
        <row r="1078">
          <cell r="B1078" t="str">
            <v>ERIKA HOYAMA</v>
          </cell>
          <cell r="D1078" t="str">
            <v>PROFESSOR AUXILIAR</v>
          </cell>
        </row>
        <row r="1079">
          <cell r="B1079" t="str">
            <v>GLAUCIO HENRIQUE MATSUSHITA MORO</v>
          </cell>
          <cell r="D1079" t="str">
            <v>PROFESSOR ASSISTENTE</v>
          </cell>
        </row>
        <row r="1080">
          <cell r="B1080" t="str">
            <v>JOICE DE OLIVEIRA PETRECCA TOMASCHITZ</v>
          </cell>
          <cell r="D1080" t="str">
            <v>COORD CURSO</v>
          </cell>
        </row>
        <row r="1081">
          <cell r="B1081" t="str">
            <v>VIVIAN DELL AGNOLO BARBOSA MADALOZZO</v>
          </cell>
          <cell r="D1081" t="str">
            <v>PROFESSOR ASSISTENTE</v>
          </cell>
        </row>
        <row r="1082">
          <cell r="B1082" t="str">
            <v>LINDSEY MITIE NAKAKOGUE</v>
          </cell>
          <cell r="D1082" t="str">
            <v>PROFESSOR AUXILIAR</v>
          </cell>
        </row>
        <row r="1083">
          <cell r="B1083" t="str">
            <v>DEBORAH IURI TAZIMA</v>
          </cell>
          <cell r="D1083" t="str">
            <v>PROFESSOR ASSISTENTE</v>
          </cell>
        </row>
        <row r="1084">
          <cell r="B1084" t="str">
            <v>MARISTELA PIMENTEL COELHO</v>
          </cell>
          <cell r="D1084" t="str">
            <v>ANL OPERACOES ACADEMICAS SR</v>
          </cell>
        </row>
        <row r="1085">
          <cell r="B1085" t="str">
            <v>RONALDO SILVEIRA DE PAIVA</v>
          </cell>
          <cell r="D1085" t="str">
            <v>PROFESSOR AUXILIAR</v>
          </cell>
        </row>
        <row r="1086">
          <cell r="B1086" t="str">
            <v>FRANCINE DUTRA MATTEI</v>
          </cell>
          <cell r="D1086" t="str">
            <v>PROFESSOR ASSISTENTE</v>
          </cell>
        </row>
        <row r="1087">
          <cell r="B1087" t="str">
            <v>GREICE KELLY COSTA</v>
          </cell>
          <cell r="D1087" t="str">
            <v>ADVOGADO SR</v>
          </cell>
        </row>
        <row r="1088">
          <cell r="B1088" t="str">
            <v>MICHELE MARCOS DE OLIVEIRA</v>
          </cell>
          <cell r="D1088" t="str">
            <v>GTE EDITORA</v>
          </cell>
        </row>
        <row r="1089">
          <cell r="B1089" t="str">
            <v>CARMEN LUCIA KUNIYOSHI REBELATTO</v>
          </cell>
          <cell r="D1089" t="str">
            <v>PROFESSOR ADJUNTO</v>
          </cell>
        </row>
        <row r="1090">
          <cell r="B1090" t="str">
            <v>THIAGO JOSE DE OLIVEIRA</v>
          </cell>
          <cell r="D1090" t="str">
            <v>ANL ATENDIMENTO JR</v>
          </cell>
        </row>
        <row r="1091">
          <cell r="B1091" t="str">
            <v>CAROLINE NEPPEL ALVES LEITE</v>
          </cell>
          <cell r="D1091" t="str">
            <v>AST ADMINISTRATIVO II</v>
          </cell>
        </row>
        <row r="1092">
          <cell r="B1092" t="str">
            <v>ANDRIA PAULA MORAES DE OSTI</v>
          </cell>
          <cell r="D1092" t="str">
            <v>ANL ADMINISTRATIVO PL</v>
          </cell>
        </row>
        <row r="1093">
          <cell r="B1093" t="str">
            <v>MARIANA CASUSA DE OLIVEIRA</v>
          </cell>
          <cell r="D1093" t="str">
            <v>ANL ADMINISTRATIVO PL</v>
          </cell>
        </row>
        <row r="1094">
          <cell r="B1094" t="str">
            <v>CESAR AUGUSTO RUFATTO</v>
          </cell>
          <cell r="D1094" t="str">
            <v>ESP IDENTIDADE INSTITUCIONAL</v>
          </cell>
        </row>
        <row r="1095">
          <cell r="B1095" t="str">
            <v>NADINA APARECIDA MORENO</v>
          </cell>
          <cell r="D1095" t="str">
            <v>DECANO</v>
          </cell>
        </row>
        <row r="1096">
          <cell r="B1096" t="str">
            <v>ALISSON ROCHA MACHADO</v>
          </cell>
          <cell r="D1096" t="str">
            <v>PROFESSOR TITULAR</v>
          </cell>
        </row>
        <row r="1097">
          <cell r="B1097" t="str">
            <v>JOSE ANTONIO MIGUEL</v>
          </cell>
          <cell r="D1097" t="str">
            <v>PROFESSOR ASSISTENTE</v>
          </cell>
        </row>
        <row r="1098">
          <cell r="B1098" t="str">
            <v>CELSO APPARECIDO ATHAYDE NETO</v>
          </cell>
          <cell r="D1098" t="str">
            <v>PROFESSOR ASSISTENTE</v>
          </cell>
        </row>
        <row r="1099">
          <cell r="B1099" t="str">
            <v>GISLAYNE CARVALHO FRAGOSO</v>
          </cell>
          <cell r="D1099" t="str">
            <v>PROFESSOR ASSISTENTE</v>
          </cell>
        </row>
        <row r="1100">
          <cell r="B1100" t="str">
            <v>CAMILA ARFELLI CABRERA</v>
          </cell>
          <cell r="D1100" t="str">
            <v>PROFESSOR AUXILIAR</v>
          </cell>
        </row>
        <row r="1101">
          <cell r="B1101" t="str">
            <v>DOUGLAS MEGURU HIRAGA</v>
          </cell>
          <cell r="D1101" t="str">
            <v>PROFESSOR AUXILIAR</v>
          </cell>
        </row>
        <row r="1102">
          <cell r="B1102" t="str">
            <v>LUIZ CARLOS CANTANHEDE FERNANDES JUNIOR</v>
          </cell>
          <cell r="D1102" t="str">
            <v>PROFESSOR AUXILIAR</v>
          </cell>
        </row>
        <row r="1103">
          <cell r="B1103" t="str">
            <v>REGINA CELIA POLI FREDERICO</v>
          </cell>
          <cell r="D1103" t="str">
            <v>PROFESSOR ADJUNTO</v>
          </cell>
        </row>
        <row r="1104">
          <cell r="B1104" t="str">
            <v>ROGERIO GOLDONI SILVEIRA</v>
          </cell>
          <cell r="D1104" t="str">
            <v>PROFESSOR ASSISTENTE</v>
          </cell>
        </row>
        <row r="1105">
          <cell r="B1105" t="str">
            <v>CLAYTON SANTOS DO COUTO</v>
          </cell>
          <cell r="D1105" t="str">
            <v>COORD CURSO</v>
          </cell>
        </row>
        <row r="1106">
          <cell r="B1106" t="str">
            <v>HUDSON PRESTES DOS SANTOS</v>
          </cell>
          <cell r="D1106" t="str">
            <v>PROFESSOR AUXILIAR</v>
          </cell>
        </row>
        <row r="1107">
          <cell r="B1107" t="str">
            <v>MICHAEL HIROMI ZAMPRONIO MIYAZAKI</v>
          </cell>
          <cell r="D1107" t="str">
            <v>PROFESSOR AUXILIAR</v>
          </cell>
        </row>
        <row r="1108">
          <cell r="B1108" t="str">
            <v>EWERTON DE SA KAVISKI</v>
          </cell>
          <cell r="D1108" t="str">
            <v>PROFESSOR ASSISTENTE</v>
          </cell>
        </row>
        <row r="1109">
          <cell r="B1109" t="str">
            <v>EVARY ELYS ANGHINONI</v>
          </cell>
          <cell r="D1109" t="str">
            <v>PROFESSOR ASSISTENTE</v>
          </cell>
        </row>
        <row r="1110">
          <cell r="B1110" t="str">
            <v>CRISTINA MARIA DE AGUIAR PASTORE</v>
          </cell>
          <cell r="D1110" t="str">
            <v>DIR MARKETING</v>
          </cell>
        </row>
        <row r="1111">
          <cell r="B1111" t="str">
            <v>LUIZ ALBERTO VIVAN</v>
          </cell>
          <cell r="D1111" t="str">
            <v>PROFESSOR ADJUNTO</v>
          </cell>
        </row>
        <row r="1112">
          <cell r="B1112" t="str">
            <v>ADRIANO KULPA</v>
          </cell>
          <cell r="D1112" t="str">
            <v>PROFESSOR AUXILIAR</v>
          </cell>
        </row>
        <row r="1113">
          <cell r="B1113" t="str">
            <v>CAMILA MONTEIRO MAZZARIN BORGES</v>
          </cell>
          <cell r="D1113" t="str">
            <v>PROFESSOR AUXILIAR</v>
          </cell>
        </row>
        <row r="1114">
          <cell r="B1114" t="str">
            <v>DARIANY MONTEIRO SILVESTRIN</v>
          </cell>
          <cell r="D1114" t="str">
            <v>GTE MARKETING</v>
          </cell>
        </row>
        <row r="1115">
          <cell r="B1115" t="str">
            <v>IVANA SHIZUE IMAYUKI DUARTE MECHAILECH</v>
          </cell>
          <cell r="D1115" t="str">
            <v>PROFESSOR ASSISTENTE</v>
          </cell>
        </row>
        <row r="1116">
          <cell r="B1116" t="str">
            <v>LEANDRO FEIJO SONNBERGER</v>
          </cell>
          <cell r="D1116" t="str">
            <v>PROFESSOR AUXILIAR</v>
          </cell>
        </row>
        <row r="1117">
          <cell r="B1117" t="str">
            <v>FRANCINE MILENKOVICH BELINETTI</v>
          </cell>
          <cell r="D1117" t="str">
            <v>PROFESSOR AUXILIAR</v>
          </cell>
        </row>
        <row r="1118">
          <cell r="B1118" t="str">
            <v>KARINE CARDOSO</v>
          </cell>
          <cell r="D1118" t="str">
            <v>ANL INFORMACOES GERENCIAIS PL</v>
          </cell>
        </row>
        <row r="1119">
          <cell r="B1119" t="str">
            <v>MARIA CRISTINA FIGUEROA MAGALHAES</v>
          </cell>
          <cell r="D1119" t="str">
            <v>PROFESSOR AUXILIAR</v>
          </cell>
        </row>
        <row r="1120">
          <cell r="B1120" t="str">
            <v>GIORDANA DE SOUZA</v>
          </cell>
          <cell r="D1120" t="str">
            <v>AST ATENDIMENTO</v>
          </cell>
        </row>
        <row r="1121">
          <cell r="B1121" t="str">
            <v>SANDRA MARTINS ARRUDA FEDEREZZI</v>
          </cell>
          <cell r="D1121" t="str">
            <v>ANL OPERACOES ACADEMICAS JR</v>
          </cell>
        </row>
        <row r="1122">
          <cell r="B1122" t="str">
            <v>JOSE ANDRE DE AZEVEDO</v>
          </cell>
          <cell r="D1122" t="str">
            <v>GTE RELACIONAMENTO</v>
          </cell>
        </row>
        <row r="1123">
          <cell r="B1123" t="str">
            <v>GUILHERME HENRIQUE SAKAKIBARA</v>
          </cell>
          <cell r="D1123" t="str">
            <v>ANL ADMINISTRATIVO PL</v>
          </cell>
        </row>
        <row r="1124">
          <cell r="B1124" t="str">
            <v>WESLLEY BERNARDI FORTES</v>
          </cell>
          <cell r="D1124" t="str">
            <v>TEC LABORATORIO II (S/ AD-INS)</v>
          </cell>
        </row>
        <row r="1125">
          <cell r="B1125" t="str">
            <v>RONALDO ADRIANO DOS SANTOS</v>
          </cell>
          <cell r="D1125" t="str">
            <v>AST ATENDIMENTO</v>
          </cell>
        </row>
        <row r="1126">
          <cell r="B1126" t="str">
            <v>PEDRO GUILHERME RIBEIRO PICCOLI</v>
          </cell>
          <cell r="D1126" t="str">
            <v>PROFESSOR ADJUNTO</v>
          </cell>
        </row>
        <row r="1127">
          <cell r="B1127" t="str">
            <v>CAMILLE RODRIGUES SILVA</v>
          </cell>
          <cell r="D1127" t="str">
            <v>AST BIBLIOTECA II</v>
          </cell>
        </row>
        <row r="1128">
          <cell r="B1128" t="str">
            <v>EDUARDO LUIZ MENDES</v>
          </cell>
          <cell r="D1128" t="str">
            <v>CONSULTOR GESTAO DOCUMENTAL</v>
          </cell>
        </row>
        <row r="1129">
          <cell r="B1129" t="str">
            <v>ADRIANE CRISTINA DA SILVA</v>
          </cell>
          <cell r="D1129" t="str">
            <v>TEC LABORATORIO I (C/ AD-INS)</v>
          </cell>
        </row>
        <row r="1130">
          <cell r="B1130" t="str">
            <v>RODRIGO LIMA DA SILVA</v>
          </cell>
          <cell r="D1130" t="str">
            <v>GTE ADMINISTRATIVO FINANCEIRO</v>
          </cell>
        </row>
        <row r="1131">
          <cell r="B1131" t="str">
            <v>BRUNO DE OLIVEIRA MORAES</v>
          </cell>
          <cell r="D1131" t="str">
            <v>EXECUTIVO NEGOCIOS SR</v>
          </cell>
        </row>
        <row r="1132">
          <cell r="B1132" t="str">
            <v>PEDRO HENRIQUE SANTOS DE ALMEIDA</v>
          </cell>
          <cell r="D1132" t="str">
            <v>AST BIBLIOTECA II</v>
          </cell>
        </row>
        <row r="1133">
          <cell r="B1133" t="str">
            <v>DAIANE RODRIGUES CABRAL DE LIMA</v>
          </cell>
          <cell r="D1133" t="str">
            <v>TEC LABORATORIO II (C/ AD-INS)</v>
          </cell>
        </row>
        <row r="1134">
          <cell r="B1134" t="str">
            <v>TIAGO CARDOSO</v>
          </cell>
          <cell r="D1134" t="str">
            <v>ANL PROJETOS COMUNITARIOS JR</v>
          </cell>
        </row>
        <row r="1135">
          <cell r="B1135" t="str">
            <v>LOURDES MARCIANO RODRIGUES DA SILVA</v>
          </cell>
          <cell r="D1135" t="str">
            <v>ANL CAPTACAO JR</v>
          </cell>
        </row>
        <row r="1136">
          <cell r="B1136" t="str">
            <v>ELAINE SAMIRA POPE DA SILVA</v>
          </cell>
          <cell r="D1136" t="str">
            <v>ADVOGADO SR</v>
          </cell>
        </row>
        <row r="1137">
          <cell r="B1137" t="str">
            <v>JOAO VICTOR PEREIRA DA SILVA</v>
          </cell>
          <cell r="D1137" t="str">
            <v>ANL FINANCEIRO SR</v>
          </cell>
        </row>
        <row r="1138">
          <cell r="B1138" t="str">
            <v>BERENICE STULZER</v>
          </cell>
          <cell r="D1138" t="str">
            <v>ANL ADMINISTRATIVO SR</v>
          </cell>
        </row>
        <row r="1139">
          <cell r="B1139" t="str">
            <v>JULIANO MAGNONN BERSANI</v>
          </cell>
          <cell r="D1139" t="str">
            <v>AST ATENDIMENTO</v>
          </cell>
        </row>
        <row r="1140">
          <cell r="B1140" t="str">
            <v>FERNANDA GONCALVES FERNANDES</v>
          </cell>
          <cell r="D1140" t="str">
            <v>ANL ADMINISTRATIVO JR</v>
          </cell>
        </row>
        <row r="1141">
          <cell r="B1141" t="str">
            <v>JHENIFFER LOPES PEREIRA</v>
          </cell>
          <cell r="D1141" t="str">
            <v>ANL OPERACOES ACADEMICAS SR</v>
          </cell>
        </row>
        <row r="1142">
          <cell r="B1142" t="str">
            <v>CARLOS EDUARDO DO ROSARIO PAIVA</v>
          </cell>
          <cell r="D1142" t="str">
            <v>INSTRUTOR</v>
          </cell>
        </row>
        <row r="1143">
          <cell r="B1143" t="str">
            <v>RAPHAEL DONADIO PITTA</v>
          </cell>
          <cell r="D1143" t="str">
            <v>PROFESSOR AUXILIAR</v>
          </cell>
        </row>
        <row r="1144">
          <cell r="B1144" t="str">
            <v>MARCUS VINICIUS DANIELI</v>
          </cell>
          <cell r="D1144" t="str">
            <v>MEDICO PRECEPTOR</v>
          </cell>
        </row>
        <row r="1145">
          <cell r="B1145" t="str">
            <v>CARLOS EDUARDO MOTOOKA</v>
          </cell>
          <cell r="D1145" t="str">
            <v>MEDICO PRECEPTOR</v>
          </cell>
        </row>
        <row r="1146">
          <cell r="B1146" t="str">
            <v>HELIO APARECIDO BATISTELLA JUNIOR</v>
          </cell>
          <cell r="D1146" t="str">
            <v>MEDICO PRECEPTOR</v>
          </cell>
        </row>
        <row r="1147">
          <cell r="B1147" t="str">
            <v>GISELE RIETOW BERTOTTI</v>
          </cell>
          <cell r="D1147" t="str">
            <v>PROFESSOR ASSISTENTE</v>
          </cell>
        </row>
        <row r="1148">
          <cell r="B1148" t="str">
            <v>VILMAR ABREU JUNIOR</v>
          </cell>
          <cell r="D1148" t="str">
            <v>DIR TRANSFORMACAO PROCESSOS</v>
          </cell>
        </row>
        <row r="1149">
          <cell r="B1149" t="str">
            <v>JULIANA SCHAIA ROCHA ORSI</v>
          </cell>
          <cell r="D1149" t="str">
            <v>PROFESSOR ADJUNTO</v>
          </cell>
        </row>
        <row r="1150">
          <cell r="B1150" t="str">
            <v>CLAUDIA PATRICIA BENGOZI DA SILVA</v>
          </cell>
          <cell r="D1150" t="str">
            <v>TEC LABORATORIO I (C/ AD-INS)</v>
          </cell>
        </row>
        <row r="1151">
          <cell r="B1151" t="str">
            <v>SUELI ALMEIDA DE OLIVEIRA</v>
          </cell>
          <cell r="D1151" t="str">
            <v>PROFESSOR ASSISTENTE</v>
          </cell>
        </row>
        <row r="1152">
          <cell r="B1152" t="str">
            <v>VANDERLEI MONTEMOR BERNARDO</v>
          </cell>
          <cell r="D1152" t="str">
            <v>MEDICO PRECEPTOR</v>
          </cell>
        </row>
        <row r="1153">
          <cell r="B1153" t="str">
            <v>NAJA NABUT</v>
          </cell>
          <cell r="D1153" t="str">
            <v>MEDICO PRECEPTOR</v>
          </cell>
        </row>
        <row r="1154">
          <cell r="B1154" t="str">
            <v>RAPHAEL CHRYSTOPHER BORGUEZAN</v>
          </cell>
          <cell r="D1154" t="str">
            <v>PROFESSOR ASSISTENTE</v>
          </cell>
        </row>
        <row r="1155">
          <cell r="B1155" t="str">
            <v>ANDREA LUIZA CURRALINHO BRAGA</v>
          </cell>
          <cell r="D1155" t="str">
            <v>COORD CURSO</v>
          </cell>
        </row>
        <row r="1156">
          <cell r="B1156" t="str">
            <v>BRUNA MARQUES DA CUNHA QUIGNALIA DA SILVA</v>
          </cell>
          <cell r="D1156" t="str">
            <v>ANL ADMINISTRATIVO PL</v>
          </cell>
        </row>
        <row r="1157">
          <cell r="B1157" t="str">
            <v>DJOCELLIN IKEDA</v>
          </cell>
          <cell r="D1157" t="str">
            <v>ANL AVALIACAO INSTITUCIONAL SR</v>
          </cell>
        </row>
        <row r="1158">
          <cell r="B1158" t="str">
            <v>LUIZ FERNANDO BIANCHINI</v>
          </cell>
          <cell r="D1158" t="str">
            <v>PROFESSOR ADJUNTO</v>
          </cell>
        </row>
        <row r="1159">
          <cell r="B1159" t="str">
            <v>ANA LUCIA LACERDA MICHELOTTO</v>
          </cell>
          <cell r="D1159" t="str">
            <v>COORD PSICOPEDAGOGICO</v>
          </cell>
        </row>
        <row r="1160">
          <cell r="B1160" t="str">
            <v>CASSIA REGINA NOGUEIRA GUIMARAES</v>
          </cell>
          <cell r="D1160" t="str">
            <v>PROFESSOR AUXILIAR</v>
          </cell>
        </row>
        <row r="1161">
          <cell r="B1161" t="str">
            <v>ROBERTO GOMES TARLE</v>
          </cell>
          <cell r="D1161" t="str">
            <v>PROFESSOR AUXILIAR</v>
          </cell>
        </row>
        <row r="1162">
          <cell r="B1162" t="str">
            <v>FRANCIELI BALDAN ALVES</v>
          </cell>
          <cell r="D1162" t="str">
            <v>ENFERMEIRO</v>
          </cell>
        </row>
        <row r="1163">
          <cell r="B1163" t="str">
            <v>ALEXANDRE DA SILVA</v>
          </cell>
          <cell r="D1163" t="str">
            <v>AST ATENDIMENTO</v>
          </cell>
        </row>
        <row r="1164">
          <cell r="B1164" t="str">
            <v>EMERSON RIBEIRO PALMA</v>
          </cell>
          <cell r="D1164" t="str">
            <v>GTE ADMINISTRATIVO FINANCEIRO</v>
          </cell>
        </row>
        <row r="1165">
          <cell r="B1165" t="str">
            <v>CARLOS EDUARDO CORAL DE OLIVEIRA</v>
          </cell>
          <cell r="D1165" t="str">
            <v>PROFESSOR ADJUNTO</v>
          </cell>
        </row>
        <row r="1166">
          <cell r="B1166" t="str">
            <v>MARLUCE ALESSANDRA PERON GARCIA</v>
          </cell>
          <cell r="D1166" t="str">
            <v>PROFESSOR LINGUA ESTRANGEIRA</v>
          </cell>
        </row>
        <row r="1167">
          <cell r="B1167" t="str">
            <v>LUANA APARECIDA PEREIRA</v>
          </cell>
          <cell r="D1167" t="str">
            <v>ANL FORMACAO JR</v>
          </cell>
        </row>
        <row r="1168">
          <cell r="B1168" t="str">
            <v>BARBARA RAQUEL DO PRADO GIMENEZ CORREA</v>
          </cell>
          <cell r="D1168" t="str">
            <v>PROFESSOR ADJUNTO</v>
          </cell>
        </row>
        <row r="1169">
          <cell r="B1169" t="str">
            <v>EROS LUIZ DE SOUSA</v>
          </cell>
          <cell r="D1169" t="str">
            <v>PROFESSOR ASSISTENTE</v>
          </cell>
        </row>
        <row r="1170">
          <cell r="B1170" t="str">
            <v>EMANUEL DA SILVEIRA FALEIROS</v>
          </cell>
          <cell r="D1170" t="str">
            <v>PROFESSOR ASSISTENTE</v>
          </cell>
        </row>
        <row r="1171">
          <cell r="B1171" t="str">
            <v>ANDREIA SUSAN ROSA</v>
          </cell>
          <cell r="D1171" t="str">
            <v>ANL PASTORAL SR</v>
          </cell>
        </row>
        <row r="1172">
          <cell r="B1172" t="str">
            <v>PAULO CESAR PHILIPPI</v>
          </cell>
          <cell r="D1172" t="str">
            <v>PROFESSOR TITULAR</v>
          </cell>
        </row>
        <row r="1173">
          <cell r="B1173" t="str">
            <v>THIAGO JOSE STINGHEN</v>
          </cell>
          <cell r="D1173" t="str">
            <v>ESP MARKETING</v>
          </cell>
        </row>
        <row r="1174">
          <cell r="B1174" t="str">
            <v>RODRIGO CESAR PUCCI</v>
          </cell>
          <cell r="D1174" t="str">
            <v>GTE TRANSFORMACAO PROCESSOS</v>
          </cell>
        </row>
        <row r="1175">
          <cell r="B1175" t="str">
            <v>RENATA CRUZ PIRES</v>
          </cell>
          <cell r="D1175" t="str">
            <v>ANL MOBILIDADE INTERNACIONAL SR</v>
          </cell>
        </row>
        <row r="1176">
          <cell r="B1176" t="str">
            <v>DANIELE PAULA DOS SANTOS</v>
          </cell>
          <cell r="D1176" t="str">
            <v>ANL CAPTACAO JR</v>
          </cell>
        </row>
        <row r="1177">
          <cell r="B1177" t="str">
            <v>ELISA RAQUEL BINDEWALD KOLM</v>
          </cell>
          <cell r="D1177" t="str">
            <v>COORD TECNOLOGIA INFORMACAO</v>
          </cell>
        </row>
        <row r="1178">
          <cell r="B1178" t="str">
            <v>DANIEL BALTAZAR DA SILVA</v>
          </cell>
          <cell r="D1178" t="str">
            <v>ENFERMEIRO</v>
          </cell>
        </row>
        <row r="1179">
          <cell r="B1179" t="str">
            <v>KELLY ANDRESSA KULITCH DE LARA</v>
          </cell>
          <cell r="D1179" t="str">
            <v>ANL OPERACOES ACADEMICAS PL</v>
          </cell>
        </row>
        <row r="1180">
          <cell r="B1180" t="str">
            <v>RODRIGO DE ANDRADE COSTA</v>
          </cell>
          <cell r="D1180" t="str">
            <v>GTE PROJETOS</v>
          </cell>
        </row>
        <row r="1181">
          <cell r="B1181" t="str">
            <v>MARIANA GRASSI NOYA</v>
          </cell>
          <cell r="D1181" t="str">
            <v>PROFESSOR ASSISTENTE</v>
          </cell>
        </row>
        <row r="1182">
          <cell r="B1182" t="str">
            <v>ERIKA OKUNO</v>
          </cell>
          <cell r="D1182" t="str">
            <v>PROFESSOR AUXILIAR</v>
          </cell>
        </row>
        <row r="1183">
          <cell r="B1183" t="str">
            <v>LUIS FERNANDO LASARO MANGIERI</v>
          </cell>
          <cell r="D1183" t="str">
            <v>MEDICO PRECEPTOR</v>
          </cell>
        </row>
        <row r="1184">
          <cell r="B1184" t="str">
            <v>BEATRIZ DAOU VERENHITACH</v>
          </cell>
          <cell r="D1184" t="str">
            <v>PROFESSOR AUXILIAR</v>
          </cell>
        </row>
        <row r="1185">
          <cell r="B1185" t="str">
            <v>GERALDO ELISSON SUGETA</v>
          </cell>
          <cell r="D1185" t="str">
            <v>MEDICO PRECEPTOR</v>
          </cell>
        </row>
        <row r="1186">
          <cell r="B1186" t="str">
            <v>BRUNO ANDRE DI RICO</v>
          </cell>
          <cell r="D1186" t="str">
            <v>MEDICO PRECEPTOR</v>
          </cell>
        </row>
        <row r="1187">
          <cell r="B1187" t="str">
            <v>SILVIO ANDRE DE GOES BIRAL</v>
          </cell>
          <cell r="D1187" t="str">
            <v>MEDICO PRECEPTOR</v>
          </cell>
        </row>
        <row r="1188">
          <cell r="B1188" t="str">
            <v>CASSIA REGINA MATSUNAGA CANIZARES</v>
          </cell>
          <cell r="D1188" t="str">
            <v>MEDICO PRECEPTOR</v>
          </cell>
        </row>
        <row r="1189">
          <cell r="B1189" t="str">
            <v>JULIANA CARVALHO ROMAGNOLLI PLASTINA</v>
          </cell>
          <cell r="D1189" t="str">
            <v>MEDICO PRECEPTOR</v>
          </cell>
        </row>
        <row r="1190">
          <cell r="B1190" t="str">
            <v>EDINEIA LOPES DA CRUZ SOUZA</v>
          </cell>
          <cell r="D1190" t="str">
            <v>PROFESSOR ASSISTENTE</v>
          </cell>
        </row>
        <row r="1191">
          <cell r="B1191" t="str">
            <v>BARBARA PICK ORNAGHI</v>
          </cell>
          <cell r="D1191" t="str">
            <v>COORD ACADEMICO EDUCACAO CONTINUADA</v>
          </cell>
        </row>
        <row r="1192">
          <cell r="B1192" t="str">
            <v>MADALENA DE FARIA SAMPAIO</v>
          </cell>
          <cell r="D1192" t="str">
            <v>PROFESSOR AUXILIAR</v>
          </cell>
        </row>
        <row r="1193">
          <cell r="B1193" t="str">
            <v>KATIA ALESSANDRA PASTORI TERRIN</v>
          </cell>
          <cell r="D1193" t="str">
            <v>PROFESSOR ADJUNTO</v>
          </cell>
        </row>
        <row r="1194">
          <cell r="B1194" t="str">
            <v>THAIS ARRIAS WEILLER</v>
          </cell>
          <cell r="D1194" t="str">
            <v>PROFESSOR ASSISTENTE</v>
          </cell>
        </row>
        <row r="1195">
          <cell r="B1195" t="str">
            <v>JOSE EDUARDO NUNES LINO</v>
          </cell>
          <cell r="D1195" t="str">
            <v>COORD CURSO</v>
          </cell>
        </row>
        <row r="1196">
          <cell r="B1196" t="str">
            <v>MARIA CELIA NOGUEIRA PINTO E BORGO BZUNECK</v>
          </cell>
          <cell r="D1196" t="str">
            <v>PROFESSOR ADJUNTO</v>
          </cell>
        </row>
        <row r="1197">
          <cell r="B1197" t="str">
            <v>FATIMA MITSIE CHIBANA SOARES</v>
          </cell>
          <cell r="D1197" t="str">
            <v>PROFESSOR ASSISTENTE</v>
          </cell>
        </row>
        <row r="1198">
          <cell r="B1198" t="str">
            <v>LEONARDO VALENTE DE CAMARGO</v>
          </cell>
          <cell r="D1198" t="str">
            <v>PROFESSOR ADJUNTO</v>
          </cell>
        </row>
        <row r="1199">
          <cell r="B1199" t="str">
            <v>SILVIA CARREIRA RIBEIRO</v>
          </cell>
          <cell r="D1199" t="str">
            <v>PROFESSOR ASSISTENTE</v>
          </cell>
        </row>
        <row r="1200">
          <cell r="B1200" t="str">
            <v>ANA MAGDA MAGNANI</v>
          </cell>
          <cell r="D1200" t="str">
            <v>PROFESSOR ASSISTENTE</v>
          </cell>
        </row>
        <row r="1201">
          <cell r="B1201" t="str">
            <v>CAROLINA DE MIRANDA PINELI ALVES</v>
          </cell>
          <cell r="D1201" t="str">
            <v>PROFESSOR ASSISTENTE</v>
          </cell>
        </row>
        <row r="1202">
          <cell r="B1202" t="str">
            <v>LUIZ CARLOS RIBEIRO NEDUZIAK</v>
          </cell>
          <cell r="D1202" t="str">
            <v>PROFESSOR ASSISTENTE</v>
          </cell>
        </row>
        <row r="1203">
          <cell r="B1203" t="str">
            <v>KELIANI BORDIN</v>
          </cell>
          <cell r="D1203" t="str">
            <v>PROFESSOR ADJUNTO</v>
          </cell>
        </row>
        <row r="1204">
          <cell r="B1204" t="str">
            <v>JOACHIM ANDRADE</v>
          </cell>
          <cell r="D1204" t="str">
            <v>PROFESSOR ASSISTENTE</v>
          </cell>
        </row>
        <row r="1205">
          <cell r="B1205" t="str">
            <v>ANA CLAUDIA DA SILVA PALOMARES</v>
          </cell>
          <cell r="D1205" t="str">
            <v>COORD ATENDIMENTO</v>
          </cell>
        </row>
        <row r="1206">
          <cell r="B1206" t="str">
            <v>SHEYLA CRISTINA DA SILVA</v>
          </cell>
          <cell r="D1206" t="str">
            <v>ANL OPERACOES ACADEMICAS SR</v>
          </cell>
        </row>
        <row r="1207">
          <cell r="B1207" t="str">
            <v>RONNIE DE OLIVEIRA BARRETO ARRAIS YKEDA</v>
          </cell>
          <cell r="D1207" t="str">
            <v>MEDICO PRECEPTOR</v>
          </cell>
        </row>
        <row r="1208">
          <cell r="B1208" t="str">
            <v>PAULO ADILSON HERRERA</v>
          </cell>
          <cell r="D1208" t="str">
            <v>PROFESSOR AUXILIAR</v>
          </cell>
        </row>
        <row r="1209">
          <cell r="B1209" t="str">
            <v>GUILHERME FREIRE DE MELO BARROS</v>
          </cell>
          <cell r="D1209" t="str">
            <v>PROFESSOR AUXILIAR</v>
          </cell>
        </row>
        <row r="1210">
          <cell r="B1210" t="str">
            <v>LUCAS PEDRO MENDES</v>
          </cell>
          <cell r="D1210" t="str">
            <v>ANL ADMINISTRATIVO PL</v>
          </cell>
        </row>
        <row r="1211">
          <cell r="B1211" t="str">
            <v>EDMARA LAURA CAMPIOLO</v>
          </cell>
          <cell r="D1211" t="str">
            <v>MEDICO PRECEPTOR</v>
          </cell>
        </row>
        <row r="1212">
          <cell r="B1212" t="str">
            <v>JESSICA LAIS ANHAIA</v>
          </cell>
          <cell r="D1212" t="str">
            <v>SPV ATENDIMENTO</v>
          </cell>
        </row>
        <row r="1213">
          <cell r="B1213" t="str">
            <v>ROSALIA ASSOLARI</v>
          </cell>
          <cell r="D1213" t="str">
            <v>ANL FATURAMENTO PL</v>
          </cell>
        </row>
        <row r="1214">
          <cell r="B1214" t="str">
            <v>AUREIZA DIAS ABREU</v>
          </cell>
          <cell r="D1214" t="str">
            <v>AST ATENDIMENTO</v>
          </cell>
        </row>
        <row r="1215">
          <cell r="B1215" t="str">
            <v>GREICY FERREIRA DOS SANTOS RANO</v>
          </cell>
          <cell r="D1215" t="str">
            <v>TEC RADIOLOGIA I</v>
          </cell>
        </row>
        <row r="1216">
          <cell r="B1216" t="str">
            <v>ALEXANDRE MOREIRA FERNANDES</v>
          </cell>
          <cell r="D1216" t="str">
            <v>MEDICO PRECEPTOR</v>
          </cell>
        </row>
        <row r="1217">
          <cell r="B1217" t="str">
            <v>ROBERTO ANTUNES TSUPAL</v>
          </cell>
          <cell r="D1217" t="str">
            <v>PROFESSOR LINGUA ESTRANGEIRA</v>
          </cell>
        </row>
        <row r="1218">
          <cell r="B1218" t="str">
            <v>LUCIANA ANDREA REBELLATO</v>
          </cell>
          <cell r="D1218" t="str">
            <v>ENFERMEIRO</v>
          </cell>
        </row>
        <row r="1219">
          <cell r="B1219" t="str">
            <v>ADRIANA OLIVEIRA ANDRADE BATISTELLA</v>
          </cell>
          <cell r="D1219" t="str">
            <v>PROFESSOR AUXILIAR</v>
          </cell>
        </row>
        <row r="1220">
          <cell r="B1220" t="str">
            <v>BEATRIZ GOMES VAZ</v>
          </cell>
          <cell r="D1220" t="str">
            <v>PSICOLOGO SR</v>
          </cell>
        </row>
        <row r="1221">
          <cell r="B1221" t="str">
            <v>ERON FABIO MIRANDA</v>
          </cell>
          <cell r="D1221" t="str">
            <v>PROFESSOR AUXILIAR</v>
          </cell>
        </row>
        <row r="1222">
          <cell r="B1222" t="str">
            <v>FERNANDA APARECIDA GIRARDI</v>
          </cell>
          <cell r="D1222" t="str">
            <v>AST ATENDIMENTO</v>
          </cell>
        </row>
        <row r="1223">
          <cell r="B1223" t="str">
            <v>DAVID LUIZ SANTOS</v>
          </cell>
          <cell r="D1223" t="str">
            <v>ANL ADMINISTRATIVO JR</v>
          </cell>
        </row>
        <row r="1224">
          <cell r="B1224" t="str">
            <v>GABRIELA BOSCHETTI</v>
          </cell>
          <cell r="D1224" t="str">
            <v>PROFESSOR AUXILIAR</v>
          </cell>
        </row>
        <row r="1225">
          <cell r="B1225" t="str">
            <v>GABRIEL ARAUJO DE MIRANDA SANTOS</v>
          </cell>
          <cell r="D1225" t="str">
            <v>COORD ADM FINANCEIRO</v>
          </cell>
        </row>
        <row r="1226">
          <cell r="B1226" t="str">
            <v>LUCIA AMORIM MOUTINHO</v>
          </cell>
          <cell r="D1226" t="str">
            <v>PROFESSOR LINGUA ESTRANGEIRA</v>
          </cell>
        </row>
        <row r="1227">
          <cell r="B1227" t="str">
            <v>ANNA CAROLINA BRITTO DE ARAUJO DOS SANTOS</v>
          </cell>
          <cell r="D1227" t="str">
            <v>MEDICO PRECEPTOR</v>
          </cell>
        </row>
        <row r="1228">
          <cell r="B1228" t="str">
            <v>RODRIGO QUEIROZ DA SILVA REIS</v>
          </cell>
          <cell r="D1228" t="str">
            <v>COORD PUC IDIOMAS</v>
          </cell>
        </row>
        <row r="1229">
          <cell r="B1229" t="str">
            <v>DANIEL FERREIRA FERNANDES VIEIRA</v>
          </cell>
          <cell r="D1229" t="str">
            <v>PROFESSOR AUXILIAR</v>
          </cell>
        </row>
        <row r="1230">
          <cell r="B1230" t="str">
            <v>SILVIA PAULINO RIBEIRO ALBANESE</v>
          </cell>
          <cell r="D1230" t="str">
            <v>PROFESSOR AUXILIAR</v>
          </cell>
        </row>
        <row r="1231">
          <cell r="B1231" t="str">
            <v>RUDA RYUITI FURUKITA BAPTISTA</v>
          </cell>
          <cell r="D1231" t="str">
            <v>PROFESSOR ASSISTENTE</v>
          </cell>
        </row>
        <row r="1232">
          <cell r="B1232" t="str">
            <v>JOAO PAULO FERNANDES GUERREIRO</v>
          </cell>
          <cell r="D1232" t="str">
            <v>PROFESSOR ADJUNTO</v>
          </cell>
        </row>
        <row r="1233">
          <cell r="B1233" t="str">
            <v>ANDRE TOSHIO MATSUDA</v>
          </cell>
          <cell r="D1233" t="str">
            <v>MEDICO PRECEPTOR</v>
          </cell>
        </row>
        <row r="1234">
          <cell r="B1234" t="str">
            <v>JOSE EDUARDO FERREIRA GOMES</v>
          </cell>
          <cell r="D1234" t="str">
            <v>MEDICO PRECEPTOR</v>
          </cell>
        </row>
        <row r="1235">
          <cell r="B1235" t="str">
            <v>PATRICIA ALETHEIA ALVES DA SILVA</v>
          </cell>
          <cell r="D1235" t="str">
            <v>MEDICO PRECEPTOR</v>
          </cell>
        </row>
        <row r="1236">
          <cell r="B1236" t="str">
            <v>ANTONIO CAVAZZANI NETO</v>
          </cell>
          <cell r="D1236" t="str">
            <v>MEDICO PRECEPTOR</v>
          </cell>
        </row>
        <row r="1237">
          <cell r="B1237" t="str">
            <v>JOAO AUGUSTO SILVA BRUSTULIN</v>
          </cell>
          <cell r="D1237" t="str">
            <v>MEDICO PRECEPTOR</v>
          </cell>
        </row>
        <row r="1238">
          <cell r="B1238" t="str">
            <v>CAROLINA TIYEMI DEGUCHI DA SILVA KANASHIRO</v>
          </cell>
          <cell r="D1238" t="str">
            <v>MEDICO PRECEPTOR</v>
          </cell>
        </row>
        <row r="1239">
          <cell r="B1239" t="str">
            <v>WILSON LIUTI COSTA JUNIOR</v>
          </cell>
          <cell r="D1239" t="str">
            <v>PROFESSOR AUXILIAR</v>
          </cell>
        </row>
        <row r="1240">
          <cell r="B1240" t="str">
            <v>JAMILE DA COSTA RIECHI</v>
          </cell>
          <cell r="D1240" t="str">
            <v>PROFESSOR AUXILIAR</v>
          </cell>
        </row>
        <row r="1241">
          <cell r="B1241" t="str">
            <v>VINICIUS DE ALMEIDA PELLOSO</v>
          </cell>
          <cell r="D1241" t="str">
            <v>MEDICO PRECEPTOR</v>
          </cell>
        </row>
        <row r="1242">
          <cell r="B1242" t="str">
            <v>CRISTIAN SCHMIDT</v>
          </cell>
          <cell r="D1242" t="str">
            <v>COORD CURSO</v>
          </cell>
        </row>
        <row r="1243">
          <cell r="B1243" t="str">
            <v>ROBERTO NENTWIG</v>
          </cell>
          <cell r="D1243" t="str">
            <v>PROFESSOR AUXILIAR</v>
          </cell>
        </row>
        <row r="1244">
          <cell r="B1244" t="str">
            <v>CAMILA HARTMANN</v>
          </cell>
          <cell r="D1244" t="str">
            <v>GTE MEDICO</v>
          </cell>
        </row>
        <row r="1245">
          <cell r="B1245" t="str">
            <v>TIAGO GAGLIANO PINTO ALBERTO</v>
          </cell>
          <cell r="D1245" t="str">
            <v>PROFESSOR AUXILIAR</v>
          </cell>
        </row>
        <row r="1246">
          <cell r="B1246" t="str">
            <v>LENISE AUBRIFT KLENK</v>
          </cell>
          <cell r="D1246" t="str">
            <v>PROFESSOR AUXILIAR</v>
          </cell>
        </row>
        <row r="1247">
          <cell r="B1247" t="str">
            <v>ERIC GRIEGER BANHOLZER</v>
          </cell>
          <cell r="D1247" t="str">
            <v>PROFESSOR AUXILIAR</v>
          </cell>
        </row>
        <row r="1248">
          <cell r="B1248" t="str">
            <v>GUILHERME RODOLFO RITTEL</v>
          </cell>
          <cell r="D1248" t="str">
            <v>COORD CURSO</v>
          </cell>
        </row>
        <row r="1249">
          <cell r="B1249" t="str">
            <v>JOAO CORREIA DOS SANTOS</v>
          </cell>
          <cell r="D1249" t="str">
            <v>MEDICO PRECEPTOR</v>
          </cell>
        </row>
        <row r="1250">
          <cell r="B1250" t="str">
            <v>ROSANE BRAGA WIECHETECK</v>
          </cell>
          <cell r="D1250" t="str">
            <v>PROFESSOR LINGUA ESTRANGEIRA</v>
          </cell>
        </row>
        <row r="1251">
          <cell r="B1251" t="str">
            <v>ROSSANA AMIN GRACIANO DE RESENDE</v>
          </cell>
          <cell r="D1251" t="str">
            <v>PROFESSOR AUXILIAR</v>
          </cell>
        </row>
        <row r="1252">
          <cell r="B1252" t="str">
            <v>THALITA FOLMANN DA SILVA</v>
          </cell>
          <cell r="D1252" t="str">
            <v>PROFESSOR ASSISTENTE</v>
          </cell>
        </row>
        <row r="1253">
          <cell r="B1253" t="str">
            <v>CRISLAINE ESTEVAO DE JESUS MARTINS</v>
          </cell>
          <cell r="D1253" t="str">
            <v>PROFESSOR LINGUA ESTRANGEIRA</v>
          </cell>
        </row>
        <row r="1254">
          <cell r="B1254" t="str">
            <v>CLAUDIA PERDIGAO MAIA</v>
          </cell>
          <cell r="D1254" t="str">
            <v>PROFESSOR LINGUA ESTRANGEIRA</v>
          </cell>
        </row>
        <row r="1255">
          <cell r="B1255" t="str">
            <v>ANA CAROLINE DARIVA CHULA</v>
          </cell>
          <cell r="D1255" t="str">
            <v>PROFESSOR AUXILIAR</v>
          </cell>
        </row>
        <row r="1256">
          <cell r="B1256" t="str">
            <v>DEBORAH RAYMANN DE SOUZA</v>
          </cell>
          <cell r="D1256" t="str">
            <v>PROFESSOR LINGUA ESTRANGEIRA</v>
          </cell>
        </row>
        <row r="1257">
          <cell r="B1257" t="str">
            <v>DEISIANE DAS NEVES DE OLIVEIRA ESPINEL BATISTA</v>
          </cell>
          <cell r="D1257" t="str">
            <v>ANL ADMINISTRATIVO JR</v>
          </cell>
        </row>
        <row r="1258">
          <cell r="B1258" t="str">
            <v>AMANDA VERLI</v>
          </cell>
          <cell r="D1258" t="str">
            <v>ANL ATENDIMENTO JR</v>
          </cell>
        </row>
        <row r="1259">
          <cell r="B1259" t="str">
            <v>FABIANA LORENZETTI</v>
          </cell>
          <cell r="D1259" t="str">
            <v>TEC RADIOLOGIA I</v>
          </cell>
        </row>
        <row r="1260">
          <cell r="B1260" t="str">
            <v>GILBERTO REYNOSO MEZA</v>
          </cell>
          <cell r="D1260" t="str">
            <v>PROFESSOR ADJUNTO</v>
          </cell>
        </row>
        <row r="1261">
          <cell r="B1261" t="str">
            <v>ADRIANY LOPES DOS SANTOS DE CAMARGO</v>
          </cell>
          <cell r="D1261" t="str">
            <v>GTE ATENDIMENTO</v>
          </cell>
        </row>
        <row r="1262">
          <cell r="B1262" t="str">
            <v>TAIARA MAESTRO CALDERON DE PAULA</v>
          </cell>
          <cell r="D1262" t="str">
            <v>ENFERMEIRO PRECEPTOR</v>
          </cell>
        </row>
        <row r="1263">
          <cell r="B1263" t="str">
            <v>JORDANA GIORDANI</v>
          </cell>
          <cell r="D1263" t="str">
            <v>ANL ADMINISTRATIVO SR</v>
          </cell>
        </row>
        <row r="1264">
          <cell r="B1264" t="str">
            <v>HORACIO ALVARENGA MOREIRA</v>
          </cell>
          <cell r="D1264" t="str">
            <v>PROFESSOR AUXILIAR</v>
          </cell>
        </row>
        <row r="1265">
          <cell r="B1265" t="str">
            <v>ISABELA MAYUMI NAKANISHI TAKAKI</v>
          </cell>
          <cell r="D1265" t="str">
            <v>PROFESSOR AUXILIAR</v>
          </cell>
        </row>
        <row r="1266">
          <cell r="B1266" t="str">
            <v>MARCELY GIMENES BONATTO</v>
          </cell>
          <cell r="D1266" t="str">
            <v>MEDICO PRECEPTOR</v>
          </cell>
        </row>
        <row r="1267">
          <cell r="B1267" t="str">
            <v>MURILO KARASINSKI</v>
          </cell>
          <cell r="D1267" t="str">
            <v>COORD ACADEMICO EDUCACAO CONTINUADA</v>
          </cell>
        </row>
        <row r="1268">
          <cell r="B1268" t="str">
            <v>CHRISTIAN BORTOLETTO</v>
          </cell>
          <cell r="D1268" t="str">
            <v>DESIGNER SR</v>
          </cell>
        </row>
        <row r="1269">
          <cell r="B1269" t="str">
            <v>DANIELE FARFUS</v>
          </cell>
          <cell r="D1269" t="str">
            <v>COORD EDUCACAO EXECUTIVA</v>
          </cell>
        </row>
        <row r="1270">
          <cell r="B1270" t="str">
            <v>KAMILA SEVERO DE AMORIM</v>
          </cell>
          <cell r="D1270" t="str">
            <v>ANL SEGURANCA PL</v>
          </cell>
        </row>
        <row r="1271">
          <cell r="B1271" t="str">
            <v>EDIMARCIO MORAES DOS REIS</v>
          </cell>
          <cell r="D1271" t="str">
            <v>AST MONITORAMENTO CFTV</v>
          </cell>
        </row>
        <row r="1272">
          <cell r="B1272" t="str">
            <v>GIOVANNA CAROLINA MASSANEIRO DOS SANTOS</v>
          </cell>
          <cell r="D1272" t="str">
            <v>BIBLIOTECARIO SR</v>
          </cell>
        </row>
        <row r="1273">
          <cell r="B1273" t="str">
            <v>JULIA LOHMANN LUIZ</v>
          </cell>
          <cell r="D1273" t="str">
            <v>ANL PRODUCAO CONTEUDO DIGITAL PL</v>
          </cell>
        </row>
        <row r="1274">
          <cell r="B1274" t="str">
            <v>SARA OLIVEIRA DE CARVALHO DOS ANJOS</v>
          </cell>
          <cell r="D1274" t="str">
            <v>ESP FINANCEIRO</v>
          </cell>
        </row>
        <row r="1275">
          <cell r="B1275" t="str">
            <v>ANA CAROLINA RIACHI CASAGRANDE</v>
          </cell>
          <cell r="D1275" t="str">
            <v>ANL TECNOLOGIA EDUCACIONAL PL</v>
          </cell>
        </row>
        <row r="1276">
          <cell r="B1276" t="str">
            <v>CRISTIANE LOPES SROCINSKI</v>
          </cell>
          <cell r="D1276" t="str">
            <v>TEC LABORATORIO II (C/ AD-INS)</v>
          </cell>
        </row>
        <row r="1277">
          <cell r="B1277" t="str">
            <v>ANDRESSA ZAMBRANO DE FRAGA</v>
          </cell>
          <cell r="D1277" t="str">
            <v>ANL PRODUCAO CONTEUDO DIGITAL PL</v>
          </cell>
        </row>
        <row r="1278">
          <cell r="B1278" t="str">
            <v>ARAMIS TEIXEIRA MENDES</v>
          </cell>
          <cell r="D1278" t="str">
            <v>PRODUTOR CULTURAL</v>
          </cell>
        </row>
        <row r="1279">
          <cell r="B1279" t="str">
            <v>SILVANA FERRO SILVERIO SILVA</v>
          </cell>
          <cell r="D1279" t="str">
            <v>ENFERMEIRO TRABALHO</v>
          </cell>
        </row>
        <row r="1280">
          <cell r="B1280" t="str">
            <v>ANA CAROLINA BAGGIO FABRICIO</v>
          </cell>
          <cell r="D1280" t="str">
            <v>PROFESSOR TUTOR ONLINE III</v>
          </cell>
        </row>
        <row r="1281">
          <cell r="B1281" t="str">
            <v>JULIANO SARTORI LANGARO</v>
          </cell>
          <cell r="D1281" t="str">
            <v>PROFESSOR TUTOR ONLINE I</v>
          </cell>
        </row>
        <row r="1282">
          <cell r="B1282" t="str">
            <v>CARLOS EMILIO BORSA</v>
          </cell>
          <cell r="D1282" t="str">
            <v>DIR ADMINISTRATIVO</v>
          </cell>
        </row>
        <row r="1283">
          <cell r="B1283" t="str">
            <v>KALIEL GUSTAVO BARBOSA</v>
          </cell>
          <cell r="D1283" t="str">
            <v>ESP FINANCEIRO</v>
          </cell>
        </row>
        <row r="1284">
          <cell r="B1284" t="str">
            <v>WELLINGTON RODRIGO MONTEIRO</v>
          </cell>
          <cell r="D1284" t="str">
            <v>PROFESSOR TUTOR ONLINE III</v>
          </cell>
        </row>
        <row r="1285">
          <cell r="B1285" t="str">
            <v>WALERIA ADRIANA GONCALEZ CECILIO</v>
          </cell>
          <cell r="D1285" t="str">
            <v>PROFESSOR TUTOR ONLINE III</v>
          </cell>
        </row>
        <row r="1286">
          <cell r="B1286" t="str">
            <v>RAFAEL DIREITO TEIXEIRA</v>
          </cell>
          <cell r="D1286" t="str">
            <v>PROFESSOR ASSISTENTE</v>
          </cell>
        </row>
        <row r="1287">
          <cell r="B1287" t="str">
            <v>LETICIA BARBOSA KRASNHAK</v>
          </cell>
          <cell r="D1287" t="str">
            <v>PROFESSOR AUXILIAR</v>
          </cell>
        </row>
        <row r="1288">
          <cell r="B1288" t="str">
            <v>RODOLFO COELHO PRATES</v>
          </cell>
          <cell r="D1288" t="str">
            <v>PROFESSOR AUXILIAR</v>
          </cell>
        </row>
        <row r="1289">
          <cell r="B1289" t="str">
            <v>MARCIO DE ABREU MOREIRA</v>
          </cell>
          <cell r="D1289" t="str">
            <v>PROFESSOR AUXILIAR</v>
          </cell>
        </row>
        <row r="1290">
          <cell r="B1290" t="str">
            <v>MARCELO MOURA FERNANDES</v>
          </cell>
          <cell r="D1290" t="str">
            <v>DIR ECOSSISTEMA DE INOVACAO</v>
          </cell>
        </row>
        <row r="1291">
          <cell r="B1291" t="str">
            <v>JOCEMARA GURMINI</v>
          </cell>
          <cell r="D1291" t="str">
            <v>PROFESSOR AUXILIAR</v>
          </cell>
        </row>
        <row r="1292">
          <cell r="B1292" t="str">
            <v>ROGERIO DE FRAGA</v>
          </cell>
          <cell r="D1292" t="str">
            <v>PROFESSOR AUXILIAR</v>
          </cell>
        </row>
        <row r="1293">
          <cell r="B1293" t="str">
            <v>JULIANO DE TROTTA</v>
          </cell>
          <cell r="D1293" t="str">
            <v>PROFESSOR AUXILIAR</v>
          </cell>
        </row>
        <row r="1294">
          <cell r="B1294" t="str">
            <v>PRISCILA DAIANE PAVEZZI DI RICO</v>
          </cell>
          <cell r="D1294" t="str">
            <v>PROFESSOR AUXILIAR</v>
          </cell>
        </row>
        <row r="1295">
          <cell r="B1295" t="str">
            <v>GRACILIANO JOSE FRANCA</v>
          </cell>
          <cell r="D1295" t="str">
            <v>PROFESSOR ASSISTENTE</v>
          </cell>
        </row>
        <row r="1296">
          <cell r="B1296" t="str">
            <v>LEONARDO CAVALHEIRO MARTINEZ</v>
          </cell>
          <cell r="D1296" t="str">
            <v>COORD CURSO</v>
          </cell>
        </row>
        <row r="1297">
          <cell r="B1297" t="str">
            <v>ALYSSON VITOR DA SILVA</v>
          </cell>
          <cell r="D1297" t="str">
            <v>PROFESSOR AUXILIAR</v>
          </cell>
        </row>
        <row r="1298">
          <cell r="B1298" t="str">
            <v>ROBERTA CAROLINA DE AFONSECA E SILVA</v>
          </cell>
          <cell r="D1298" t="str">
            <v>PROFESSOR ASSISTENTE</v>
          </cell>
        </row>
        <row r="1299">
          <cell r="B1299" t="str">
            <v>FERNANDA RAQUEL THOMAZ DE ARAUJO</v>
          </cell>
          <cell r="D1299" t="str">
            <v>PROFESSOR ASSISTENTE</v>
          </cell>
        </row>
        <row r="1300">
          <cell r="B1300" t="str">
            <v>CARLOS EDUARDO ABASCAL SHIGUIHARA</v>
          </cell>
          <cell r="D1300" t="str">
            <v>MEDICO PRECEPTOR</v>
          </cell>
        </row>
        <row r="1301">
          <cell r="B1301" t="str">
            <v>ANTONIO DOS SANTOS</v>
          </cell>
          <cell r="D1301" t="str">
            <v>PROFESSOR LINGUA ESTRANGEIRA</v>
          </cell>
        </row>
        <row r="1302">
          <cell r="B1302" t="str">
            <v>TAYSA GINIESCKI DIAS</v>
          </cell>
          <cell r="D1302" t="str">
            <v>ANL MARKETING SR</v>
          </cell>
        </row>
        <row r="1303">
          <cell r="B1303" t="str">
            <v>MONICA REGINA DE MATOS</v>
          </cell>
          <cell r="D1303" t="str">
            <v>PROFESSOR AUXILIAR</v>
          </cell>
        </row>
        <row r="1304">
          <cell r="B1304" t="str">
            <v>ADILSON GALIANO FILHO</v>
          </cell>
          <cell r="D1304" t="str">
            <v>PROFESSOR TUTOR ONLINE I</v>
          </cell>
        </row>
        <row r="1305">
          <cell r="B1305" t="str">
            <v>KHALIL GIBRAN MARTINS ZERAIK ABDALLA</v>
          </cell>
          <cell r="D1305" t="str">
            <v>PROFESSOR AUXILIAR</v>
          </cell>
        </row>
        <row r="1306">
          <cell r="B1306" t="str">
            <v>VALDEREZ RAVAGLIO JAMUR</v>
          </cell>
          <cell r="D1306" t="str">
            <v>ANL CULTURA CELULAR PL</v>
          </cell>
        </row>
        <row r="1307">
          <cell r="B1307" t="str">
            <v>SANDRA REGINA BENTZ KONO</v>
          </cell>
          <cell r="D1307" t="str">
            <v>AST EXECUTIVA II</v>
          </cell>
        </row>
        <row r="1308">
          <cell r="B1308" t="str">
            <v>GUILHERME PETROCINI DA SILVA MARTINS</v>
          </cell>
          <cell r="D1308" t="str">
            <v>MEDICO PRECEPTOR</v>
          </cell>
        </row>
        <row r="1309">
          <cell r="B1309" t="str">
            <v>DEISE CRISTINA BUZZI FREGA</v>
          </cell>
          <cell r="D1309" t="str">
            <v>GTE PROJETOS E MELHORIA CONTINUA</v>
          </cell>
        </row>
        <row r="1310">
          <cell r="B1310" t="str">
            <v>SANDRO DA CRUZ DOMINGUES</v>
          </cell>
          <cell r="D1310" t="str">
            <v>AST MONITORAMENTO CFTV</v>
          </cell>
        </row>
        <row r="1311">
          <cell r="B1311" t="str">
            <v>DIOGENES DE ANDRADE</v>
          </cell>
          <cell r="D1311" t="str">
            <v>INSTRUTOR</v>
          </cell>
        </row>
        <row r="1312">
          <cell r="B1312" t="str">
            <v>RAQUELEINE JULIANE GALVAO NEPOMUCENO</v>
          </cell>
          <cell r="D1312" t="str">
            <v>COORD ADMINISTRATIVO</v>
          </cell>
        </row>
        <row r="1313">
          <cell r="B1313" t="str">
            <v>KAREN GABRIELLE MARGOTI FRANCO</v>
          </cell>
          <cell r="D1313" t="str">
            <v>ANL AVALIACAO INSTITUCIONAL SR</v>
          </cell>
        </row>
        <row r="1314">
          <cell r="B1314" t="str">
            <v>RICARDO AURINO DE PINHO</v>
          </cell>
          <cell r="D1314" t="str">
            <v>PROFESSOR ADJUNTO</v>
          </cell>
        </row>
        <row r="1315">
          <cell r="B1315" t="str">
            <v>ELAINE CRISTINA DO NASCIMENTO</v>
          </cell>
          <cell r="D1315" t="str">
            <v>ANL ATENDIMENTO JR</v>
          </cell>
        </row>
        <row r="1316">
          <cell r="B1316" t="str">
            <v>ANNE KAROLINE SCHREIBER</v>
          </cell>
          <cell r="D1316" t="str">
            <v>TEC LABORATORIO II (C/ AD-INS)</v>
          </cell>
        </row>
        <row r="1317">
          <cell r="B1317" t="str">
            <v>DANIELA THOMAZ</v>
          </cell>
          <cell r="D1317" t="str">
            <v>MEDICO PRECEPTOR</v>
          </cell>
        </row>
        <row r="1318">
          <cell r="B1318" t="str">
            <v>MARCOS LOHMANN DE TOLEDO</v>
          </cell>
          <cell r="D1318" t="str">
            <v>SPV SEGURANCA</v>
          </cell>
        </row>
        <row r="1319">
          <cell r="B1319" t="str">
            <v>TAIS MICHELI BERTONCELLO</v>
          </cell>
          <cell r="D1319" t="str">
            <v>ESP MARKETING</v>
          </cell>
        </row>
        <row r="1320">
          <cell r="B1320" t="str">
            <v>MHOZER RAMOS DE FREITAS</v>
          </cell>
          <cell r="D1320" t="str">
            <v>ANL ADMINISTRATIVO JR</v>
          </cell>
        </row>
        <row r="1321">
          <cell r="B1321" t="str">
            <v>PATRICIA MONTANHA LINDMAYER</v>
          </cell>
          <cell r="D1321" t="str">
            <v>AST EXECUTIVA II</v>
          </cell>
        </row>
        <row r="1322">
          <cell r="B1322" t="str">
            <v>SHEILA SLAINE DESCARDECCI</v>
          </cell>
          <cell r="D1322" t="str">
            <v>ANL ATENDIMENTO PL</v>
          </cell>
        </row>
        <row r="1323">
          <cell r="B1323" t="str">
            <v>ISADORA MAY VAZ</v>
          </cell>
          <cell r="D1323" t="str">
            <v>ANL CULTURA CELULAR JR</v>
          </cell>
        </row>
        <row r="1324">
          <cell r="B1324" t="str">
            <v>JONAS KOSSAR</v>
          </cell>
          <cell r="D1324" t="str">
            <v>COORD OPER MANUTENCAO</v>
          </cell>
        </row>
        <row r="1325">
          <cell r="B1325" t="str">
            <v>ADRIANA DO ROCIO NITSCHE MATTEI</v>
          </cell>
          <cell r="D1325" t="str">
            <v>COORD INTERNACIONALIZACAO</v>
          </cell>
        </row>
        <row r="1326">
          <cell r="B1326" t="str">
            <v>GERSON AMAURY MARINHO</v>
          </cell>
          <cell r="D1326" t="str">
            <v>PROFESSOR TUTOR ONLINE II</v>
          </cell>
        </row>
        <row r="1327">
          <cell r="B1327" t="str">
            <v>AGUINALDO FERREIRA DOS SANTOS</v>
          </cell>
          <cell r="D1327" t="str">
            <v>PROFESSOR TUTOR ONLINE III</v>
          </cell>
        </row>
        <row r="1328">
          <cell r="B1328" t="str">
            <v>ELIZABETH RIBEIRO MARTINS</v>
          </cell>
          <cell r="D1328" t="str">
            <v>COORD CURSO</v>
          </cell>
        </row>
        <row r="1329">
          <cell r="B1329" t="str">
            <v>MARIANA COUTO SIQUEIRA</v>
          </cell>
          <cell r="D1329" t="str">
            <v>PROFESSOR ADJUNTO</v>
          </cell>
        </row>
        <row r="1330">
          <cell r="B1330" t="str">
            <v>SERGIO LUIZ MANENTI</v>
          </cell>
          <cell r="D1330" t="str">
            <v>PROFESSOR AUXILIAR</v>
          </cell>
        </row>
        <row r="1331">
          <cell r="B1331" t="str">
            <v>THABATA CRISTY ZERMIANI</v>
          </cell>
          <cell r="D1331" t="str">
            <v>PROFESSOR ADJUNTO</v>
          </cell>
        </row>
        <row r="1332">
          <cell r="B1332" t="str">
            <v>VERA ELISA WIGESKI</v>
          </cell>
          <cell r="D1332" t="str">
            <v>ANL SUPORTE TI SR</v>
          </cell>
        </row>
        <row r="1333">
          <cell r="B1333" t="str">
            <v>ADONIS NASR</v>
          </cell>
          <cell r="D1333" t="str">
            <v>PROFESSOR AUXILIAR</v>
          </cell>
        </row>
        <row r="1334">
          <cell r="B1334" t="str">
            <v>MAURICIO MONTEMEZZO</v>
          </cell>
          <cell r="D1334" t="str">
            <v>PROFESSOR AUXILIAR</v>
          </cell>
        </row>
        <row r="1335">
          <cell r="B1335" t="str">
            <v>BARBARA STADLER KAHLOW</v>
          </cell>
          <cell r="D1335" t="str">
            <v>PROFESSOR AUXILIAR</v>
          </cell>
        </row>
        <row r="1336">
          <cell r="B1336" t="str">
            <v>LUANA FONSECA DUARTE FERNANDES</v>
          </cell>
          <cell r="D1336" t="str">
            <v>PROFESSOR TUTOR ONLINE II</v>
          </cell>
        </row>
        <row r="1337">
          <cell r="B1337" t="str">
            <v>RAFAELA FRANCO CLAUDINO</v>
          </cell>
          <cell r="D1337" t="str">
            <v>PROFESSOR AUXILIAR</v>
          </cell>
        </row>
        <row r="1338">
          <cell r="B1338" t="str">
            <v>EDUARDO ANTONIO ANDRADE DOS SANTOS</v>
          </cell>
          <cell r="D1338" t="str">
            <v>PROFESSOR ADJUNTO</v>
          </cell>
        </row>
        <row r="1339">
          <cell r="B1339" t="str">
            <v>FELLIPE MEDEIROS VEIGA</v>
          </cell>
          <cell r="D1339" t="str">
            <v>PROFESSOR TUTOR ONLINE II</v>
          </cell>
        </row>
        <row r="1340">
          <cell r="B1340" t="str">
            <v>EMANUELY CHRYSTINI PAUSE</v>
          </cell>
          <cell r="D1340" t="str">
            <v>ANL FATURAMENTO JR</v>
          </cell>
        </row>
        <row r="1341">
          <cell r="B1341" t="str">
            <v>FERNANDES MARCELO DE JESUS</v>
          </cell>
          <cell r="D1341" t="str">
            <v>JARDINEIRO</v>
          </cell>
        </row>
        <row r="1342">
          <cell r="B1342" t="str">
            <v>CARLOS RENATO CUNHA</v>
          </cell>
          <cell r="D1342" t="str">
            <v>PROFESSOR ADJUNTO</v>
          </cell>
        </row>
        <row r="1343">
          <cell r="B1343" t="str">
            <v>PATRICIA VERLINGUE RAMIRES MONTEIRO</v>
          </cell>
          <cell r="D1343" t="str">
            <v>PROFESSOR AUXILIAR</v>
          </cell>
        </row>
        <row r="1344">
          <cell r="B1344" t="str">
            <v>GALBAS MILLEO FILHO</v>
          </cell>
          <cell r="D1344" t="str">
            <v>PROFESSOR TUTOR ONLINE II</v>
          </cell>
        </row>
        <row r="1345">
          <cell r="B1345" t="str">
            <v>DIOGO XAVIER SAES</v>
          </cell>
          <cell r="D1345" t="str">
            <v>GTE TUTORIA</v>
          </cell>
        </row>
        <row r="1346">
          <cell r="B1346" t="str">
            <v>CARLA VALERIA DA COSTA FEITOSA</v>
          </cell>
          <cell r="D1346" t="str">
            <v>PROFESSOR TUTOR ONLINE II</v>
          </cell>
        </row>
        <row r="1347">
          <cell r="B1347" t="str">
            <v>CAROLINE BUSATTA VAZ DE PAULA</v>
          </cell>
          <cell r="D1347" t="str">
            <v>PROFESSOR ASSISTENTE</v>
          </cell>
        </row>
        <row r="1348">
          <cell r="B1348" t="str">
            <v>UIARA RAIANA VARGAS DE CASTRO OLIVEIRA RIBEIRO</v>
          </cell>
          <cell r="D1348" t="str">
            <v>PROFESSOR AUXILIAR</v>
          </cell>
        </row>
        <row r="1349">
          <cell r="B1349" t="str">
            <v>ANDREA DUARTE DOETZER</v>
          </cell>
          <cell r="D1349" t="str">
            <v>PROFESSOR ASSISTENTE</v>
          </cell>
        </row>
        <row r="1350">
          <cell r="B1350" t="str">
            <v>DENISE PADILHA ALVES RIBEIRO</v>
          </cell>
          <cell r="D1350" t="str">
            <v>COORD ADMINISTRATIVO</v>
          </cell>
        </row>
        <row r="1351">
          <cell r="B1351" t="str">
            <v>JEFERSON CASSIANO NICHEL</v>
          </cell>
          <cell r="D1351" t="str">
            <v>GTE CONTROLADORIA</v>
          </cell>
        </row>
        <row r="1352">
          <cell r="B1352" t="str">
            <v>ANDREIA FABIOLA DE MAGALHAES</v>
          </cell>
          <cell r="D1352" t="str">
            <v>ESP JURIDICO</v>
          </cell>
        </row>
        <row r="1353">
          <cell r="B1353" t="str">
            <v>MARGARETH NAOMI KIKUCHI</v>
          </cell>
          <cell r="D1353" t="str">
            <v>ESP BANCO DADOS MARKETING</v>
          </cell>
        </row>
        <row r="1354">
          <cell r="B1354" t="str">
            <v>JOAO MOSCIATTI</v>
          </cell>
          <cell r="D1354" t="str">
            <v>AST ATENDIMENTO</v>
          </cell>
        </row>
        <row r="1355">
          <cell r="B1355" t="str">
            <v>SIMONI FELIZARDO</v>
          </cell>
          <cell r="D1355" t="str">
            <v>AST BIBLIOTECA I</v>
          </cell>
        </row>
        <row r="1356">
          <cell r="B1356" t="str">
            <v>CLAUDEMIR DE ANDRADE SOARES</v>
          </cell>
          <cell r="D1356" t="str">
            <v>AST ATENDIMENTO</v>
          </cell>
        </row>
        <row r="1357">
          <cell r="B1357" t="str">
            <v>KATIA ETHIENNE ESTEVES DOS SANTOS</v>
          </cell>
          <cell r="D1357" t="str">
            <v>COORD CURSO</v>
          </cell>
        </row>
        <row r="1358">
          <cell r="B1358" t="str">
            <v>PRISCILA APARECIDA QUEIROZ SCHMITZ BARBOSA</v>
          </cell>
          <cell r="D1358" t="str">
            <v>ANL MARKETING SR</v>
          </cell>
        </row>
        <row r="1359">
          <cell r="B1359" t="str">
            <v>JEAN PAUL BARDDAL</v>
          </cell>
          <cell r="D1359" t="str">
            <v>COORD CURSO</v>
          </cell>
        </row>
        <row r="1360">
          <cell r="B1360" t="str">
            <v>TELMA BLANCA LOMBARDO BEDRAN</v>
          </cell>
          <cell r="D1360" t="str">
            <v>PROFESSOR AUXILIAR</v>
          </cell>
        </row>
        <row r="1361">
          <cell r="B1361" t="str">
            <v>ITIBERE PIAIA BERNARDI</v>
          </cell>
          <cell r="D1361" t="str">
            <v>PROFESSOR AUXILIAR</v>
          </cell>
        </row>
        <row r="1362">
          <cell r="B1362" t="str">
            <v>MARCO CESAR JORGE DOS SANTOS</v>
          </cell>
          <cell r="D1362" t="str">
            <v>PROFESSOR AUXILIAR</v>
          </cell>
        </row>
        <row r="1363">
          <cell r="B1363" t="str">
            <v>MARION BURGER</v>
          </cell>
          <cell r="D1363" t="str">
            <v>PROFESSOR AUXILIAR</v>
          </cell>
        </row>
        <row r="1364">
          <cell r="B1364" t="str">
            <v>ONDINA ILDA VICENZI</v>
          </cell>
          <cell r="D1364" t="str">
            <v>INSTRUTOR</v>
          </cell>
        </row>
        <row r="1365">
          <cell r="B1365" t="str">
            <v>MIGUEL IBRAIM ABBOUD HANNA SOBRINHO</v>
          </cell>
          <cell r="D1365" t="str">
            <v>PROFESSOR AUXILIAR</v>
          </cell>
        </row>
        <row r="1366">
          <cell r="B1366" t="str">
            <v>ROGERIO GOULART DA COSTA</v>
          </cell>
          <cell r="D1366" t="str">
            <v>PROFESSOR AUXILIAR</v>
          </cell>
        </row>
        <row r="1367">
          <cell r="B1367" t="str">
            <v>FABRIZIO ZANDONADI CATENASSI</v>
          </cell>
          <cell r="D1367" t="str">
            <v>PROFESSOR ADJUNTO</v>
          </cell>
        </row>
        <row r="1368">
          <cell r="B1368" t="str">
            <v>CLEONICE DE LIMA ANDRADE ASSIS</v>
          </cell>
          <cell r="D1368" t="str">
            <v>AST NUCLEO PRATICAS JURIDICAS</v>
          </cell>
        </row>
        <row r="1369">
          <cell r="B1369" t="str">
            <v>SARAH FAGUNDES GROBE</v>
          </cell>
          <cell r="D1369" t="str">
            <v>PROFESSOR AUXILIAR</v>
          </cell>
        </row>
        <row r="1370">
          <cell r="B1370" t="str">
            <v>EDSON MARCOS CAMPOS LESSA JUNIOR</v>
          </cell>
          <cell r="D1370" t="str">
            <v>PROFESSOR AUXILIAR</v>
          </cell>
        </row>
        <row r="1371">
          <cell r="B1371" t="str">
            <v>BRUNNA CAMILA CAMPOS BORSATO</v>
          </cell>
          <cell r="D1371" t="str">
            <v>INSTRUTOR</v>
          </cell>
        </row>
        <row r="1372">
          <cell r="B1372" t="str">
            <v>ADANS PABLO CARVALHO</v>
          </cell>
          <cell r="D1372" t="str">
            <v>COORD ACADEMICO EDUCACAO CONTINUADA</v>
          </cell>
        </row>
        <row r="1373">
          <cell r="B1373" t="str">
            <v>CAIO AUGUSTO CAMARGO DA SILVA</v>
          </cell>
          <cell r="D1373" t="str">
            <v>PROFESSOR ADJUNTO</v>
          </cell>
        </row>
        <row r="1374">
          <cell r="B1374" t="str">
            <v>VANESSA ARAUJO SALES</v>
          </cell>
          <cell r="D1374" t="str">
            <v>COORD CURSO</v>
          </cell>
        </row>
        <row r="1375">
          <cell r="B1375" t="str">
            <v>DOUGLAS THAYNA VIEIRA DE SOUZA</v>
          </cell>
          <cell r="D1375" t="str">
            <v>PROFESSOR ASSISTENTE</v>
          </cell>
        </row>
        <row r="1376">
          <cell r="B1376" t="str">
            <v>FLAVIA COSTA PREVEDELLO</v>
          </cell>
          <cell r="D1376" t="str">
            <v>PROFESSOR AUXILIAR</v>
          </cell>
        </row>
        <row r="1377">
          <cell r="B1377" t="str">
            <v>DEISE GOMES DE BRITO DINIZ</v>
          </cell>
          <cell r="D1377" t="str">
            <v>ANL ADMINISTRATIVO JR</v>
          </cell>
        </row>
        <row r="1378">
          <cell r="B1378" t="str">
            <v>ADAILTON SERGIO PUPIA</v>
          </cell>
          <cell r="D1378" t="str">
            <v>PROFESSOR AUXILIAR</v>
          </cell>
        </row>
        <row r="1379">
          <cell r="B1379" t="str">
            <v>CINTHIA SCHIMITH SILVA COELHO</v>
          </cell>
          <cell r="D1379" t="str">
            <v>PROFESSOR AUXILIAR</v>
          </cell>
        </row>
        <row r="1380">
          <cell r="B1380" t="str">
            <v>MARIANO DE ALMEIDA MENEZES</v>
          </cell>
          <cell r="D1380" t="str">
            <v>PROFESSOR AUXILIAR</v>
          </cell>
        </row>
        <row r="1381">
          <cell r="B1381" t="str">
            <v>REGIANE APARECIDA ATISANO SERKUNHUK</v>
          </cell>
          <cell r="D1381" t="str">
            <v>PROFESSOR TUTOR ONLINE II</v>
          </cell>
        </row>
        <row r="1382">
          <cell r="B1382" t="str">
            <v>JAN PAWEL ANDRADE PACHNICKI</v>
          </cell>
          <cell r="D1382" t="str">
            <v>PROFESSOR AUXILIAR</v>
          </cell>
        </row>
        <row r="1383">
          <cell r="B1383" t="str">
            <v>MARIA EUGENIA BEGUE VIDAL</v>
          </cell>
          <cell r="D1383" t="str">
            <v>MEDICO PRECEPTOR</v>
          </cell>
        </row>
        <row r="1384">
          <cell r="B1384" t="str">
            <v>RUDOLF EDUARD VON SINNER</v>
          </cell>
          <cell r="D1384" t="str">
            <v>COORD CURSO</v>
          </cell>
        </row>
        <row r="1385">
          <cell r="B1385" t="str">
            <v>SANDRA REGINA HANEMANN VIEIRA</v>
          </cell>
          <cell r="D1385" t="str">
            <v>SPV ATENDIMENTO</v>
          </cell>
        </row>
        <row r="1386">
          <cell r="B1386" t="str">
            <v>WESLLEY ROBERTO DA SILVA TEIXEIRA</v>
          </cell>
          <cell r="D1386" t="str">
            <v>ANL SUPORTE TI SR</v>
          </cell>
        </row>
        <row r="1387">
          <cell r="B1387" t="str">
            <v>PAULA MAIRA PORTELA DO NASCIMENTO</v>
          </cell>
          <cell r="D1387" t="str">
            <v>ANL ADMINISTRATIVO SR</v>
          </cell>
        </row>
        <row r="1388">
          <cell r="B1388" t="str">
            <v>CAMILA BIZARRO DA SILVA</v>
          </cell>
          <cell r="D1388" t="str">
            <v>PROFESSOR ADJUNTO</v>
          </cell>
        </row>
        <row r="1389">
          <cell r="B1389" t="str">
            <v>LARISSA HERMANN DE SOUZA NUNES</v>
          </cell>
          <cell r="D1389" t="str">
            <v>PROFESSOR AUXILIAR</v>
          </cell>
        </row>
        <row r="1390">
          <cell r="B1390" t="str">
            <v>ALINE CRISTINA ZANCHETTIN</v>
          </cell>
          <cell r="D1390" t="str">
            <v>PROFESSOR AUXILIAR</v>
          </cell>
        </row>
        <row r="1391">
          <cell r="B1391" t="str">
            <v>CESAR RIBEIRO ZUCCOLI</v>
          </cell>
          <cell r="D1391" t="str">
            <v>PROFESSOR AUXILIAR</v>
          </cell>
        </row>
        <row r="1392">
          <cell r="B1392" t="str">
            <v>RICARDO LUCATTO BAIDA</v>
          </cell>
          <cell r="D1392" t="str">
            <v>PROFESSOR AUXILIAR</v>
          </cell>
        </row>
        <row r="1393">
          <cell r="B1393" t="str">
            <v>KELI DAIANE CRISTINA LIBARDI RAMELLA</v>
          </cell>
          <cell r="D1393" t="str">
            <v>PROFESSOR ADJUNTO</v>
          </cell>
        </row>
        <row r="1394">
          <cell r="B1394" t="str">
            <v>ROSIMARA DO AMARAL LIMA DE CASTRO</v>
          </cell>
          <cell r="D1394" t="str">
            <v>PROFESSOR LINGUA ESTRANGEIRA</v>
          </cell>
        </row>
        <row r="1395">
          <cell r="B1395" t="str">
            <v>LUCAS FERREIRA LOPES</v>
          </cell>
          <cell r="D1395" t="str">
            <v>ANL PLANEJAMENTO ESTRATEGICO SR</v>
          </cell>
        </row>
        <row r="1396">
          <cell r="B1396" t="str">
            <v>VITOR LOUREIRO DIAS</v>
          </cell>
          <cell r="D1396" t="str">
            <v>PROFESSOR AUXILIAR</v>
          </cell>
        </row>
        <row r="1397">
          <cell r="B1397" t="str">
            <v>ISABEL CRISTINA CEZAR GROQUE</v>
          </cell>
          <cell r="D1397" t="str">
            <v>CONSULTOR PROJETOS TI</v>
          </cell>
        </row>
        <row r="1398">
          <cell r="B1398" t="str">
            <v>LUIZ FERNANDO VELOSO BORBA NAVOLAR</v>
          </cell>
          <cell r="D1398" t="str">
            <v>PROFESSOR AUXILIAR</v>
          </cell>
        </row>
        <row r="1399">
          <cell r="B1399" t="str">
            <v>ANDREIA RIBEIRO DA LUZ</v>
          </cell>
          <cell r="D1399" t="str">
            <v>COORD CURSO</v>
          </cell>
        </row>
        <row r="1400">
          <cell r="B1400" t="str">
            <v>PEDRO HENRIQUE CICERONE</v>
          </cell>
          <cell r="D1400" t="str">
            <v>ANL CONTROLADORIA SR</v>
          </cell>
        </row>
        <row r="1401">
          <cell r="B1401" t="str">
            <v>MATHEUS PEREIRA</v>
          </cell>
          <cell r="D1401" t="str">
            <v>COORD PROJETOS</v>
          </cell>
        </row>
        <row r="1402">
          <cell r="B1402" t="str">
            <v>MARIANE RINCOSKI ALBERGE</v>
          </cell>
          <cell r="D1402" t="str">
            <v>CONSULTOR NEGOCIOS RH</v>
          </cell>
        </row>
        <row r="1403">
          <cell r="B1403" t="str">
            <v>RICARDO PEREIRA ALVES DO NASCIMENTO</v>
          </cell>
          <cell r="D1403" t="str">
            <v>ANL PROJETOS PL</v>
          </cell>
        </row>
        <row r="1404">
          <cell r="B1404" t="str">
            <v>MARION BATISTA ROSAS DE MORAES</v>
          </cell>
          <cell r="D1404" t="str">
            <v>EXECUTIVO NEGOCIOS SR</v>
          </cell>
        </row>
        <row r="1405">
          <cell r="B1405" t="str">
            <v>JULIANA MARIA SAITO</v>
          </cell>
          <cell r="D1405" t="str">
            <v>COORD REGULACAO E PROJETOS PEDAGOGI</v>
          </cell>
        </row>
        <row r="1406">
          <cell r="B1406" t="str">
            <v>GIOVANI DOMICIANO FORMENTON</v>
          </cell>
          <cell r="D1406" t="str">
            <v>COORD PROJETOS</v>
          </cell>
        </row>
        <row r="1407">
          <cell r="B1407" t="str">
            <v>MARCIA LUCIANE FILIPETTO FERRARI</v>
          </cell>
          <cell r="D1407" t="str">
            <v>ANL FINANCEIRO JR</v>
          </cell>
        </row>
        <row r="1408">
          <cell r="B1408" t="str">
            <v>ELISABETE DA SILVA ALVES</v>
          </cell>
          <cell r="D1408" t="str">
            <v>ANL ATENDIMENTO JR</v>
          </cell>
        </row>
        <row r="1409">
          <cell r="B1409" t="str">
            <v>WELLEN CRISTINA GIOVANELLA</v>
          </cell>
          <cell r="D1409" t="str">
            <v>ANL RELACIONAMENTO PL</v>
          </cell>
        </row>
        <row r="1410">
          <cell r="B1410" t="str">
            <v>DAPHNE DA CUNHA SCHEFFER</v>
          </cell>
          <cell r="D1410" t="str">
            <v>COORD PROJETOS DE PESQUISA</v>
          </cell>
        </row>
        <row r="1411">
          <cell r="B1411" t="str">
            <v>VIVIANE DE CASSIA NOGUEIRA</v>
          </cell>
          <cell r="D1411" t="str">
            <v>COORD ACADEMICO</v>
          </cell>
        </row>
        <row r="1412">
          <cell r="B1412" t="str">
            <v>SHEYLA MARA CORAIOLA</v>
          </cell>
          <cell r="D1412" t="str">
            <v>GTE PROJETOS</v>
          </cell>
        </row>
        <row r="1413">
          <cell r="B1413" t="str">
            <v>TERESINHA DE LARA</v>
          </cell>
          <cell r="D1413" t="str">
            <v>ESP PROJETOS</v>
          </cell>
        </row>
        <row r="1414">
          <cell r="B1414" t="str">
            <v>ANA LUISA KORB MARQUES</v>
          </cell>
          <cell r="D1414" t="str">
            <v>ANL MOBILIDADE INTERNACIONAL SR</v>
          </cell>
        </row>
        <row r="1415">
          <cell r="B1415" t="str">
            <v>DENISE CAMARANI REVELK</v>
          </cell>
          <cell r="D1415" t="str">
            <v>COORD ACADEMICO EDUCACAO CONTINUADA</v>
          </cell>
        </row>
        <row r="1416">
          <cell r="B1416" t="str">
            <v>CAMILA FERNANDA RIBEIRO</v>
          </cell>
          <cell r="D1416" t="str">
            <v>ADVOGADO PL</v>
          </cell>
        </row>
        <row r="1417">
          <cell r="B1417" t="str">
            <v>SUSAN RENATA VALENZA FERRARI</v>
          </cell>
          <cell r="D1417" t="str">
            <v>ANL QUALIDADE SR</v>
          </cell>
        </row>
        <row r="1418">
          <cell r="B1418" t="str">
            <v>LETICIA RODRIGUES MICHALINCHEN TORQUATO</v>
          </cell>
          <cell r="D1418" t="str">
            <v>ANL ADMINISTRATIVO PL</v>
          </cell>
        </row>
        <row r="1419">
          <cell r="B1419" t="str">
            <v>GUSTAVO ANDRE GALVAO</v>
          </cell>
          <cell r="D1419" t="str">
            <v>ANL ATENDIMENTO JR</v>
          </cell>
        </row>
        <row r="1420">
          <cell r="B1420" t="str">
            <v>ALINE TAVARES</v>
          </cell>
          <cell r="D1420" t="str">
            <v>ANL TECNOLOGIA EDUCACIONAL PL</v>
          </cell>
        </row>
        <row r="1421">
          <cell r="B1421" t="str">
            <v>DEBORA CRISTINA BERLANDA MATOSO</v>
          </cell>
          <cell r="D1421" t="str">
            <v>ANL QUALIDADE JR</v>
          </cell>
        </row>
        <row r="1422">
          <cell r="B1422" t="str">
            <v>CELSO GERALDO MEDINA</v>
          </cell>
          <cell r="D1422" t="str">
            <v>COORD OPER MANUTENCAO</v>
          </cell>
        </row>
        <row r="1423">
          <cell r="B1423" t="str">
            <v>RENATA CHEUCZUK NASCIMENTO</v>
          </cell>
          <cell r="D1423" t="str">
            <v>ESP IDENTIDADE INSTITUCIONAL</v>
          </cell>
        </row>
        <row r="1424">
          <cell r="B1424" t="str">
            <v>JANAIK HELCIAS FIRMINO BAUM</v>
          </cell>
          <cell r="D1424" t="str">
            <v>ESP CULTURA</v>
          </cell>
        </row>
        <row r="1425">
          <cell r="B1425" t="str">
            <v>TAVANY CIBELE COELHO</v>
          </cell>
          <cell r="D1425" t="str">
            <v>PROFESSOR TUTOR ONLINE II</v>
          </cell>
        </row>
        <row r="1426">
          <cell r="B1426" t="str">
            <v>EMILIA JULIANA FERREIRA</v>
          </cell>
          <cell r="D1426" t="str">
            <v>PROFESSOR TUTOR ONLINE II</v>
          </cell>
        </row>
        <row r="1427">
          <cell r="B1427" t="str">
            <v>FLAVIA OBARA KAI</v>
          </cell>
          <cell r="D1427" t="str">
            <v>COORD CURSO</v>
          </cell>
        </row>
        <row r="1428">
          <cell r="B1428" t="str">
            <v>FERNANDA CRISTINI CHIAFITELA LOCH</v>
          </cell>
          <cell r="D1428" t="str">
            <v>PROFESSOR TUTOR ONLINE II</v>
          </cell>
        </row>
        <row r="1429">
          <cell r="B1429" t="str">
            <v>REGIANE NASCIMENTO DOS SANTOS</v>
          </cell>
          <cell r="D1429" t="str">
            <v>ANL RELACIONAMENTO SR</v>
          </cell>
        </row>
        <row r="1430">
          <cell r="B1430" t="str">
            <v>KARINA INES PALUDO AGOSTINHO</v>
          </cell>
          <cell r="D1430" t="str">
            <v>PROFESSOR TUTOR ONLINE III</v>
          </cell>
        </row>
        <row r="1431">
          <cell r="B1431" t="str">
            <v>MAURA VELLO</v>
          </cell>
          <cell r="D1431" t="str">
            <v>PROFESSOR TUTOR ONLINE II</v>
          </cell>
        </row>
        <row r="1432">
          <cell r="B1432" t="str">
            <v>EDUARDO KUGLER VIEGAS</v>
          </cell>
          <cell r="D1432" t="str">
            <v>PROFESSOR ADJUNTO</v>
          </cell>
        </row>
        <row r="1433">
          <cell r="B1433" t="str">
            <v>PAULO ROBERTO STOBERL</v>
          </cell>
          <cell r="D1433" t="str">
            <v>PROFESSOR ADJUNTO</v>
          </cell>
        </row>
        <row r="1434">
          <cell r="B1434" t="str">
            <v>SORAYA LUCIA NERES PACHECO</v>
          </cell>
          <cell r="D1434" t="str">
            <v>MEDICO PRECEPTOR</v>
          </cell>
        </row>
        <row r="1435">
          <cell r="B1435" t="str">
            <v>ELISANGELA CRISTINA GUERRA MARTINS</v>
          </cell>
          <cell r="D1435" t="str">
            <v>ANL TRANSFORMACAO PROCESSOS PL</v>
          </cell>
        </row>
        <row r="1436">
          <cell r="B1436" t="str">
            <v>CLEO OTAVIANO MESA JUNIOR</v>
          </cell>
          <cell r="D1436" t="str">
            <v>PROFESSOR AUXILIAR</v>
          </cell>
        </row>
        <row r="1437">
          <cell r="B1437" t="str">
            <v>SILVIA MIDORI YANAI MIYAZAKI</v>
          </cell>
          <cell r="D1437" t="str">
            <v>PROFESSOR AUXILIAR</v>
          </cell>
        </row>
        <row r="1438">
          <cell r="B1438" t="str">
            <v>RICARDO SBALQUEIRO</v>
          </cell>
          <cell r="D1438" t="str">
            <v>MEDICO PRECEPTOR</v>
          </cell>
        </row>
        <row r="1439">
          <cell r="B1439" t="str">
            <v>FILIPE JOSE IGNES</v>
          </cell>
          <cell r="D1439" t="str">
            <v>DIR FINANCEIRO</v>
          </cell>
        </row>
        <row r="1440">
          <cell r="B1440" t="str">
            <v>YURI ALEXANDRE FERRETE</v>
          </cell>
          <cell r="D1440" t="str">
            <v>PROFESSOR AUXILIAR</v>
          </cell>
        </row>
        <row r="1441">
          <cell r="B1441" t="str">
            <v>KATHERINE DAMBROWSKI</v>
          </cell>
          <cell r="D1441" t="str">
            <v>PROFESSOR AUXILIAR</v>
          </cell>
        </row>
        <row r="1442">
          <cell r="B1442" t="str">
            <v>CAMILE SILVELLO PEREIRA</v>
          </cell>
          <cell r="D1442" t="str">
            <v>MEDICO PRECEPTOR</v>
          </cell>
        </row>
        <row r="1443">
          <cell r="B1443" t="str">
            <v>EDUARDO LOPES MARTINS</v>
          </cell>
          <cell r="D1443" t="str">
            <v>PROFESSOR AUXILIAR</v>
          </cell>
        </row>
        <row r="1444">
          <cell r="B1444" t="str">
            <v>LENISA ALBANSKE RABONI</v>
          </cell>
          <cell r="D1444" t="str">
            <v>MEDICO PRECEPTOR</v>
          </cell>
        </row>
        <row r="1445">
          <cell r="B1445" t="str">
            <v>GUSTAVO WANDRESEN</v>
          </cell>
          <cell r="D1445" t="str">
            <v>PROFESSOR AUXILIAR</v>
          </cell>
        </row>
        <row r="1446">
          <cell r="B1446" t="str">
            <v>RANIERI EMANUELE MASTROBERARDINO</v>
          </cell>
          <cell r="D1446" t="str">
            <v>PROFESSOR LINGUA ESTRANGEIRA</v>
          </cell>
        </row>
        <row r="1447">
          <cell r="B1447" t="str">
            <v>JULIANA CONCEICAO NOSCHANG DA COSTA</v>
          </cell>
          <cell r="D1447" t="str">
            <v>COORD CURSO</v>
          </cell>
        </row>
        <row r="1448">
          <cell r="B1448" t="str">
            <v>HERBERT DE PROENCA LOPES</v>
          </cell>
          <cell r="D1448" t="str">
            <v>PROFESSOR AUXILIAR</v>
          </cell>
        </row>
        <row r="1449">
          <cell r="B1449" t="str">
            <v>SHIMENY MICHELATO YOSHIY</v>
          </cell>
          <cell r="D1449" t="str">
            <v>PROFESSOR AUXILIAR</v>
          </cell>
        </row>
        <row r="1450">
          <cell r="B1450" t="str">
            <v>JOAO MANOEL MARANHAO DE SIQUEIRA DIAS</v>
          </cell>
          <cell r="D1450" t="str">
            <v>WEB DESIGNER SR</v>
          </cell>
        </row>
        <row r="1451">
          <cell r="B1451" t="str">
            <v>CATIANA RODRIGUES CALIXTO</v>
          </cell>
          <cell r="D1451" t="str">
            <v>ANL PROJETOS EDUCACIONAIS PL</v>
          </cell>
        </row>
        <row r="1452">
          <cell r="B1452" t="str">
            <v>CAROLINE APARECIDA AFONSO</v>
          </cell>
          <cell r="D1452" t="str">
            <v>COORD ADMINISTRATIVO</v>
          </cell>
        </row>
        <row r="1453">
          <cell r="B1453" t="str">
            <v>DAVID SERRA HAYNE BASTOS</v>
          </cell>
          <cell r="D1453" t="str">
            <v>MEDICO PRECEPTOR</v>
          </cell>
        </row>
        <row r="1454">
          <cell r="B1454" t="str">
            <v>KELLY RAMOS SILVA</v>
          </cell>
          <cell r="D1454" t="str">
            <v>ANL ATENDIMENTO PL</v>
          </cell>
        </row>
        <row r="1455">
          <cell r="B1455" t="str">
            <v>KELLY DAIANE RALDI</v>
          </cell>
          <cell r="D1455" t="str">
            <v>COORD ADMINISTRATIVO</v>
          </cell>
        </row>
        <row r="1456">
          <cell r="B1456" t="str">
            <v>NICKOLE CRISTINA VELOSO</v>
          </cell>
          <cell r="D1456" t="str">
            <v>ANL EXPERIENCIA CLIENTE PL</v>
          </cell>
        </row>
        <row r="1457">
          <cell r="B1457" t="str">
            <v>CRISTIANE ALBUQUERQUE DOS SANTOS</v>
          </cell>
          <cell r="D1457" t="str">
            <v>ANL FINANCEIRO PL</v>
          </cell>
        </row>
        <row r="1458">
          <cell r="B1458" t="str">
            <v>MANOELA PIERINA TAGLIAFERRO</v>
          </cell>
          <cell r="D1458" t="str">
            <v>DIR PLANEJAMENTO ACADEMICO</v>
          </cell>
        </row>
        <row r="1459">
          <cell r="B1459" t="str">
            <v>VIVIANE DE SOUZA PINHO COSTA</v>
          </cell>
          <cell r="D1459" t="str">
            <v>PROFESSOR AUXILIAR</v>
          </cell>
        </row>
        <row r="1460">
          <cell r="B1460" t="str">
            <v>CAMILA DE OLIVEIRA</v>
          </cell>
          <cell r="D1460" t="str">
            <v>ANL COMUNICACAO SR</v>
          </cell>
        </row>
        <row r="1461">
          <cell r="B1461" t="str">
            <v>JACQUELINE MORISSUGUI CARDOSO</v>
          </cell>
          <cell r="D1461" t="str">
            <v>PROFESSOR LINGUA ESTRANGEIRA</v>
          </cell>
        </row>
        <row r="1462">
          <cell r="B1462" t="str">
            <v>ANA PAULA ALVES DE MELO</v>
          </cell>
          <cell r="D1462" t="str">
            <v>ANL TRANSFORMACAO PROCESSOS PL</v>
          </cell>
        </row>
        <row r="1463">
          <cell r="B1463" t="str">
            <v>DAYANE CRISTINA SILVA</v>
          </cell>
          <cell r="D1463" t="str">
            <v>ANL FATURAMENTO SR</v>
          </cell>
        </row>
        <row r="1464">
          <cell r="B1464" t="str">
            <v>HERBERT DE SOUZA DE ALMEIDA</v>
          </cell>
          <cell r="D1464" t="str">
            <v>ESP MARKETING</v>
          </cell>
        </row>
        <row r="1465">
          <cell r="B1465" t="str">
            <v>KAROLINE FERNANDA WIDDERHOFF</v>
          </cell>
          <cell r="D1465" t="str">
            <v>ANL ATENDIMENTO JR</v>
          </cell>
        </row>
        <row r="1466">
          <cell r="B1466" t="str">
            <v>FERNANDA PAOLA BUTARELLI</v>
          </cell>
          <cell r="D1466" t="str">
            <v>GTE DESENVOLVIMENTO NEGOCIOS</v>
          </cell>
        </row>
        <row r="1467">
          <cell r="B1467" t="str">
            <v>DEBORA FRANCHINI DE ALMEIDA MOURATO</v>
          </cell>
          <cell r="D1467" t="str">
            <v>MEDICO PRECEPTOR</v>
          </cell>
        </row>
        <row r="1468">
          <cell r="B1468" t="str">
            <v>NAIARA SABRINA DE FREITAS</v>
          </cell>
          <cell r="D1468" t="str">
            <v>ANL GESTAO ACADEMICA PL</v>
          </cell>
        </row>
        <row r="1469">
          <cell r="B1469" t="str">
            <v>CAROLINA STOLL</v>
          </cell>
          <cell r="D1469" t="str">
            <v>MEDICO PRECEPTOR</v>
          </cell>
        </row>
        <row r="1470">
          <cell r="B1470" t="str">
            <v>ANA PAULA CRISTIANO MACHADO GUMIERO</v>
          </cell>
          <cell r="D1470" t="str">
            <v>ANL FATURAMENTO JR</v>
          </cell>
        </row>
        <row r="1471">
          <cell r="B1471" t="str">
            <v>SUZANA CRISTINA TYSKI</v>
          </cell>
          <cell r="D1471" t="str">
            <v>ANL ATENDIMENTO JR</v>
          </cell>
        </row>
        <row r="1472">
          <cell r="B1472" t="str">
            <v>LEUTER DUARTE CARDOSO JUNIOR</v>
          </cell>
          <cell r="D1472" t="str">
            <v>COORD ACADEMICO</v>
          </cell>
        </row>
        <row r="1473">
          <cell r="B1473" t="str">
            <v>ANA CAROLINA CLAUDINO</v>
          </cell>
          <cell r="D1473" t="str">
            <v>ANL TRANSFORMACAO PROCESSOS SR</v>
          </cell>
        </row>
        <row r="1474">
          <cell r="B1474" t="str">
            <v>SUELEN APARECIDA DE SOUSA</v>
          </cell>
          <cell r="D1474" t="str">
            <v>INSTRUTOR</v>
          </cell>
        </row>
        <row r="1475">
          <cell r="B1475" t="str">
            <v>JESSICA LANE OLIVEIRA PALMA</v>
          </cell>
          <cell r="D1475" t="str">
            <v>ANL TECNOLOGIA EDUCACIONAL JR</v>
          </cell>
        </row>
        <row r="1476">
          <cell r="B1476" t="str">
            <v>SILVIA CARNEIRO ROORDA</v>
          </cell>
          <cell r="D1476" t="str">
            <v>ANL COMUNICACAO SR</v>
          </cell>
        </row>
        <row r="1477">
          <cell r="B1477" t="str">
            <v>LUCAS VIAPIANA</v>
          </cell>
          <cell r="D1477" t="str">
            <v>COORD INTELIGENCIA DADOS</v>
          </cell>
        </row>
        <row r="1478">
          <cell r="B1478" t="str">
            <v>WAGNER DOS SANTOS MENDES</v>
          </cell>
          <cell r="D1478" t="str">
            <v>COORD EDUCACAO CONTINUADA</v>
          </cell>
        </row>
        <row r="1479">
          <cell r="B1479" t="str">
            <v>ANA BEATRIZ DIAS PINTO</v>
          </cell>
          <cell r="D1479" t="str">
            <v>PROFESSOR AUXILIAR</v>
          </cell>
        </row>
        <row r="1480">
          <cell r="B1480" t="str">
            <v>AMANDA GAILIT BALLIANA DE ALMEIDA</v>
          </cell>
          <cell r="D1480" t="str">
            <v>ANL TECNOLOGIA EDUCACIONAL JR</v>
          </cell>
        </row>
        <row r="1481">
          <cell r="B1481" t="str">
            <v>PAULA NATASHA FERREIRA FERMINO</v>
          </cell>
          <cell r="D1481" t="str">
            <v>ANL ATENDIMENTO JR</v>
          </cell>
        </row>
        <row r="1482">
          <cell r="B1482" t="str">
            <v>MARIA CLARA JAEGER GODOY</v>
          </cell>
          <cell r="D1482" t="str">
            <v>PROFESSOR ASSISTENTE</v>
          </cell>
        </row>
        <row r="1483">
          <cell r="B1483" t="str">
            <v>GISELE APARECIDA CONSTANTINO TIMOTEO</v>
          </cell>
          <cell r="D1483" t="str">
            <v>AST ATENDIMENTO</v>
          </cell>
        </row>
        <row r="1484">
          <cell r="B1484" t="str">
            <v>MAURICIO ORLANDO WILMSEN</v>
          </cell>
          <cell r="D1484" t="str">
            <v>PROFESSOR AUXILIAR</v>
          </cell>
        </row>
        <row r="1485">
          <cell r="B1485" t="str">
            <v>ALVARO CESAR KRIECK DOS SANTOS</v>
          </cell>
          <cell r="D1485" t="str">
            <v>PROFESSOR AUXILIAR</v>
          </cell>
        </row>
        <row r="1486">
          <cell r="B1486" t="str">
            <v>OSWALDO GIACOIA JUNIOR</v>
          </cell>
          <cell r="D1486" t="str">
            <v>PROFESSOR ADJUNTO</v>
          </cell>
        </row>
        <row r="1487">
          <cell r="B1487" t="str">
            <v>ROLNEI RUA DAROS</v>
          </cell>
          <cell r="D1487" t="str">
            <v>COORD CURSO</v>
          </cell>
        </row>
        <row r="1488">
          <cell r="B1488" t="str">
            <v>JULIANO SAMWAYS PETROSKI</v>
          </cell>
          <cell r="D1488" t="str">
            <v>PROFESSOR TUTOR ONLINE III</v>
          </cell>
        </row>
        <row r="1489">
          <cell r="B1489" t="str">
            <v>LUCAS EMANUEL SILVA E OLIVEIRA</v>
          </cell>
          <cell r="D1489" t="str">
            <v>COORD CURSO</v>
          </cell>
        </row>
        <row r="1490">
          <cell r="B1490" t="str">
            <v>RODOLFO STANCKI SILVA</v>
          </cell>
          <cell r="D1490" t="str">
            <v>PROFESSOR ASSISTENTE</v>
          </cell>
        </row>
        <row r="1491">
          <cell r="B1491" t="str">
            <v>MAURICIO PERIN NEVES DA SILVA</v>
          </cell>
          <cell r="D1491" t="str">
            <v>PROFESSOR AUXILIAR</v>
          </cell>
        </row>
        <row r="1492">
          <cell r="B1492" t="str">
            <v>FABIOLA BRENNER HILGENBERG</v>
          </cell>
          <cell r="D1492" t="str">
            <v>PROFESSOR AUXILIAR</v>
          </cell>
        </row>
        <row r="1493">
          <cell r="B1493" t="str">
            <v>FRANK COELHO DE ALCANTARA</v>
          </cell>
          <cell r="D1493" t="str">
            <v>PROFESSOR AUXILIAR</v>
          </cell>
        </row>
        <row r="1494">
          <cell r="B1494" t="str">
            <v>LUCAS CASONATO JACINTO</v>
          </cell>
          <cell r="D1494" t="str">
            <v>PROFESSOR ASSISTENTE</v>
          </cell>
        </row>
        <row r="1495">
          <cell r="B1495" t="str">
            <v>PAULO VINICIUS PRESTIA CUSTODIO</v>
          </cell>
          <cell r="D1495" t="str">
            <v>PROFESSOR AUXILIAR</v>
          </cell>
        </row>
        <row r="1496">
          <cell r="B1496" t="str">
            <v>ANA CAROLINA MOISES DE SOUZA</v>
          </cell>
          <cell r="D1496" t="str">
            <v>PROFESSOR AUXILIAR</v>
          </cell>
        </row>
        <row r="1497">
          <cell r="B1497" t="str">
            <v>HENRIQUE DEMENECK</v>
          </cell>
          <cell r="D1497" t="str">
            <v>PROFESSOR AUXILIAR</v>
          </cell>
        </row>
        <row r="1498">
          <cell r="B1498" t="str">
            <v>MARIANA COLLETE</v>
          </cell>
          <cell r="D1498" t="str">
            <v>PROFESSOR AUXILIAR</v>
          </cell>
        </row>
        <row r="1499">
          <cell r="B1499" t="str">
            <v>VANDERLEI MACHADO DE SOUZA</v>
          </cell>
          <cell r="D1499" t="str">
            <v>ANL RELACIONAMENTO JR</v>
          </cell>
        </row>
        <row r="1500">
          <cell r="B1500" t="str">
            <v>JULIANA TEODORO</v>
          </cell>
          <cell r="D1500" t="str">
            <v>ANL PROJETOS SR</v>
          </cell>
        </row>
        <row r="1501">
          <cell r="B1501" t="str">
            <v>DESIREE CRISTINA DE OLIVEIRA</v>
          </cell>
          <cell r="D1501" t="str">
            <v>ANL ADMINISTRATIVO JR</v>
          </cell>
        </row>
        <row r="1502">
          <cell r="B1502" t="str">
            <v>MYENNE MIEKO AYRES TSUTSUMI</v>
          </cell>
          <cell r="D1502" t="str">
            <v>PROFESSOR ADJUNTO</v>
          </cell>
        </row>
        <row r="1503">
          <cell r="B1503" t="str">
            <v>ALEXANDRE CAMILOTTI GASPERIN</v>
          </cell>
          <cell r="D1503" t="str">
            <v>PROFESSOR AUXILIAR</v>
          </cell>
        </row>
        <row r="1504">
          <cell r="B1504" t="str">
            <v>JOSIMABER SIQUEIRA REZENDE</v>
          </cell>
          <cell r="D1504" t="str">
            <v>PROFESSOR TUTOR ONLINE III</v>
          </cell>
        </row>
        <row r="1505">
          <cell r="B1505" t="str">
            <v>EVERTON MITHERHOFER BERNARDES</v>
          </cell>
          <cell r="D1505" t="str">
            <v>PROFESSOR LINGUA ESTRANGEIRA</v>
          </cell>
        </row>
        <row r="1506">
          <cell r="B1506" t="str">
            <v>REBECA FERNANDES DIAS</v>
          </cell>
          <cell r="D1506" t="str">
            <v>PROFESSOR AUXILIAR</v>
          </cell>
        </row>
        <row r="1507">
          <cell r="B1507" t="str">
            <v>CARLOS EDUARDO PEREIRA DUTRA</v>
          </cell>
          <cell r="D1507" t="str">
            <v>PROFESSOR AUXILIAR</v>
          </cell>
        </row>
        <row r="1508">
          <cell r="B1508" t="str">
            <v>VINICIUS BASSO PRETI</v>
          </cell>
          <cell r="D1508" t="str">
            <v>PROFESSOR AUXILIAR</v>
          </cell>
        </row>
        <row r="1509">
          <cell r="B1509" t="str">
            <v>CALUE PAPCKE</v>
          </cell>
          <cell r="D1509" t="str">
            <v>PROFESSOR AUXILIAR</v>
          </cell>
        </row>
        <row r="1510">
          <cell r="B1510" t="str">
            <v>DOUGLAS AUGUSTO FERNANDES COUTO</v>
          </cell>
          <cell r="D1510" t="str">
            <v>CIRURGIAO DENTISTA RADIOLOGISTA</v>
          </cell>
        </row>
        <row r="1511">
          <cell r="B1511" t="str">
            <v>MATHEUS LENCI MARQUES</v>
          </cell>
          <cell r="D1511" t="str">
            <v>PROFESSOR AUXILIAR</v>
          </cell>
        </row>
        <row r="1512">
          <cell r="B1512" t="str">
            <v>SUSAN SUGISAWA KAY LOCATELLI</v>
          </cell>
          <cell r="D1512" t="str">
            <v>MEDICO PRECEPTOR</v>
          </cell>
        </row>
        <row r="1513">
          <cell r="B1513" t="str">
            <v>LUIZA SVIESK SPRUNG</v>
          </cell>
          <cell r="D1513" t="str">
            <v>PROFESSOR AUXILIAR</v>
          </cell>
        </row>
        <row r="1514">
          <cell r="B1514" t="str">
            <v>ANA CLAUDIA JESBICK</v>
          </cell>
          <cell r="D1514" t="str">
            <v>GTE MARKETING</v>
          </cell>
        </row>
        <row r="1515">
          <cell r="B1515" t="str">
            <v>HEWERTON FERNANDES DA SILVA</v>
          </cell>
          <cell r="D1515" t="str">
            <v>PROFESSOR AUXILIAR</v>
          </cell>
        </row>
        <row r="1516">
          <cell r="B1516" t="str">
            <v>FLAVIA HARUMI SOUZA KUABARA</v>
          </cell>
          <cell r="D1516" t="str">
            <v>PROFESSOR TUTOR ONLINE II</v>
          </cell>
        </row>
        <row r="1517">
          <cell r="B1517" t="str">
            <v>MAXILIANO RIBEIRO</v>
          </cell>
          <cell r="D1517" t="str">
            <v>COORD CURSO</v>
          </cell>
        </row>
        <row r="1518">
          <cell r="B1518" t="str">
            <v>LIZIANE ARIELY DE OLIVEIRA RICKEN ALMEIDA</v>
          </cell>
          <cell r="D1518" t="str">
            <v>ESP PROJETOS</v>
          </cell>
        </row>
        <row r="1519">
          <cell r="B1519" t="str">
            <v>BRAULIO ANTONIO JIOMEKE</v>
          </cell>
          <cell r="D1519" t="str">
            <v>ANL NEGOCIOS TI SR</v>
          </cell>
        </row>
        <row r="1520">
          <cell r="B1520" t="str">
            <v>TIAGO MORALES CALVE</v>
          </cell>
          <cell r="D1520" t="str">
            <v>PROFESSOR AUXILIAR</v>
          </cell>
        </row>
        <row r="1521">
          <cell r="B1521" t="str">
            <v>TIAGO ADELINO NAVARRO</v>
          </cell>
          <cell r="D1521" t="str">
            <v>PROFESSOR ASSISTENTE</v>
          </cell>
        </row>
        <row r="1522">
          <cell r="B1522" t="str">
            <v>FELIPE GUEDES ANTUNES</v>
          </cell>
          <cell r="D1522" t="str">
            <v>COORD PRODUCAO EAD</v>
          </cell>
        </row>
        <row r="1523">
          <cell r="B1523" t="str">
            <v>JANINE DONATO SPINARDI</v>
          </cell>
          <cell r="D1523" t="str">
            <v>PROFESSOR TUTOR ONLINE II</v>
          </cell>
        </row>
        <row r="1524">
          <cell r="B1524" t="str">
            <v>LILLIAN CRISTIANE CAMARGO MOREIRA</v>
          </cell>
          <cell r="D1524" t="str">
            <v>PROFESSOR TUTOR ONLINE II</v>
          </cell>
        </row>
        <row r="1525">
          <cell r="B1525" t="str">
            <v>KESSYANE DA SILVA NOVAES HORBUCZ</v>
          </cell>
          <cell r="D1525" t="str">
            <v>PROFESSOR TUTOR ONLINE II</v>
          </cell>
        </row>
        <row r="1526">
          <cell r="B1526" t="str">
            <v>THIAGO SAVES</v>
          </cell>
          <cell r="D1526" t="str">
            <v>ESP BANCO DE DADOS</v>
          </cell>
        </row>
        <row r="1527">
          <cell r="B1527" t="str">
            <v>NILZA TERESINHA FAORO</v>
          </cell>
          <cell r="D1527" t="str">
            <v>PROFESSOR AUXILIAR</v>
          </cell>
        </row>
        <row r="1528">
          <cell r="B1528" t="str">
            <v>ANTONIELA YARA MARQUES DA SILVA DIAS</v>
          </cell>
          <cell r="D1528" t="str">
            <v>PROFESSOR AUXILIAR</v>
          </cell>
        </row>
        <row r="1529">
          <cell r="B1529" t="str">
            <v>ANNA FLAVIA RIBEIRO DOS SANTOS MIGGIOLARO</v>
          </cell>
          <cell r="D1529" t="str">
            <v>PROFESSOR AUXILIAR</v>
          </cell>
        </row>
        <row r="1530">
          <cell r="B1530" t="str">
            <v>GLAISON AURELIO PELLANDA</v>
          </cell>
          <cell r="D1530" t="str">
            <v>COORD TECNOLOGIA INFORMACAO</v>
          </cell>
        </row>
        <row r="1531">
          <cell r="B1531" t="str">
            <v>CARLOS FREDERICO OLDENBURG NETO</v>
          </cell>
          <cell r="D1531" t="str">
            <v>PROFESSOR AUXILIAR</v>
          </cell>
        </row>
        <row r="1532">
          <cell r="B1532" t="str">
            <v>GUSTAVO MARTINI BUSO</v>
          </cell>
          <cell r="D1532" t="str">
            <v>COORD ESPORTES</v>
          </cell>
        </row>
        <row r="1533">
          <cell r="B1533" t="str">
            <v>VANESSA ANIS MEDEIROS ASSAD</v>
          </cell>
          <cell r="D1533" t="str">
            <v>ADVOGADO SR</v>
          </cell>
        </row>
        <row r="1534">
          <cell r="B1534" t="str">
            <v>FERNANDA SCHIER DE FRAGA</v>
          </cell>
          <cell r="D1534" t="str">
            <v>PROFESSOR AUXILIAR</v>
          </cell>
        </row>
        <row r="1535">
          <cell r="B1535" t="str">
            <v>JOSEANE MARIA ANDRADE MOUZINHO DE OLIVEIRA</v>
          </cell>
          <cell r="D1535" t="str">
            <v>PROFESSOR AUXILIAR</v>
          </cell>
        </row>
        <row r="1536">
          <cell r="B1536" t="str">
            <v>MARISTELA ROSALES</v>
          </cell>
          <cell r="D1536" t="str">
            <v>OPERADOR TELEATENDIMENTO</v>
          </cell>
        </row>
        <row r="1537">
          <cell r="B1537" t="str">
            <v>ROBERTO FRANZINI TIBALDEO</v>
          </cell>
          <cell r="D1537" t="str">
            <v>PROFESSOR ADJUNTO</v>
          </cell>
        </row>
        <row r="1538">
          <cell r="B1538" t="str">
            <v>VICTORIA APARECIDA IUNGBLOD DA LUZ</v>
          </cell>
          <cell r="D1538" t="str">
            <v>ANL QUALIDADE JR</v>
          </cell>
        </row>
        <row r="1539">
          <cell r="B1539" t="str">
            <v>BRUNA FRANCINI VUICIK</v>
          </cell>
          <cell r="D1539" t="str">
            <v>MEDICO PRECEPTOR</v>
          </cell>
        </row>
        <row r="1540">
          <cell r="B1540" t="str">
            <v>DIEGO PEREIRA DE MEIRA</v>
          </cell>
          <cell r="D1540" t="str">
            <v>ANL OPERACOES ACADEMICAS PL</v>
          </cell>
        </row>
        <row r="1541">
          <cell r="B1541" t="str">
            <v>EDIVANE VALERIA ALBURNIO</v>
          </cell>
          <cell r="D1541" t="str">
            <v>ANL OPERACOES ACADEMICAS PL</v>
          </cell>
        </row>
        <row r="1542">
          <cell r="B1542" t="str">
            <v>RAYSSA IEDA MEIRING</v>
          </cell>
          <cell r="D1542" t="str">
            <v>ANL PRODUCAO VIDEOS JR</v>
          </cell>
        </row>
        <row r="1543">
          <cell r="B1543" t="str">
            <v>PATRICIA BRUNING</v>
          </cell>
          <cell r="D1543" t="str">
            <v>COORD DESENVOLVIMENTO NEGOCIOS</v>
          </cell>
        </row>
        <row r="1544">
          <cell r="B1544" t="str">
            <v>LEONEL BRIZOLA ROCO</v>
          </cell>
          <cell r="D1544" t="str">
            <v>ANL PROJETOS PESQUISAS PL</v>
          </cell>
        </row>
        <row r="1545">
          <cell r="B1545" t="str">
            <v>JORGE UBERSON PEREIRA</v>
          </cell>
          <cell r="D1545" t="str">
            <v>PROFESSOR TUTOR ONLINE I</v>
          </cell>
        </row>
        <row r="1546">
          <cell r="B1546" t="str">
            <v>ANGELA CRISTINA CARDOZO SCHEMIN</v>
          </cell>
          <cell r="D1546" t="str">
            <v>PROFESSOR TUTOR ONLINE I</v>
          </cell>
        </row>
        <row r="1547">
          <cell r="B1547" t="str">
            <v>RICARDO DE AMORIM CINI</v>
          </cell>
          <cell r="D1547" t="str">
            <v>PROFESSOR ADJUNTO</v>
          </cell>
        </row>
        <row r="1548">
          <cell r="B1548" t="str">
            <v>VIVIANA RAQUEL ZURRO</v>
          </cell>
          <cell r="D1548" t="str">
            <v>PROFESSOR AUXILIAR</v>
          </cell>
        </row>
        <row r="1549">
          <cell r="B1549" t="str">
            <v>SUZIANNEMARA PANCIER CALDERON</v>
          </cell>
          <cell r="D1549" t="str">
            <v>AST ATENDIMENTO</v>
          </cell>
        </row>
        <row r="1550">
          <cell r="B1550" t="str">
            <v>GILBERTO GAERTNER</v>
          </cell>
          <cell r="D1550" t="str">
            <v>PROFESSOR AUXILIAR</v>
          </cell>
        </row>
        <row r="1551">
          <cell r="B1551" t="str">
            <v>DEBORA PATRICIA NEMER PINHEIRO</v>
          </cell>
          <cell r="D1551" t="str">
            <v>PROFESSOR AUXILIAR</v>
          </cell>
        </row>
        <row r="1552">
          <cell r="B1552" t="str">
            <v>MATHEUS DE LIMA GOEDERT</v>
          </cell>
          <cell r="D1552" t="str">
            <v>PROFESSOR AUXILIAR</v>
          </cell>
        </row>
        <row r="1553">
          <cell r="B1553" t="str">
            <v>ANDRE GUSTAVO HOCHULI</v>
          </cell>
          <cell r="D1553" t="str">
            <v>PROFESSOR ADJUNTO</v>
          </cell>
        </row>
        <row r="1554">
          <cell r="B1554" t="str">
            <v>JESSICA NAIHARA NUNES BUENO</v>
          </cell>
          <cell r="D1554" t="str">
            <v>PROFESSOR AUXILIAR</v>
          </cell>
        </row>
        <row r="1555">
          <cell r="B1555" t="str">
            <v>VINICIUS MOURAO ALVES DE SOUZA</v>
          </cell>
          <cell r="D1555" t="str">
            <v>PROFESSOR ADJUNTO</v>
          </cell>
        </row>
        <row r="1556">
          <cell r="B1556" t="str">
            <v>JOELSON PALHANO</v>
          </cell>
          <cell r="D1556" t="str">
            <v>ANL SUPORTE TI SR</v>
          </cell>
        </row>
        <row r="1557">
          <cell r="B1557" t="str">
            <v>RODRIGO ENGELBERT</v>
          </cell>
          <cell r="D1557" t="str">
            <v>PROFESSOR AUXILIAR</v>
          </cell>
        </row>
        <row r="1558">
          <cell r="B1558" t="str">
            <v>LUCIENE PIMENTEL DA SILVA</v>
          </cell>
          <cell r="D1558" t="str">
            <v>PROFESSOR ADJUNTO</v>
          </cell>
        </row>
        <row r="1559">
          <cell r="B1559" t="str">
            <v>AUDREY TIEKO TSUNODA</v>
          </cell>
          <cell r="D1559" t="str">
            <v>PROFESSOR ADJUNTO</v>
          </cell>
        </row>
        <row r="1560">
          <cell r="B1560" t="str">
            <v>PAOLA DIAMANTE FERREIRA SANTOS</v>
          </cell>
          <cell r="D1560" t="str">
            <v>PROFESSOR TUTOR ONLINE II</v>
          </cell>
        </row>
        <row r="1561">
          <cell r="B1561" t="str">
            <v>RENATO VINICIUS KRAFT</v>
          </cell>
          <cell r="D1561" t="str">
            <v>GTE TECNOLOGIA INFORMACAO</v>
          </cell>
        </row>
        <row r="1562">
          <cell r="B1562" t="str">
            <v>ANELISE MACHADO</v>
          </cell>
          <cell r="D1562" t="str">
            <v>ANL EDUCACIONAL PL</v>
          </cell>
        </row>
        <row r="1563">
          <cell r="B1563" t="str">
            <v>GUSTAVO FERREIRA DIAS</v>
          </cell>
          <cell r="D1563" t="str">
            <v>MEDICO PRECEPTOR</v>
          </cell>
        </row>
        <row r="1564">
          <cell r="B1564" t="str">
            <v>GEISA TAMARA BUGS</v>
          </cell>
          <cell r="D1564" t="str">
            <v>PROFESSOR ADJUNTO</v>
          </cell>
        </row>
        <row r="1565">
          <cell r="B1565" t="str">
            <v>ANDREA ROLOFF LOPES</v>
          </cell>
          <cell r="D1565" t="str">
            <v>PROFESSOR AUXILIAR</v>
          </cell>
        </row>
        <row r="1566">
          <cell r="B1566" t="str">
            <v>LORAYNE CRISTINA MATIUSSO DE SOUZA</v>
          </cell>
          <cell r="D1566" t="str">
            <v>MEDICO PRECEPTOR</v>
          </cell>
        </row>
        <row r="1567">
          <cell r="B1567" t="str">
            <v>RAFAELA HELEN LIMA DO NASCIMENTO</v>
          </cell>
          <cell r="D1567" t="str">
            <v>ANL ADMINISTRATIVO JR</v>
          </cell>
        </row>
        <row r="1568">
          <cell r="B1568" t="str">
            <v>VINICIUS ORO POPP</v>
          </cell>
          <cell r="D1568" t="str">
            <v>PROFESSOR AUXILIAR</v>
          </cell>
        </row>
        <row r="1569">
          <cell r="B1569" t="str">
            <v>KAREN FERNANDES DE MOURA SAAB</v>
          </cell>
          <cell r="D1569" t="str">
            <v>PROFESSOR AUXILIAR</v>
          </cell>
        </row>
        <row r="1570">
          <cell r="B1570" t="str">
            <v>LILIANE MAYUMI SWIECH</v>
          </cell>
          <cell r="D1570" t="str">
            <v>PROFESSOR AUXILIAR</v>
          </cell>
        </row>
        <row r="1571">
          <cell r="B1571" t="str">
            <v>DIEGO GUEDES DA SILVA</v>
          </cell>
          <cell r="D1571" t="str">
            <v>MEDICO PRECEPTOR</v>
          </cell>
        </row>
        <row r="1572">
          <cell r="B1572" t="str">
            <v>GUIITI SHIMIZU FILHO</v>
          </cell>
          <cell r="D1572" t="str">
            <v>MEDICO PRECEPTOR</v>
          </cell>
        </row>
        <row r="1573">
          <cell r="B1573" t="str">
            <v>IVAN DOBRYCHTOP</v>
          </cell>
          <cell r="D1573" t="str">
            <v>MEDICO PRECEPTOR</v>
          </cell>
        </row>
        <row r="1574">
          <cell r="B1574" t="str">
            <v>VIVIANE DE SOUSA BETONI</v>
          </cell>
          <cell r="D1574" t="str">
            <v>MEDICO PRECEPTOR</v>
          </cell>
        </row>
        <row r="1575">
          <cell r="B1575" t="str">
            <v>RAFAELLA STRADIOTTO BERNARDELLI</v>
          </cell>
          <cell r="D1575" t="str">
            <v>PROFESSOR AUXILIAR</v>
          </cell>
        </row>
        <row r="1576">
          <cell r="B1576" t="str">
            <v>MATHEUS TEODORO MARQUES CASSIOLATTO</v>
          </cell>
          <cell r="D1576" t="str">
            <v>AST ATENDIMENTO II</v>
          </cell>
        </row>
        <row r="1577">
          <cell r="B1577" t="str">
            <v>LAILLA KETLY FERREIRA TIRADENTES RUIZ</v>
          </cell>
          <cell r="D1577" t="str">
            <v>COORD AMBULATORIO</v>
          </cell>
        </row>
        <row r="1578">
          <cell r="B1578" t="str">
            <v>ANNA CAROLINA LEGROSKI</v>
          </cell>
          <cell r="D1578" t="str">
            <v>GTE PROJETOS</v>
          </cell>
        </row>
        <row r="1579">
          <cell r="B1579" t="str">
            <v>ADRIANO RODRIGUES BONFIM</v>
          </cell>
          <cell r="D1579" t="str">
            <v>AST ATENDIMENTO</v>
          </cell>
        </row>
        <row r="1580">
          <cell r="B1580" t="str">
            <v>EDUARDO MOREIRA THOME</v>
          </cell>
          <cell r="D1580" t="str">
            <v>PROFESSOR AUXILIAR</v>
          </cell>
        </row>
        <row r="1581">
          <cell r="B1581" t="str">
            <v>DAINE CAVALCANTI DA SILVA</v>
          </cell>
          <cell r="D1581" t="str">
            <v>PROFESSOR TUTOR ONLINE II</v>
          </cell>
        </row>
        <row r="1582">
          <cell r="B1582" t="str">
            <v>RAQUEL JAQUELINE FARION</v>
          </cell>
          <cell r="D1582" t="str">
            <v>PROFESSOR AUXILIAR</v>
          </cell>
        </row>
        <row r="1583">
          <cell r="B1583" t="str">
            <v>LUIZ GUSTAVO PICCOLI DE MELO</v>
          </cell>
          <cell r="D1583" t="str">
            <v>PROFESSOR AUXILIAR</v>
          </cell>
        </row>
        <row r="1584">
          <cell r="B1584" t="str">
            <v>FABI CAMILLO BARBOSA</v>
          </cell>
          <cell r="D1584" t="str">
            <v>PROFESSOR LINGUA ESTRANGEIRA</v>
          </cell>
        </row>
        <row r="1585">
          <cell r="B1585" t="str">
            <v>ANDREIA BERNARDI GIESEL</v>
          </cell>
          <cell r="D1585" t="str">
            <v>ANL ADMINISTRATIVO PL</v>
          </cell>
        </row>
        <row r="1586">
          <cell r="B1586" t="str">
            <v>CAROLINE MOURA SILVEIRA</v>
          </cell>
          <cell r="D1586" t="str">
            <v>ANL QUALIDADE SR</v>
          </cell>
        </row>
        <row r="1587">
          <cell r="B1587" t="str">
            <v>GERSON SILAS DOS SANTOS</v>
          </cell>
          <cell r="D1587" t="str">
            <v>DESENVOLVEDOR FULL STACK PL</v>
          </cell>
        </row>
        <row r="1588">
          <cell r="B1588" t="str">
            <v>ALEX DOMINGUES DOS SANTOS</v>
          </cell>
          <cell r="D1588" t="str">
            <v>ANL FINANCEIRO SR</v>
          </cell>
        </row>
        <row r="1589">
          <cell r="B1589" t="str">
            <v>GUSTAVO RODRIGUES DA SILVA</v>
          </cell>
          <cell r="D1589" t="str">
            <v>MEDICO PRECEPTOR</v>
          </cell>
        </row>
        <row r="1590">
          <cell r="B1590" t="str">
            <v>DOUGLAS SILVA MOREIRA</v>
          </cell>
          <cell r="D1590" t="str">
            <v>GTE CULTURA E ESPORTE</v>
          </cell>
        </row>
        <row r="1591">
          <cell r="B1591" t="str">
            <v>TASSIANE SOUZA DE JESUS</v>
          </cell>
          <cell r="D1591" t="str">
            <v>ANL PROJETOS SR</v>
          </cell>
        </row>
        <row r="1592">
          <cell r="B1592" t="str">
            <v>JOSE RICARDO MORO</v>
          </cell>
          <cell r="D1592" t="str">
            <v>DIR TECNOLOGIA INFORMACAO</v>
          </cell>
        </row>
        <row r="1593">
          <cell r="B1593" t="str">
            <v>LEANDRO GONCALVES MORENO</v>
          </cell>
          <cell r="D1593" t="str">
            <v>CIENTISTA DE DADOS II</v>
          </cell>
        </row>
        <row r="1594">
          <cell r="B1594" t="str">
            <v>DANIEL RICARDO FERREIRA</v>
          </cell>
          <cell r="D1594" t="str">
            <v>ANL PROJETOS TI SR</v>
          </cell>
        </row>
        <row r="1595">
          <cell r="B1595" t="str">
            <v>MARIANA SIQUEIRA CELESTE</v>
          </cell>
          <cell r="D1595" t="str">
            <v>ENFERMEIRO</v>
          </cell>
        </row>
        <row r="1596">
          <cell r="B1596" t="str">
            <v>NEIANE PRISCILLA DE ABREU</v>
          </cell>
          <cell r="D1596" t="str">
            <v>ANL OPERACOES ACADEMICAS SR</v>
          </cell>
        </row>
        <row r="1597">
          <cell r="B1597" t="str">
            <v>ISABELA RIBEIRO ANTUNES</v>
          </cell>
          <cell r="D1597" t="str">
            <v>ANL ATENDIMENTO JR</v>
          </cell>
        </row>
        <row r="1598">
          <cell r="B1598" t="str">
            <v>PAMELA APARECIDA DE SOUZA</v>
          </cell>
          <cell r="D1598" t="str">
            <v>ANL MARKETING JR</v>
          </cell>
        </row>
        <row r="1599">
          <cell r="B1599" t="str">
            <v>MIRIA GISELY DUARTE FERNANDES</v>
          </cell>
          <cell r="D1599" t="str">
            <v>ANL ATENDIMENTO JR</v>
          </cell>
        </row>
        <row r="1600">
          <cell r="B1600" t="str">
            <v>CAIM JACINTO</v>
          </cell>
          <cell r="D1600" t="str">
            <v>AST MONITORAMENTO CFTV</v>
          </cell>
        </row>
        <row r="1601">
          <cell r="B1601" t="str">
            <v>BRUNO CARNEIRO DA CUNHA DINIZ</v>
          </cell>
          <cell r="D1601" t="str">
            <v>COORD ATENDIMENTO</v>
          </cell>
        </row>
        <row r="1602">
          <cell r="B1602" t="str">
            <v>VANESSA GIESEL DA SILVA</v>
          </cell>
          <cell r="D1602" t="str">
            <v>ANL ADMINISTRATIVO JR</v>
          </cell>
        </row>
        <row r="1603">
          <cell r="B1603" t="str">
            <v>MONICA GOMES DA SILVA BISPO</v>
          </cell>
          <cell r="D1603" t="str">
            <v>AST ATENDIMENTO</v>
          </cell>
        </row>
        <row r="1604">
          <cell r="B1604" t="str">
            <v>FELIPE AUGUSTO LEITE SANTOS</v>
          </cell>
          <cell r="D1604" t="str">
            <v>ANL ATENDIMENTO PL</v>
          </cell>
        </row>
        <row r="1605">
          <cell r="B1605" t="str">
            <v>DANIELLA APARECIDA RODRIGUES SIQUEIRA</v>
          </cell>
          <cell r="D1605" t="str">
            <v>COORD EDUCACAO CONTINUADA</v>
          </cell>
        </row>
        <row r="1606">
          <cell r="B1606" t="str">
            <v>ADELIR ANDRE PEREIRA DIAS</v>
          </cell>
          <cell r="D1606" t="str">
            <v>JARDINEIRO</v>
          </cell>
        </row>
        <row r="1607">
          <cell r="B1607" t="str">
            <v>JULIE JUNGLES</v>
          </cell>
          <cell r="D1607" t="str">
            <v>ANL SUPORTE TI SR</v>
          </cell>
        </row>
        <row r="1608">
          <cell r="B1608" t="str">
            <v>GUILHERME SIQUEIRA VIEIRA</v>
          </cell>
          <cell r="D1608" t="str">
            <v>PROFESSOR AUXILIAR</v>
          </cell>
        </row>
        <row r="1609">
          <cell r="B1609" t="str">
            <v>MARINA EMANUELLI BELO</v>
          </cell>
          <cell r="D1609" t="str">
            <v>PROFESSOR TUTOR ONLINE I</v>
          </cell>
        </row>
        <row r="1610">
          <cell r="B1610" t="str">
            <v>ALEX ACHY</v>
          </cell>
          <cell r="D1610" t="str">
            <v>ANL ADMINISTRATIVO JR</v>
          </cell>
        </row>
        <row r="1611">
          <cell r="B1611" t="str">
            <v>KELLEN SMAK</v>
          </cell>
          <cell r="D1611" t="str">
            <v>GTE PLANEJAMENTO ACADEMICO</v>
          </cell>
        </row>
        <row r="1612">
          <cell r="B1612" t="str">
            <v>MARINES DOS SANTOS</v>
          </cell>
          <cell r="D1612" t="str">
            <v>ANL PLANEJAMENTO FINANCEIRO PL</v>
          </cell>
        </row>
        <row r="1613">
          <cell r="B1613" t="str">
            <v>RANGEL RAMIRO RAMOS</v>
          </cell>
          <cell r="D1613" t="str">
            <v>PROFESSOR TUTOR ONLINE I</v>
          </cell>
        </row>
        <row r="1614">
          <cell r="B1614" t="str">
            <v>KAUANA VIEIRA DA ROSA KALACHE</v>
          </cell>
          <cell r="D1614" t="str">
            <v>PROFESSOR AUXILIAR</v>
          </cell>
        </row>
        <row r="1615">
          <cell r="B1615" t="str">
            <v>JESSICA CAROLINE DOS SANTOS</v>
          </cell>
          <cell r="D1615" t="str">
            <v>PROFESSOR AUXILIAR</v>
          </cell>
        </row>
        <row r="1616">
          <cell r="B1616" t="str">
            <v>LUCIANA BANDEIRA MENDEZ RIBEIRO</v>
          </cell>
          <cell r="D1616" t="str">
            <v>PROFESSOR AUXILIAR</v>
          </cell>
        </row>
        <row r="1617">
          <cell r="B1617" t="str">
            <v>GUSTAVO LEITE FRANKLIN</v>
          </cell>
          <cell r="D1617" t="str">
            <v>PROFESSOR AUXILIAR</v>
          </cell>
        </row>
        <row r="1618">
          <cell r="B1618" t="str">
            <v>MATHEUS MURMEL GUIMARAES</v>
          </cell>
          <cell r="D1618" t="str">
            <v>PROFESSOR AUXILIAR</v>
          </cell>
        </row>
        <row r="1619">
          <cell r="B1619" t="str">
            <v>RENATA TORRI SALDANHA COELHO</v>
          </cell>
          <cell r="D1619" t="str">
            <v>PROFESSOR AUXILIAR</v>
          </cell>
        </row>
        <row r="1620">
          <cell r="B1620" t="str">
            <v>ERIC DANILO PAULS SOTELO</v>
          </cell>
          <cell r="D1620" t="str">
            <v>PROFESSOR AUXILIAR</v>
          </cell>
        </row>
        <row r="1621">
          <cell r="B1621" t="str">
            <v>LETICIA FRACARO</v>
          </cell>
          <cell r="D1621" t="str">
            <v>PROFESSOR ASSISTENTE</v>
          </cell>
        </row>
        <row r="1622">
          <cell r="B1622" t="str">
            <v>MILENE LEIVAS VIEIRA</v>
          </cell>
          <cell r="D1622" t="str">
            <v>PROFESSOR AUXILIAR</v>
          </cell>
        </row>
        <row r="1623">
          <cell r="B1623" t="str">
            <v>GRACIELLY TERZIOTTI DE OLIVEIRA</v>
          </cell>
          <cell r="D1623" t="str">
            <v>PROFESSOR ASSISTENTE</v>
          </cell>
        </row>
        <row r="1624">
          <cell r="B1624" t="str">
            <v>CARLOS LUCIANO PSCHEIDT</v>
          </cell>
          <cell r="D1624" t="str">
            <v>GTE FATURAMENTO E COBRANCA</v>
          </cell>
        </row>
        <row r="1625">
          <cell r="B1625" t="str">
            <v>INARA STAUB PROCHNAU</v>
          </cell>
          <cell r="D1625" t="str">
            <v>COORD CURSO</v>
          </cell>
        </row>
        <row r="1626">
          <cell r="B1626" t="str">
            <v>CAROLINE CHAVES DE FRANCA</v>
          </cell>
          <cell r="D1626" t="str">
            <v>ANL EDUCACIONAL PL</v>
          </cell>
        </row>
        <row r="1627">
          <cell r="B1627" t="str">
            <v>KAREN MAYUMI NAKAYA</v>
          </cell>
          <cell r="D1627" t="str">
            <v>PROFESSOR ASSISTENTE</v>
          </cell>
        </row>
        <row r="1628">
          <cell r="B1628" t="str">
            <v>HENDRIGO BERNARDI KORNDORFER</v>
          </cell>
          <cell r="D1628" t="str">
            <v>ANL OPERACOES ACADEMICAS PL</v>
          </cell>
        </row>
        <row r="1629">
          <cell r="B1629" t="str">
            <v>DANIELA BOSCARO MARSARO</v>
          </cell>
          <cell r="D1629" t="str">
            <v>ANL CULTURA CELULAR JR</v>
          </cell>
        </row>
        <row r="1630">
          <cell r="B1630" t="str">
            <v>FERNANDO ARRUDA GARDIN</v>
          </cell>
          <cell r="D1630" t="str">
            <v>ANL TECNOLOGIA INFORMACAO JR</v>
          </cell>
        </row>
        <row r="1631">
          <cell r="B1631" t="str">
            <v>MIRIAN CRISTINA RIBEIRO LIMA</v>
          </cell>
          <cell r="D1631" t="str">
            <v>ANL ATENDIMENTO JR</v>
          </cell>
        </row>
        <row r="1632">
          <cell r="B1632" t="str">
            <v>ELIANDRO REIS TAVARES</v>
          </cell>
          <cell r="D1632" t="str">
            <v>PROFESSOR AUXILIAR</v>
          </cell>
        </row>
        <row r="1633">
          <cell r="B1633" t="str">
            <v>CINTIA CRISTINA SARNOVSKI</v>
          </cell>
          <cell r="D1633" t="str">
            <v>PROFESSOR AUXILIAR</v>
          </cell>
        </row>
        <row r="1634">
          <cell r="B1634" t="str">
            <v>JOSE EDUARDO CANDIDO</v>
          </cell>
          <cell r="D1634" t="str">
            <v>TEC LABORATORIO II (C/ AD-INS)</v>
          </cell>
        </row>
        <row r="1635">
          <cell r="B1635" t="str">
            <v>JULIANE SITKO BUDAL MORAIS</v>
          </cell>
          <cell r="D1635" t="str">
            <v>COORD PROJETOS</v>
          </cell>
        </row>
        <row r="1636">
          <cell r="B1636" t="str">
            <v>GUILHERME LUIZ SALDANHA</v>
          </cell>
          <cell r="D1636" t="str">
            <v>ANL INTELIGENCIA MERCADO SR</v>
          </cell>
        </row>
        <row r="1637">
          <cell r="B1637" t="str">
            <v>HELEN CAROLINA PERUSSOLO ALBERTON</v>
          </cell>
          <cell r="D1637" t="str">
            <v>MEDICO PRECEPTOR</v>
          </cell>
        </row>
        <row r="1638">
          <cell r="B1638" t="str">
            <v>JONATHAN GONCALVES DA SILVA</v>
          </cell>
          <cell r="D1638" t="str">
            <v>ANL MARKETING SR</v>
          </cell>
        </row>
        <row r="1639">
          <cell r="B1639" t="str">
            <v>LEOVEGILDA APARECIDA DE CHAVES</v>
          </cell>
          <cell r="D1639" t="str">
            <v>ANL TI JR</v>
          </cell>
        </row>
        <row r="1640">
          <cell r="B1640" t="str">
            <v>PAULA CAMPOS SEABRA</v>
          </cell>
          <cell r="D1640" t="str">
            <v>MEDICO PRECEPTOR</v>
          </cell>
        </row>
        <row r="1641">
          <cell r="B1641" t="str">
            <v>CAETANO DE PAULA GOMES SANDY</v>
          </cell>
          <cell r="D1641" t="str">
            <v>ADVOGADO PL</v>
          </cell>
        </row>
        <row r="1642">
          <cell r="B1642" t="str">
            <v>ARLLAN LUCAS ANDRADE</v>
          </cell>
          <cell r="D1642" t="str">
            <v>WEB DESIGNER PL</v>
          </cell>
        </row>
        <row r="1643">
          <cell r="B1643" t="str">
            <v>CAROLINA EHLER RODRIGUES</v>
          </cell>
          <cell r="D1643" t="str">
            <v>ESP PROJETOS PESQUISA E INOVACAO</v>
          </cell>
        </row>
        <row r="1644">
          <cell r="B1644" t="str">
            <v>SILVANA MARIA DA MAIA</v>
          </cell>
          <cell r="D1644" t="str">
            <v>ANL EVENTOS PL</v>
          </cell>
        </row>
        <row r="1645">
          <cell r="B1645" t="str">
            <v>VINICIUS BORGES SOLA FERNANDES</v>
          </cell>
          <cell r="D1645" t="str">
            <v>ANL PROJETOS PL</v>
          </cell>
        </row>
        <row r="1646">
          <cell r="B1646" t="str">
            <v>ANA PAULA CASEMIRO</v>
          </cell>
          <cell r="D1646" t="str">
            <v>ANL ATENDIMENTO JR</v>
          </cell>
        </row>
        <row r="1647">
          <cell r="B1647" t="str">
            <v>GABRIEL ANTONIEVICZ DE GOUVEIA</v>
          </cell>
          <cell r="D1647" t="str">
            <v>ANL ATENDIMENTO JR</v>
          </cell>
        </row>
        <row r="1648">
          <cell r="B1648" t="str">
            <v>ADRIANA PAULA POSSAMAI</v>
          </cell>
          <cell r="D1648" t="str">
            <v>TEC LABORATORIO II (C/ AD-INS)</v>
          </cell>
        </row>
        <row r="1649">
          <cell r="B1649" t="str">
            <v>SAMANTHA TERRES CORDEIRO</v>
          </cell>
          <cell r="D1649" t="str">
            <v>ANL ATENDIMENTO JR</v>
          </cell>
        </row>
        <row r="1650">
          <cell r="B1650" t="str">
            <v>FABRICIO MUEHLBAUER</v>
          </cell>
          <cell r="D1650" t="str">
            <v>ANL ATENDIMENTO JR</v>
          </cell>
        </row>
        <row r="1651">
          <cell r="B1651" t="str">
            <v>CLEVERSON SOARES DA SILVA</v>
          </cell>
          <cell r="D1651" t="str">
            <v>ANL TECNOLOGIA INFORMACAO SR</v>
          </cell>
        </row>
        <row r="1652">
          <cell r="B1652" t="str">
            <v>PATRICIA RENATA SONEH</v>
          </cell>
          <cell r="D1652" t="str">
            <v>NUTRICIONISTA PL</v>
          </cell>
        </row>
        <row r="1653">
          <cell r="B1653" t="str">
            <v>RODRIGO COUTINHO</v>
          </cell>
          <cell r="D1653" t="str">
            <v>AST ATENDIMENTO</v>
          </cell>
        </row>
        <row r="1654">
          <cell r="B1654" t="str">
            <v>DJEINNY NAOMI CHAVES</v>
          </cell>
          <cell r="D1654" t="str">
            <v>INSTRUTOR</v>
          </cell>
        </row>
        <row r="1655">
          <cell r="B1655" t="str">
            <v>AXELL JOSE POTT FERRANDO</v>
          </cell>
          <cell r="D1655" t="str">
            <v>ANL PROJETOS CULTURA E ESPORTES PL</v>
          </cell>
        </row>
        <row r="1656">
          <cell r="B1656" t="str">
            <v>CLAITON CARNEIRO DOS SANTOS</v>
          </cell>
          <cell r="D1656" t="str">
            <v>COORD FINANCEIRO</v>
          </cell>
        </row>
        <row r="1657">
          <cell r="B1657" t="str">
            <v>SIMONE LOURENCO</v>
          </cell>
          <cell r="D1657" t="str">
            <v>ANL FINANCEIRO PL</v>
          </cell>
        </row>
        <row r="1658">
          <cell r="B1658" t="str">
            <v>ALESSANDRA APARECIDA BORCHARDT</v>
          </cell>
          <cell r="D1658" t="str">
            <v>ANL CONTROLADORIA SR</v>
          </cell>
        </row>
        <row r="1659">
          <cell r="B1659" t="str">
            <v>HELOISE MARQUES FALLEIROS DE PADUA</v>
          </cell>
          <cell r="D1659" t="str">
            <v>ANL CONTROLADORIA SR</v>
          </cell>
        </row>
        <row r="1660">
          <cell r="B1660" t="str">
            <v>VINICIUS GUSTAVO HERNANDES</v>
          </cell>
          <cell r="D1660" t="str">
            <v>ANL GESTAO INFORMACAO PL</v>
          </cell>
        </row>
        <row r="1661">
          <cell r="B1661" t="str">
            <v>VALDETE INOCENCIA FERNANDES DA SILVA</v>
          </cell>
          <cell r="D1661" t="str">
            <v>AST ATENDIMENTO</v>
          </cell>
        </row>
        <row r="1662">
          <cell r="B1662" t="str">
            <v>ALINE SCARPIN DE OLIVEIRA</v>
          </cell>
          <cell r="D1662" t="str">
            <v>GTE INOVACAO E TRANSFORMACAO DIGITA</v>
          </cell>
        </row>
        <row r="1663">
          <cell r="B1663" t="str">
            <v>HEMERSON BOLSI</v>
          </cell>
          <cell r="D1663" t="str">
            <v>COORD POLO EAD</v>
          </cell>
        </row>
        <row r="1664">
          <cell r="B1664" t="str">
            <v>MARILIA MINATEL</v>
          </cell>
          <cell r="D1664" t="str">
            <v>ANL MOBILIDADE INTERNACIONAL SR</v>
          </cell>
        </row>
        <row r="1665">
          <cell r="B1665" t="str">
            <v>FELIPE SANTOS PEREIRA</v>
          </cell>
          <cell r="D1665" t="str">
            <v>COORD TECNOLOGIA INFORMACAO</v>
          </cell>
        </row>
        <row r="1666">
          <cell r="B1666" t="str">
            <v>HELOISA GEANINA LOPES</v>
          </cell>
          <cell r="D1666" t="str">
            <v>ANL ATENDIMENTO JR</v>
          </cell>
        </row>
        <row r="1667">
          <cell r="B1667" t="str">
            <v>FELIPE GABRIEL DE MELLO ELIAS</v>
          </cell>
          <cell r="D1667" t="str">
            <v>PROFESSOR TUTOR ONLINE I</v>
          </cell>
        </row>
        <row r="1668">
          <cell r="B1668" t="str">
            <v>LIZA MACEDO LOPES</v>
          </cell>
          <cell r="D1668" t="str">
            <v>PROFESSOR TUTOR ONLINE I</v>
          </cell>
        </row>
        <row r="1669">
          <cell r="B1669" t="str">
            <v>DIOGO MARANGON PESSOTTO</v>
          </cell>
          <cell r="D1669" t="str">
            <v>GTE IDENTIDADE INSTITUCIONAL</v>
          </cell>
        </row>
        <row r="1670">
          <cell r="B1670" t="str">
            <v>LETICIA BARBOSA RODRIGUES</v>
          </cell>
          <cell r="D1670" t="str">
            <v>AST ATENDIMENTO</v>
          </cell>
        </row>
        <row r="1671">
          <cell r="B1671" t="str">
            <v>MAURICIO ANTONIO FERSTE</v>
          </cell>
          <cell r="D1671" t="str">
            <v>PROFESSOR TUTOR ONLINE I</v>
          </cell>
        </row>
        <row r="1672">
          <cell r="B1672" t="str">
            <v>MARIA FERNANDA LOPES DE FREITAS</v>
          </cell>
          <cell r="D1672" t="str">
            <v>PROFESSOR TUTOR ONLINE I</v>
          </cell>
        </row>
        <row r="1673">
          <cell r="B1673" t="str">
            <v>GABRIELLI MONTEIRO SANTOS</v>
          </cell>
          <cell r="D1673" t="str">
            <v>ANL MARKETING JR</v>
          </cell>
        </row>
        <row r="1674">
          <cell r="B1674" t="str">
            <v>JEAN MARCOS DALL ONDER BEGNINI</v>
          </cell>
          <cell r="D1674" t="str">
            <v>PSICOLOGO SR</v>
          </cell>
        </row>
        <row r="1675">
          <cell r="B1675" t="str">
            <v>NYKOLAS MARKOS BERTULINO INACIO</v>
          </cell>
          <cell r="D1675" t="str">
            <v>ANL FINANCEIRO JR</v>
          </cell>
        </row>
        <row r="1676">
          <cell r="B1676" t="str">
            <v>TALITA QUINSLER VELOSO</v>
          </cell>
          <cell r="D1676" t="str">
            <v>PROFESSOR AUXILIAR</v>
          </cell>
        </row>
        <row r="1677">
          <cell r="B1677" t="str">
            <v>ALEXANDRE HENRIQUE DA ROSA</v>
          </cell>
          <cell r="D1677" t="str">
            <v>AST MONITORAMENTO CFTV</v>
          </cell>
        </row>
        <row r="1678">
          <cell r="B1678" t="str">
            <v>THAINARA GRANERO DE MELO</v>
          </cell>
          <cell r="D1678" t="str">
            <v>PROFESSOR AUXILIAR</v>
          </cell>
        </row>
        <row r="1679">
          <cell r="B1679" t="str">
            <v>ROSILENE FERNANDES</v>
          </cell>
          <cell r="D1679" t="str">
            <v>PROFESSOR AUXILIAR</v>
          </cell>
        </row>
        <row r="1680">
          <cell r="B1680" t="str">
            <v>MARIANA DE MELLO GUSSO ESPINOLA</v>
          </cell>
          <cell r="D1680" t="str">
            <v>PROFESSOR AUXILIAR</v>
          </cell>
        </row>
        <row r="1681">
          <cell r="B1681" t="str">
            <v>WALLISTEN PASSOS GARCIA</v>
          </cell>
          <cell r="D1681" t="str">
            <v>PROFESSOR ASSISTENTE</v>
          </cell>
        </row>
        <row r="1682">
          <cell r="B1682" t="str">
            <v>LUCIANA CASSARINO PEREZ</v>
          </cell>
          <cell r="D1682" t="str">
            <v>PROFESSOR AUXILIAR</v>
          </cell>
        </row>
        <row r="1683">
          <cell r="B1683" t="str">
            <v>THALITA ALVES SEJANES</v>
          </cell>
          <cell r="D1683" t="str">
            <v>PROFESSOR AUXILIAR</v>
          </cell>
        </row>
        <row r="1684">
          <cell r="B1684" t="str">
            <v>CLEBER KIEL OLIVO</v>
          </cell>
          <cell r="D1684" t="str">
            <v>COORD CURSO</v>
          </cell>
        </row>
        <row r="1685">
          <cell r="B1685" t="str">
            <v>CASSIA APARECIDA RODRIGUES</v>
          </cell>
          <cell r="D1685" t="str">
            <v>COORD CURSO</v>
          </cell>
        </row>
        <row r="1686">
          <cell r="B1686" t="str">
            <v>SIMONE DOS REIS BRANDAO DA SILVEIRA</v>
          </cell>
          <cell r="D1686" t="str">
            <v>PROFESSOR ADJUNTO</v>
          </cell>
        </row>
        <row r="1687">
          <cell r="B1687" t="str">
            <v>GUILHERME BRITTES BENITEZ</v>
          </cell>
          <cell r="D1687" t="str">
            <v>PROFESSOR ADJUNTO</v>
          </cell>
        </row>
        <row r="1688">
          <cell r="B1688" t="str">
            <v>MARINA DE LARA</v>
          </cell>
          <cell r="D1688" t="str">
            <v>PROFESSOR AUXILIAR</v>
          </cell>
        </row>
        <row r="1689">
          <cell r="B1689" t="str">
            <v>SANDRO FERREIRA</v>
          </cell>
          <cell r="D1689" t="str">
            <v>PROFESSOR AUXILIAR</v>
          </cell>
        </row>
        <row r="1690">
          <cell r="B1690" t="str">
            <v>CLEVERSON AVELINO FERREIRA</v>
          </cell>
          <cell r="D1690" t="str">
            <v>PROFESSOR AUXILIAR</v>
          </cell>
        </row>
        <row r="1691">
          <cell r="B1691" t="str">
            <v>ANDERSON PETRAUSKAS</v>
          </cell>
          <cell r="D1691" t="str">
            <v>PROFESSOR AUXILIAR</v>
          </cell>
        </row>
        <row r="1692">
          <cell r="B1692" t="str">
            <v>JOSE CRISTIANO BENTO DOS SANTOS</v>
          </cell>
          <cell r="D1692" t="str">
            <v>PROFESSOR AUXILIAR</v>
          </cell>
        </row>
        <row r="1693">
          <cell r="B1693" t="str">
            <v>SAMARAH PERSZEL DE FREITAS</v>
          </cell>
          <cell r="D1693" t="str">
            <v>PROFESSOR AUXILIAR</v>
          </cell>
        </row>
        <row r="1694">
          <cell r="B1694" t="str">
            <v>RENATO CAMASSUTTI BEDORE</v>
          </cell>
          <cell r="D1694" t="str">
            <v>PROFESSOR ASSISTENTE</v>
          </cell>
        </row>
        <row r="1695">
          <cell r="B1695" t="str">
            <v>JAIR HENRIQUE JUNIOR</v>
          </cell>
          <cell r="D1695" t="str">
            <v>PROFESSOR AUXILIAR</v>
          </cell>
        </row>
        <row r="1696">
          <cell r="B1696" t="str">
            <v>EDNA MARIA VISSOCI REICHE</v>
          </cell>
          <cell r="D1696" t="str">
            <v>PROFESSOR AUXILIAR</v>
          </cell>
        </row>
        <row r="1697">
          <cell r="B1697" t="str">
            <v>LUCIANA APARECIDA TAMAIO LEITE DE LIMA</v>
          </cell>
          <cell r="D1697" t="str">
            <v>TEC ENFERMAGEM</v>
          </cell>
        </row>
        <row r="1698">
          <cell r="B1698" t="str">
            <v>NEUSA NOGUEIRA FIALHO</v>
          </cell>
          <cell r="D1698" t="str">
            <v>PROFESSOR TUTOR ONLINE I</v>
          </cell>
        </row>
        <row r="1699">
          <cell r="B1699" t="str">
            <v>KAREN BARROS PARRON FERNANDES</v>
          </cell>
          <cell r="D1699" t="str">
            <v>PROFESSOR AUXILIAR</v>
          </cell>
        </row>
        <row r="1700">
          <cell r="B1700" t="str">
            <v>VINICIUS ADAM MARTINS</v>
          </cell>
          <cell r="D1700" t="str">
            <v>ANL PROJETOS PL</v>
          </cell>
        </row>
        <row r="1701">
          <cell r="B1701" t="str">
            <v>RAISSA CAMPOS D AMICO</v>
          </cell>
          <cell r="D1701" t="str">
            <v>PROFESSOR AUXILIAR</v>
          </cell>
        </row>
        <row r="1702">
          <cell r="B1702" t="str">
            <v>LETICIA DE PIERRI</v>
          </cell>
          <cell r="D1702" t="str">
            <v>PROFESSOR AUXILIAR</v>
          </cell>
        </row>
        <row r="1703">
          <cell r="B1703" t="str">
            <v>ARIANA MOURA GOMES</v>
          </cell>
          <cell r="D1703" t="str">
            <v>PROFESSOR AUXILIAR</v>
          </cell>
        </row>
        <row r="1704">
          <cell r="B1704" t="str">
            <v>DALTON VINICIUS KOZAK</v>
          </cell>
          <cell r="D1704" t="str">
            <v>PROFESSOR AUXILIAR</v>
          </cell>
        </row>
        <row r="1705">
          <cell r="B1705" t="str">
            <v>JULIANO COSTA</v>
          </cell>
          <cell r="D1705" t="str">
            <v>PROFESSOR AUXILIAR</v>
          </cell>
        </row>
        <row r="1706">
          <cell r="B1706" t="str">
            <v>BRUNA DORIS</v>
          </cell>
          <cell r="D1706" t="str">
            <v>MEDICO PRECEPTOR</v>
          </cell>
        </row>
        <row r="1707">
          <cell r="B1707" t="str">
            <v>MILITZA CAROLINE CORDEIRO MACHADO CAMPAGNOLO</v>
          </cell>
          <cell r="D1707" t="str">
            <v>MEDICO PRECEPTOR</v>
          </cell>
        </row>
        <row r="1708">
          <cell r="B1708" t="str">
            <v>PAULO HENRIQUE ZANLORENZI</v>
          </cell>
          <cell r="D1708" t="str">
            <v>TEC LABORATORIO II (C/ AD-INS)</v>
          </cell>
        </row>
        <row r="1709">
          <cell r="B1709" t="str">
            <v>LUCAS LAUTERT DEZORDI</v>
          </cell>
          <cell r="D1709" t="str">
            <v>PROFESSOR AUXILIAR</v>
          </cell>
        </row>
        <row r="1710">
          <cell r="B1710" t="str">
            <v>CAMILO DALLAGNOL</v>
          </cell>
          <cell r="D1710" t="str">
            <v>PROFESSOR AUXILIAR</v>
          </cell>
        </row>
        <row r="1711">
          <cell r="B1711" t="str">
            <v>GUSTAVO GRANDER</v>
          </cell>
          <cell r="D1711" t="str">
            <v>COORD CURSO</v>
          </cell>
        </row>
        <row r="1712">
          <cell r="B1712" t="str">
            <v>SUZANA MARIA AMARAL</v>
          </cell>
          <cell r="D1712" t="str">
            <v>MEDICO PRECEPTOR</v>
          </cell>
        </row>
        <row r="1713">
          <cell r="B1713" t="str">
            <v>GRAZIELLA ESMANHOTTO FACIN CHONG</v>
          </cell>
          <cell r="D1713" t="str">
            <v>MEDICO PRECEPTOR</v>
          </cell>
        </row>
        <row r="1714">
          <cell r="B1714" t="str">
            <v>JOSSIANI AUGUSTA HONORIO DIAS</v>
          </cell>
          <cell r="D1714" t="str">
            <v>PROFESSOR AUXILIAR</v>
          </cell>
        </row>
        <row r="1715">
          <cell r="B1715" t="str">
            <v>LUAN CARLOS ALVES</v>
          </cell>
          <cell r="D1715" t="str">
            <v>MEDICO PRECEPTOR</v>
          </cell>
        </row>
        <row r="1716">
          <cell r="B1716" t="str">
            <v>GILBERTO ALVES DE LIMA JUNIOR</v>
          </cell>
          <cell r="D1716" t="str">
            <v>MEDICO PRECEPTOR</v>
          </cell>
        </row>
        <row r="1717">
          <cell r="B1717" t="str">
            <v>JULIA FELDMANN UHRY</v>
          </cell>
          <cell r="D1717" t="str">
            <v>MEDICO PRECEPTOR</v>
          </cell>
        </row>
        <row r="1718">
          <cell r="B1718" t="str">
            <v>ARTHUR SALOMAO CABRAL</v>
          </cell>
          <cell r="D1718" t="str">
            <v>AST BIBLIOTECA II</v>
          </cell>
        </row>
        <row r="1719">
          <cell r="B1719" t="str">
            <v>JULIANA DE LUNA VASEL</v>
          </cell>
          <cell r="D1719" t="str">
            <v>MEDICO PRECEPTOR</v>
          </cell>
        </row>
        <row r="1720">
          <cell r="B1720" t="str">
            <v>GABRIELA FABRIS DA SILVA</v>
          </cell>
          <cell r="D1720" t="str">
            <v>ATLETA</v>
          </cell>
        </row>
        <row r="1721">
          <cell r="B1721" t="str">
            <v>ALESSANDRA GARCIA GONZALES VAZ</v>
          </cell>
          <cell r="D1721" t="str">
            <v>ENFERMEIRO PRECEPTOR</v>
          </cell>
        </row>
        <row r="1722">
          <cell r="B1722" t="str">
            <v>ALINE VANELI PELIZZONI</v>
          </cell>
          <cell r="D1722" t="str">
            <v>PROFESSOR AUXILIAR</v>
          </cell>
        </row>
        <row r="1723">
          <cell r="B1723" t="str">
            <v>MARCIO RODRIGUES DA FONSECA</v>
          </cell>
          <cell r="D1723" t="str">
            <v>PROFESSOR AUXILIAR</v>
          </cell>
        </row>
        <row r="1724">
          <cell r="B1724" t="str">
            <v>SIMONE LOPES DOS SANTOS</v>
          </cell>
          <cell r="D1724" t="str">
            <v>ESP PLANEJAMENTO</v>
          </cell>
        </row>
        <row r="1725">
          <cell r="B1725" t="str">
            <v>FERNANDA SOBRAL SOARES</v>
          </cell>
          <cell r="D1725" t="str">
            <v>MEDICO PRECEPTOR</v>
          </cell>
        </row>
        <row r="1726">
          <cell r="B1726" t="str">
            <v>IVAN LUIS FRANCISCO</v>
          </cell>
          <cell r="D1726" t="str">
            <v>MEDICO PRECEPTOR</v>
          </cell>
        </row>
        <row r="1727">
          <cell r="B1727" t="str">
            <v>GABRIEL ERNESTO BARBOZA PEREIRA</v>
          </cell>
          <cell r="D1727" t="str">
            <v>ANL TI SR</v>
          </cell>
        </row>
        <row r="1728">
          <cell r="B1728" t="str">
            <v>RAFAEL CARLOS DOS SANTOS</v>
          </cell>
          <cell r="D1728" t="str">
            <v>GTE PROJETOS</v>
          </cell>
        </row>
        <row r="1729">
          <cell r="B1729" t="str">
            <v>JULIO CARLOS DOS SANTOS MOURA</v>
          </cell>
          <cell r="D1729" t="str">
            <v>ANL SUPORTE TI PL</v>
          </cell>
        </row>
        <row r="1730">
          <cell r="B1730" t="str">
            <v>ANDREA ROMAGNA FERNANDES COELHO</v>
          </cell>
          <cell r="D1730" t="str">
            <v>MEDICO PRECEPTOR</v>
          </cell>
        </row>
        <row r="1731">
          <cell r="B1731" t="str">
            <v>MATHEUS HENRIQUE ROSA</v>
          </cell>
          <cell r="D1731" t="str">
            <v>ANL DESENVOLVIMENTO RPA PL</v>
          </cell>
        </row>
        <row r="1732">
          <cell r="B1732" t="str">
            <v>LUCAS SCHAEFER KUHN</v>
          </cell>
          <cell r="D1732" t="str">
            <v>MEDICO PRECEPTOR</v>
          </cell>
        </row>
        <row r="1733">
          <cell r="B1733" t="str">
            <v>PAULINA ALEJANDRA SANTANDER PEREZ</v>
          </cell>
          <cell r="D1733" t="str">
            <v>PROFESSOR AUXILIAR</v>
          </cell>
        </row>
        <row r="1734">
          <cell r="B1734" t="str">
            <v>ELAINE CRISTINA DE SOUZA KURSCHEIDT</v>
          </cell>
          <cell r="D1734" t="str">
            <v>COORD OPERACOES</v>
          </cell>
        </row>
        <row r="1735">
          <cell r="B1735" t="str">
            <v>ANDRE LUIZ DA SILVA PINTO</v>
          </cell>
          <cell r="D1735" t="str">
            <v>AST ATENDIMENTO</v>
          </cell>
        </row>
        <row r="1736">
          <cell r="B1736" t="str">
            <v>VICTOR HUGO SOBRAL DA SILVA</v>
          </cell>
          <cell r="D1736" t="str">
            <v>TEC LABORATORIO II (S/ AD-INS)</v>
          </cell>
        </row>
        <row r="1737">
          <cell r="B1737" t="str">
            <v>GABRIELE GARCIA NEVES DA CUNHA</v>
          </cell>
          <cell r="D1737" t="str">
            <v>ANL GESTAO ACADEMICA JR</v>
          </cell>
        </row>
        <row r="1738">
          <cell r="B1738" t="str">
            <v>CAMILA LEAL VOLTOLINI</v>
          </cell>
          <cell r="D1738" t="str">
            <v>ANL GESTAO ACADEMICA PL</v>
          </cell>
        </row>
        <row r="1739">
          <cell r="B1739" t="str">
            <v>MICHELLE MAYARA REUCHER CAIAFA</v>
          </cell>
          <cell r="D1739" t="str">
            <v>ANL GESTAO ACADEMICA JR</v>
          </cell>
        </row>
        <row r="1740">
          <cell r="B1740" t="str">
            <v>LAYUNY CRISTINA FERREIRA</v>
          </cell>
          <cell r="D1740" t="str">
            <v>COORD COMERCIAL</v>
          </cell>
        </row>
        <row r="1741">
          <cell r="B1741" t="str">
            <v>AKILLA DE OLIVEIRA CAMBUHI</v>
          </cell>
          <cell r="D1741" t="str">
            <v>ANL TECNOLOGIA INFORMACAO PL</v>
          </cell>
        </row>
        <row r="1742">
          <cell r="B1742" t="str">
            <v>EVALDO ALMEIDA DE SOUZA</v>
          </cell>
          <cell r="D1742" t="str">
            <v>AST ATENDIMENTO</v>
          </cell>
        </row>
        <row r="1743">
          <cell r="B1743" t="str">
            <v>FABRICIO YURI PEREIRA</v>
          </cell>
          <cell r="D1743" t="str">
            <v>DESIGNER PL</v>
          </cell>
        </row>
        <row r="1744">
          <cell r="B1744" t="str">
            <v>CELIANE FUSIK</v>
          </cell>
          <cell r="D1744" t="str">
            <v>ANL ADMINISTRATIVO JR</v>
          </cell>
        </row>
        <row r="1745">
          <cell r="B1745" t="str">
            <v>KRISTHINE KATHYM DOS SANTOS DA SILVA</v>
          </cell>
          <cell r="D1745" t="str">
            <v>EDITOR TEXTO JR</v>
          </cell>
        </row>
        <row r="1746">
          <cell r="B1746" t="str">
            <v>MARILIA SILVA MALVEZZI KARWOWSKI</v>
          </cell>
          <cell r="D1746" t="str">
            <v>PROFESSOR AUXILIAR</v>
          </cell>
        </row>
        <row r="1747">
          <cell r="B1747" t="str">
            <v>KEVILYN FERREIRA DE RAMOS</v>
          </cell>
          <cell r="D1747" t="str">
            <v>ANL OPERACOES ACADEMICAS JR</v>
          </cell>
        </row>
        <row r="1748">
          <cell r="B1748" t="str">
            <v>OTAVIO AUGUSTO BARBOSA RUFINO</v>
          </cell>
          <cell r="D1748" t="str">
            <v>ANL OPERACOES ACADEMICAS JR</v>
          </cell>
        </row>
        <row r="1749">
          <cell r="B1749" t="str">
            <v>FELIPE ADAM MARTINS</v>
          </cell>
          <cell r="D1749" t="str">
            <v>TEC LABORATORIO II (S/ AD-INS)</v>
          </cell>
        </row>
        <row r="1750">
          <cell r="B1750" t="str">
            <v>EDSON FELIX</v>
          </cell>
          <cell r="D1750" t="str">
            <v>ANL COMERCIAL JR</v>
          </cell>
        </row>
        <row r="1751">
          <cell r="B1751" t="str">
            <v>PAOLA THALISSA BARTOSKI POLLA</v>
          </cell>
          <cell r="D1751" t="str">
            <v>ANL CONTRATOS SR</v>
          </cell>
        </row>
        <row r="1752">
          <cell r="B1752" t="str">
            <v>SAYONARA SANTOS LENCIN</v>
          </cell>
          <cell r="D1752" t="str">
            <v>ANL RELACIONAMENTO JR</v>
          </cell>
        </row>
        <row r="1753">
          <cell r="B1753" t="str">
            <v>JOAREZ SOARES</v>
          </cell>
          <cell r="D1753" t="str">
            <v>AST ATENDIMENTO</v>
          </cell>
        </row>
        <row r="1754">
          <cell r="B1754" t="str">
            <v>BIANCA GABRIELE RAUPP ROCHA</v>
          </cell>
          <cell r="D1754" t="str">
            <v>ESP MARKETING</v>
          </cell>
        </row>
        <row r="1755">
          <cell r="B1755" t="str">
            <v>AISA ECHILA DE OLIVEIRA GALVAO</v>
          </cell>
          <cell r="D1755" t="str">
            <v>ANL OPERACOES ACADEMICAS JR</v>
          </cell>
        </row>
        <row r="1756">
          <cell r="B1756" t="str">
            <v>RAYNIER ENRIQUE ESTRADA GARRIDO</v>
          </cell>
          <cell r="D1756" t="str">
            <v>TEC LABORATORIO II (S/ AD-INS)</v>
          </cell>
        </row>
        <row r="1757">
          <cell r="B1757" t="str">
            <v>MATEUS PELISSARI DE MACEDO</v>
          </cell>
          <cell r="D1757" t="str">
            <v>COORD FAZENDA EXPERIMENTAL</v>
          </cell>
        </row>
        <row r="1758">
          <cell r="B1758" t="str">
            <v>RAFAELA NASSER VEIGA</v>
          </cell>
          <cell r="D1758" t="str">
            <v>ANL PROJETOS PESQUISAS SR</v>
          </cell>
        </row>
        <row r="1759">
          <cell r="B1759" t="str">
            <v>KELLY LOUISE GONCALVES</v>
          </cell>
          <cell r="D1759" t="str">
            <v>ANL ADMINISTRATIVO JR</v>
          </cell>
        </row>
        <row r="1760">
          <cell r="B1760" t="str">
            <v>GABRIEL VIZENTIM</v>
          </cell>
          <cell r="D1760" t="str">
            <v>ANL ADMINISTRATIVO JR</v>
          </cell>
        </row>
        <row r="1761">
          <cell r="B1761" t="str">
            <v>INGRID FATIMA ZATTONI CANTOS LOPES</v>
          </cell>
          <cell r="D1761" t="str">
            <v>PROFESSOR AUXILIAR</v>
          </cell>
        </row>
        <row r="1762">
          <cell r="B1762" t="str">
            <v>FELIPE SHOGO HIRUMA</v>
          </cell>
          <cell r="D1762" t="str">
            <v>ANL PLANEJAMENTO FINANCEIRO PL</v>
          </cell>
        </row>
        <row r="1763">
          <cell r="B1763" t="str">
            <v>CRISTIANA WIZBICKI DE FARIAS</v>
          </cell>
          <cell r="D1763" t="str">
            <v>ANL CONTRATOS SR</v>
          </cell>
        </row>
        <row r="1764">
          <cell r="B1764" t="str">
            <v>BRUNA CRISTINA BRAINE</v>
          </cell>
          <cell r="D1764" t="str">
            <v>ANL FINANCEIRO SR</v>
          </cell>
        </row>
        <row r="1765">
          <cell r="B1765" t="str">
            <v>PATRICK JOSE ORIAS SMANIOTTO</v>
          </cell>
          <cell r="D1765" t="str">
            <v>ANL RELACIONAMENTO JR</v>
          </cell>
        </row>
        <row r="1766">
          <cell r="B1766" t="str">
            <v>MAURILIO MATOS DA SILVA</v>
          </cell>
          <cell r="D1766" t="str">
            <v>GTE ADMINISTRATIVO FINANCEIRO</v>
          </cell>
        </row>
        <row r="1767">
          <cell r="B1767" t="str">
            <v>AGNES SILVA DE ARAUJO</v>
          </cell>
          <cell r="D1767" t="str">
            <v>PROFESSOR ADJUNTO</v>
          </cell>
        </row>
        <row r="1768">
          <cell r="B1768" t="str">
            <v>CLARISSE LYE LONGHI</v>
          </cell>
          <cell r="D1768" t="str">
            <v>EDITOR TEXTO JR</v>
          </cell>
        </row>
        <row r="1769">
          <cell r="B1769" t="str">
            <v>CAROLINE SCHULTZ MOREIRA</v>
          </cell>
          <cell r="D1769" t="str">
            <v>ANL OPERACOES ACADEMICAS PL</v>
          </cell>
        </row>
        <row r="1770">
          <cell r="B1770" t="str">
            <v>GISELE CAMARGO BARBOSA</v>
          </cell>
          <cell r="D1770" t="str">
            <v>ANL OPERACOES ACADEMICAS JR</v>
          </cell>
        </row>
        <row r="1771">
          <cell r="B1771" t="str">
            <v>THAMYS REGINA MASSOQUETO</v>
          </cell>
          <cell r="D1771" t="str">
            <v>AUX LABORATORIO</v>
          </cell>
        </row>
        <row r="1772">
          <cell r="B1772" t="str">
            <v>JORDAN EIKE GERENT</v>
          </cell>
          <cell r="D1772" t="str">
            <v>ANL TECNOLOGIA INFORMACAO JR</v>
          </cell>
        </row>
        <row r="1773">
          <cell r="B1773" t="str">
            <v>MATHEUS ALVES CESARIO</v>
          </cell>
          <cell r="D1773" t="str">
            <v>ANL ATENDIMENTO JR</v>
          </cell>
        </row>
        <row r="1774">
          <cell r="B1774" t="str">
            <v>CRISTIANE DOS SANTOS</v>
          </cell>
          <cell r="D1774" t="str">
            <v>ANL INTELIGENCIA DADOS SR</v>
          </cell>
        </row>
        <row r="1775">
          <cell r="B1775" t="str">
            <v>LUCIANA HELENA KOWALSKI</v>
          </cell>
          <cell r="D1775" t="str">
            <v>ANL PROJETOS PESQUISAS SR</v>
          </cell>
        </row>
        <row r="1776">
          <cell r="B1776" t="str">
            <v>FELIPE BATISTA DOS ANJOS</v>
          </cell>
          <cell r="D1776" t="str">
            <v>TEC LABORATORIO II (S/ AD-INS)</v>
          </cell>
        </row>
        <row r="1777">
          <cell r="B1777" t="str">
            <v>ROSANA APARECIDA DE ANDRADE</v>
          </cell>
          <cell r="D1777" t="str">
            <v>ANL OPERACOES ACADEMICAS JR</v>
          </cell>
        </row>
        <row r="1778">
          <cell r="B1778" t="str">
            <v>ADEL MASSABKI JUNIOR</v>
          </cell>
          <cell r="D1778" t="str">
            <v>MEDICO PRECEPTOR</v>
          </cell>
        </row>
        <row r="1779">
          <cell r="B1779" t="str">
            <v>THAYNA GUIMARAES</v>
          </cell>
          <cell r="D1779" t="str">
            <v>AST ATENDIMENTO</v>
          </cell>
        </row>
        <row r="1780">
          <cell r="B1780" t="str">
            <v>EMANUELE VAZ PADILHA</v>
          </cell>
          <cell r="D1780" t="str">
            <v>AST ATENDIMENTO</v>
          </cell>
        </row>
        <row r="1781">
          <cell r="B1781" t="str">
            <v>RONALDO DOS SANTOS RAMOS</v>
          </cell>
          <cell r="D1781" t="str">
            <v>AST BIBLIOTECA II</v>
          </cell>
        </row>
        <row r="1782">
          <cell r="B1782" t="str">
            <v>MARINA ROSSA CECCATTO</v>
          </cell>
          <cell r="D1782" t="str">
            <v>ANL OPERACOES ACADEMICAS PL</v>
          </cell>
        </row>
        <row r="1783">
          <cell r="B1783" t="str">
            <v>MARCELO DANIEL DE ALMEIDA JESUS</v>
          </cell>
          <cell r="D1783" t="str">
            <v>COORD TECNOLOGIA INFORMACAO</v>
          </cell>
        </row>
        <row r="1784">
          <cell r="B1784" t="str">
            <v>MARTA BEATRISSE GRIGOLETTI CHEMIN</v>
          </cell>
          <cell r="D1784" t="str">
            <v>AST ATENDIMENTO</v>
          </cell>
        </row>
        <row r="1785">
          <cell r="B1785" t="str">
            <v>INGRID ISOPPO DA SILVA</v>
          </cell>
          <cell r="D1785" t="str">
            <v>ANL RISCOS E COMPLIANCE JR</v>
          </cell>
        </row>
        <row r="1786">
          <cell r="B1786" t="str">
            <v>ADRIANE LAVALLE</v>
          </cell>
          <cell r="D1786" t="str">
            <v>COORD ATENDIMENTO</v>
          </cell>
        </row>
        <row r="1787">
          <cell r="B1787" t="str">
            <v>MARCOS ALEXANDRE ARAUJO SIQUEIRA</v>
          </cell>
          <cell r="D1787" t="str">
            <v>ESP PROJETOS</v>
          </cell>
        </row>
        <row r="1788">
          <cell r="B1788" t="str">
            <v>RAFAEL MENDONCA DA ROCHA OLIVEIRA</v>
          </cell>
          <cell r="D1788" t="str">
            <v>ANL PROJETOS PESQUISAS SR</v>
          </cell>
        </row>
        <row r="1789">
          <cell r="B1789" t="str">
            <v>RAFAEL DA MATTA HASSELMANN</v>
          </cell>
          <cell r="D1789" t="str">
            <v>DESIGNER PL</v>
          </cell>
        </row>
        <row r="1790">
          <cell r="B1790" t="str">
            <v>MILLENA FARIAS DA FONSECA</v>
          </cell>
          <cell r="D1790" t="str">
            <v>ANL FATURAMENTO PL</v>
          </cell>
        </row>
        <row r="1791">
          <cell r="B1791" t="str">
            <v>ALAN RAFAEL DE MEDEIROS</v>
          </cell>
          <cell r="D1791" t="str">
            <v>PROFESSOR AUXILIAR</v>
          </cell>
        </row>
        <row r="1792">
          <cell r="B1792" t="str">
            <v>ANDRE CARLOS DOS SANTOS</v>
          </cell>
          <cell r="D1792" t="str">
            <v>CONSULTOR NEGOCIOS</v>
          </cell>
        </row>
        <row r="1793">
          <cell r="B1793" t="str">
            <v>ANTONIO DAVID VINISKI</v>
          </cell>
          <cell r="D1793" t="str">
            <v>COORD PROJETOS</v>
          </cell>
        </row>
        <row r="1794">
          <cell r="B1794" t="str">
            <v>INGRIDHE DE MORAIS MAGALHAES</v>
          </cell>
          <cell r="D1794" t="str">
            <v>PROFESSOR AUXILIAR</v>
          </cell>
        </row>
        <row r="1795">
          <cell r="B1795" t="str">
            <v>JESSICA DE GANG</v>
          </cell>
          <cell r="D1795" t="str">
            <v>PROFESSOR AUXILIAR</v>
          </cell>
        </row>
        <row r="1796">
          <cell r="B1796" t="str">
            <v>CAINA ALVES</v>
          </cell>
          <cell r="D1796" t="str">
            <v>PROFESSOR AUXILIAR</v>
          </cell>
        </row>
        <row r="1797">
          <cell r="B1797" t="str">
            <v>LUANA KAVA</v>
          </cell>
          <cell r="D1797" t="str">
            <v>COORD CURSO</v>
          </cell>
        </row>
        <row r="1798">
          <cell r="B1798" t="str">
            <v>JHONATAN DIOGENES DE OLIVEIRA ALVES</v>
          </cell>
          <cell r="D1798" t="str">
            <v>PROFESSOR TUTOR ONLINE I</v>
          </cell>
        </row>
        <row r="1799">
          <cell r="B1799" t="str">
            <v>LUIZ FELIPE DE OLIVEIRA PEREIRA</v>
          </cell>
          <cell r="D1799" t="str">
            <v>PROFESSOR AUXILIAR</v>
          </cell>
        </row>
        <row r="1800">
          <cell r="B1800" t="str">
            <v>BRENDA GISELLE SANCHEZ LEYTON</v>
          </cell>
          <cell r="D1800" t="str">
            <v>PROFESSOR AUXILIAR</v>
          </cell>
        </row>
        <row r="1801">
          <cell r="B1801" t="str">
            <v>JENIFER PAVAN DE PAULA</v>
          </cell>
          <cell r="D1801" t="str">
            <v>PROFESSOR ASSISTENTE</v>
          </cell>
        </row>
        <row r="1802">
          <cell r="B1802" t="str">
            <v>JANAINA CRISTINA LINHARES</v>
          </cell>
          <cell r="D1802" t="str">
            <v>AST EXECUTIVA I</v>
          </cell>
        </row>
        <row r="1803">
          <cell r="B1803" t="str">
            <v>ANDREA TUCHTENHAGEN WENDT</v>
          </cell>
          <cell r="D1803" t="str">
            <v>PROFESSOR ADJUNTO</v>
          </cell>
        </row>
        <row r="1804">
          <cell r="B1804" t="str">
            <v>BRUNA MARTINS DZIVIELEVSKI DA CAMARA</v>
          </cell>
          <cell r="D1804" t="str">
            <v>PROFESSOR AUXILIAR</v>
          </cell>
        </row>
        <row r="1805">
          <cell r="B1805" t="str">
            <v>ALINE BAMPI</v>
          </cell>
          <cell r="D1805" t="str">
            <v>PROFESSOR AUXILIAR</v>
          </cell>
        </row>
        <row r="1806">
          <cell r="B1806" t="str">
            <v>CHARLES EMMANUEL PARCHEN</v>
          </cell>
          <cell r="D1806" t="str">
            <v>PROFESSOR AUXILIAR</v>
          </cell>
        </row>
        <row r="1807">
          <cell r="B1807" t="str">
            <v>LEONARDO MURILO NEPOMUCENO</v>
          </cell>
          <cell r="D1807" t="str">
            <v>PROFESSOR AUXILIAR</v>
          </cell>
        </row>
        <row r="1808">
          <cell r="B1808" t="str">
            <v>HELIO EMMENDOERFER JUNIOR</v>
          </cell>
          <cell r="D1808" t="str">
            <v>PROFESSOR ADJUNTO</v>
          </cell>
        </row>
        <row r="1809">
          <cell r="B1809" t="str">
            <v>GELSON LUIZ CARNEIRO</v>
          </cell>
          <cell r="D1809" t="str">
            <v>PROFESSOR AUXILIAR</v>
          </cell>
        </row>
        <row r="1810">
          <cell r="B1810" t="str">
            <v>HELISON BERTOLI ALVES DIAS</v>
          </cell>
          <cell r="D1810" t="str">
            <v>PROFESSOR ASSISTENTE</v>
          </cell>
        </row>
        <row r="1811">
          <cell r="B1811" t="str">
            <v>GIULIO DOMENICO BORDIN</v>
          </cell>
          <cell r="D1811" t="str">
            <v>PROFESSOR AUXILIAR</v>
          </cell>
        </row>
        <row r="1812">
          <cell r="B1812" t="str">
            <v>NOELI APARECIDA DE OLIVEIRA SOUZA</v>
          </cell>
          <cell r="D1812" t="str">
            <v>ANL ADMINISTRATIVO JR</v>
          </cell>
        </row>
        <row r="1813">
          <cell r="B1813" t="str">
            <v>THIAGO ALECSANDER GUIDELI</v>
          </cell>
          <cell r="D1813" t="str">
            <v>ANL ADMINISTRATIVO PL</v>
          </cell>
        </row>
        <row r="1814">
          <cell r="B1814" t="str">
            <v>GLORIA MASAKO TAKEMOTO BUDEL</v>
          </cell>
          <cell r="D1814" t="str">
            <v>PROFESSOR LINGUA ESTRANGEIRA</v>
          </cell>
        </row>
        <row r="1815">
          <cell r="B1815" t="str">
            <v>MAIRA OLIVEIRA RUGGI</v>
          </cell>
          <cell r="D1815" t="str">
            <v>ANL PROJETOS PESQUISAS SR</v>
          </cell>
        </row>
        <row r="1816">
          <cell r="B1816" t="str">
            <v>DANIELI RIBEIRO DE CASTRO</v>
          </cell>
          <cell r="D1816" t="str">
            <v>ANL FATURAMENTO JR</v>
          </cell>
        </row>
        <row r="1817">
          <cell r="B1817" t="str">
            <v>DANIELE RAUEN</v>
          </cell>
          <cell r="D1817" t="str">
            <v>ANL REGISTRO ACADEMICO PL</v>
          </cell>
        </row>
        <row r="1818">
          <cell r="B1818" t="str">
            <v>FERNANDA GIMENEZ DE SOUZA</v>
          </cell>
          <cell r="D1818" t="str">
            <v>ANL LABORATORIO JR</v>
          </cell>
        </row>
        <row r="1819">
          <cell r="B1819" t="str">
            <v>LARA SILVEIRA DE SOUZA DA COSTA PADILHA</v>
          </cell>
          <cell r="D1819" t="str">
            <v>MEDICO PRECEPTOR</v>
          </cell>
        </row>
        <row r="1820">
          <cell r="B1820" t="str">
            <v>BRYAN LUIZ PONTAROLA</v>
          </cell>
          <cell r="D1820" t="str">
            <v>ANL FINANCEIRO SR</v>
          </cell>
        </row>
        <row r="1821">
          <cell r="B1821" t="str">
            <v>KARINE ROMAN CAVALHEIRO MATTEI</v>
          </cell>
          <cell r="D1821" t="str">
            <v>COORD GESTAO ACADEMICA</v>
          </cell>
        </row>
        <row r="1822">
          <cell r="B1822" t="str">
            <v>GRACIELA PEROBA BATISTA NEVES DA SILVA</v>
          </cell>
          <cell r="D1822" t="str">
            <v>ESP GOVERNANCA AGIL</v>
          </cell>
        </row>
        <row r="1823">
          <cell r="B1823" t="str">
            <v>GUILHERME AUGUSTO SOUZA DE OLIVEIRA</v>
          </cell>
          <cell r="D1823" t="str">
            <v>AST BIBLIOTECA II</v>
          </cell>
        </row>
        <row r="1824">
          <cell r="B1824" t="str">
            <v>DANIEL SANT ANNA</v>
          </cell>
          <cell r="D1824" t="str">
            <v>COORD NEGOCIOS</v>
          </cell>
        </row>
        <row r="1825">
          <cell r="B1825" t="str">
            <v>RICARDO OFSIANY</v>
          </cell>
          <cell r="D1825" t="str">
            <v>AST ATENDIMENTO</v>
          </cell>
        </row>
        <row r="1826">
          <cell r="B1826" t="str">
            <v>FERNANDA RAEDER DE LIZ</v>
          </cell>
          <cell r="D1826" t="str">
            <v>COORD ADMINISTRATIVO</v>
          </cell>
        </row>
        <row r="1827">
          <cell r="B1827" t="str">
            <v>FABIOLA CALDEIRA DE MEDEIROS ROCHA</v>
          </cell>
          <cell r="D1827" t="str">
            <v>ESP PLANEJAMENTO ESTRATEGICO</v>
          </cell>
        </row>
        <row r="1828">
          <cell r="B1828" t="str">
            <v>EDUARDO ALBANO DA SILVA</v>
          </cell>
          <cell r="D1828" t="str">
            <v>TEC AUDIO VISUAL II</v>
          </cell>
        </row>
        <row r="1829">
          <cell r="B1829" t="str">
            <v>JULIERME LOPES MELLINGER</v>
          </cell>
          <cell r="D1829" t="str">
            <v>MEDICO PRECEPTOR</v>
          </cell>
        </row>
        <row r="1830">
          <cell r="B1830" t="str">
            <v>ALINE SARAH FREITAS DE ANDRADE</v>
          </cell>
          <cell r="D1830" t="str">
            <v>ANL TRANSFORMACAO PROCESSOS SR</v>
          </cell>
        </row>
        <row r="1831">
          <cell r="B1831" t="str">
            <v>ARIANE PFAFFENZELLER</v>
          </cell>
          <cell r="D1831" t="str">
            <v>ANL CONVENIOS SR</v>
          </cell>
        </row>
        <row r="1832">
          <cell r="B1832" t="str">
            <v>JESSICA DE MORAIS SEIXAS</v>
          </cell>
          <cell r="D1832" t="str">
            <v>EDITOR TEXTO JR</v>
          </cell>
        </row>
        <row r="1833">
          <cell r="B1833" t="str">
            <v>FELIPE DANILOW MENDES</v>
          </cell>
          <cell r="D1833" t="str">
            <v>ANL ATENDIMENTO JR</v>
          </cell>
        </row>
        <row r="1834">
          <cell r="B1834" t="str">
            <v>DALTON DIONATAN IATHISKOSKI</v>
          </cell>
          <cell r="D1834" t="str">
            <v>PROFESSOR LINGUA ESTRANGEIRA</v>
          </cell>
        </row>
        <row r="1835">
          <cell r="B1835" t="str">
            <v>GLORIA FARIAS LOPES</v>
          </cell>
          <cell r="D1835" t="str">
            <v>ANL MARKETING PL</v>
          </cell>
        </row>
        <row r="1836">
          <cell r="B1836" t="str">
            <v>JOSIANE REGINA KRUPINISKI</v>
          </cell>
          <cell r="D1836" t="str">
            <v>PROFESSOR AUXILIAR</v>
          </cell>
        </row>
        <row r="1837">
          <cell r="B1837" t="str">
            <v>FABIO LUCAS MACEDO LIMEIRA</v>
          </cell>
          <cell r="D1837" t="str">
            <v>AST ATENDIMENTO</v>
          </cell>
        </row>
        <row r="1838">
          <cell r="B1838" t="str">
            <v>VERA LUCIA SANTOS</v>
          </cell>
          <cell r="D1838" t="str">
            <v>OPERADOR TELEATENDIMENTO</v>
          </cell>
        </row>
        <row r="1839">
          <cell r="B1839" t="str">
            <v>PATRICIA GOVASKI</v>
          </cell>
          <cell r="D1839" t="str">
            <v>ANL ATENDIMENTO JR</v>
          </cell>
        </row>
        <row r="1840">
          <cell r="B1840" t="str">
            <v>CAROLINE DE OLIVEIRA CALVIS</v>
          </cell>
          <cell r="D1840" t="str">
            <v>ANL ADMINISTRATIVO PL</v>
          </cell>
        </row>
        <row r="1841">
          <cell r="B1841" t="str">
            <v>DIEGO BARRETO PEDROSO SIMOES</v>
          </cell>
          <cell r="D1841" t="str">
            <v>TEC LABORATORIO II (S/ AD-INS)</v>
          </cell>
        </row>
        <row r="1842">
          <cell r="B1842" t="str">
            <v>FERNANDO DIAS FERREIRA</v>
          </cell>
          <cell r="D1842" t="str">
            <v>ANL TRANSFORMACAO PROCESSOS SR</v>
          </cell>
        </row>
        <row r="1843">
          <cell r="B1843" t="str">
            <v>FABIANA MEDEIROS DA SILVA</v>
          </cell>
          <cell r="D1843" t="str">
            <v>ANL MARKETING SR</v>
          </cell>
        </row>
        <row r="1844">
          <cell r="B1844" t="str">
            <v>ATAUANA KAROLINE BONETTI</v>
          </cell>
          <cell r="D1844" t="str">
            <v>AST ATENDIMENTO</v>
          </cell>
        </row>
        <row r="1845">
          <cell r="B1845" t="str">
            <v>PEDRO HENRIQUE RIBEIRO PICHORZ</v>
          </cell>
          <cell r="D1845" t="str">
            <v>GTE INTELIGENCIA NEGOCIOS</v>
          </cell>
        </row>
        <row r="1846">
          <cell r="B1846" t="str">
            <v>KEITI GASPAR HYPOLITO</v>
          </cell>
          <cell r="D1846" t="str">
            <v>ANL MARKETING PL</v>
          </cell>
        </row>
        <row r="1847">
          <cell r="B1847" t="str">
            <v>DAIANE DAMAZIO DOS SANTOS COLATINO</v>
          </cell>
          <cell r="D1847" t="str">
            <v>ANL FATURAMENTO PL</v>
          </cell>
        </row>
        <row r="1848">
          <cell r="B1848" t="str">
            <v>CINTIA DE OLIVEIRA CORDEIRO</v>
          </cell>
          <cell r="D1848" t="str">
            <v>ANL ADMINISTRATIVO JR</v>
          </cell>
        </row>
        <row r="1849">
          <cell r="B1849" t="str">
            <v>HICARO FELIPE DOS SANTOS DA LUZ</v>
          </cell>
          <cell r="D1849" t="str">
            <v>ANL OPERACOES ACADEMICAS PL</v>
          </cell>
        </row>
        <row r="1850">
          <cell r="B1850" t="str">
            <v>DANIELA PAZINI DOS SANTOS</v>
          </cell>
          <cell r="D1850" t="str">
            <v>ANL CONTRATOS JR</v>
          </cell>
        </row>
        <row r="1851">
          <cell r="B1851" t="str">
            <v>HOYLTON JUNIOR SCHELEIDER DOS SANTOS</v>
          </cell>
          <cell r="D1851" t="str">
            <v>ANL RELACIONAMENTO JR</v>
          </cell>
        </row>
        <row r="1852">
          <cell r="B1852" t="str">
            <v>CARLA ALVES E SILVA</v>
          </cell>
          <cell r="D1852" t="str">
            <v>ANL ADM MARKETING JR</v>
          </cell>
        </row>
        <row r="1853">
          <cell r="B1853" t="str">
            <v>FERNANDA CAPEL MARTINS</v>
          </cell>
          <cell r="D1853" t="str">
            <v>ANL MARKETING JR</v>
          </cell>
        </row>
        <row r="1854">
          <cell r="B1854" t="str">
            <v>ENOS MACIEL GOMES DE LIMA</v>
          </cell>
          <cell r="D1854" t="str">
            <v>JARDINEIRO</v>
          </cell>
        </row>
        <row r="1855">
          <cell r="B1855" t="str">
            <v>PATRICIA FERNANDA MENDONCA</v>
          </cell>
          <cell r="D1855" t="str">
            <v>TEC LABORATORIO I (S/ AD-INS)</v>
          </cell>
        </row>
        <row r="1856">
          <cell r="B1856" t="str">
            <v>REMOM MATHEUS BORTOLOZZI</v>
          </cell>
          <cell r="D1856" t="str">
            <v>PROFESSOR AUXILIAR</v>
          </cell>
        </row>
        <row r="1857">
          <cell r="B1857" t="str">
            <v>FLAVIO FREIRE CARVALHO</v>
          </cell>
          <cell r="D1857" t="str">
            <v>PROFESSOR AUXILIAR</v>
          </cell>
        </row>
        <row r="1858">
          <cell r="B1858" t="str">
            <v>LUIS GONZAGA DE PAULO</v>
          </cell>
          <cell r="D1858" t="str">
            <v>PROFESSOR AUXILIAR</v>
          </cell>
        </row>
        <row r="1859">
          <cell r="B1859" t="str">
            <v>FELIPE VIANA CORNEL</v>
          </cell>
          <cell r="D1859" t="str">
            <v>MEDICO PRECEPTOR</v>
          </cell>
        </row>
        <row r="1860">
          <cell r="B1860" t="str">
            <v>ANDRE TAVARES SOMMA</v>
          </cell>
          <cell r="D1860" t="str">
            <v>PROFESSOR AUXILIAR</v>
          </cell>
        </row>
        <row r="1861">
          <cell r="B1861" t="str">
            <v>ANDREZA DE SOUSA VIEIRA</v>
          </cell>
          <cell r="D1861" t="str">
            <v>COORD CURSO</v>
          </cell>
        </row>
        <row r="1862">
          <cell r="B1862" t="str">
            <v>CHRISTIAN SILVA DOS REIS</v>
          </cell>
          <cell r="D1862" t="str">
            <v>PROFESSOR AUXILIAR</v>
          </cell>
        </row>
        <row r="1863">
          <cell r="B1863" t="str">
            <v>CAROLINA ROSSETTI SEVERO</v>
          </cell>
          <cell r="D1863" t="str">
            <v>PROFESSOR AUXILIAR</v>
          </cell>
        </row>
        <row r="1864">
          <cell r="B1864" t="str">
            <v>MARCO ANTONIO SIMOES TEIXEIRA</v>
          </cell>
          <cell r="D1864" t="str">
            <v>PROFESSOR ADJUNTO</v>
          </cell>
        </row>
        <row r="1865">
          <cell r="B1865" t="str">
            <v>PHILIPE QUAGLIATO BELLINATI</v>
          </cell>
          <cell r="D1865" t="str">
            <v>PROFESSOR AUXILIAR</v>
          </cell>
        </row>
        <row r="1866">
          <cell r="B1866" t="str">
            <v>LEVINO BERTOCHI JUNIOR</v>
          </cell>
          <cell r="D1866" t="str">
            <v>PROFESSOR AUXILIAR</v>
          </cell>
        </row>
        <row r="1867">
          <cell r="B1867" t="str">
            <v>VANIR APARECIDA TROMBETTA</v>
          </cell>
          <cell r="D1867" t="str">
            <v>PROFESSOR AUXILIAR</v>
          </cell>
        </row>
        <row r="1868">
          <cell r="B1868" t="str">
            <v>RAFAEL WIND DOS SANTOS</v>
          </cell>
          <cell r="D1868" t="str">
            <v>MEDICO PRECEPTOR</v>
          </cell>
        </row>
        <row r="1869">
          <cell r="B1869" t="str">
            <v>LARISSA RODRIGUES PENHA LUIZ</v>
          </cell>
          <cell r="D1869" t="str">
            <v>MEDICO PRECEPTOR</v>
          </cell>
        </row>
        <row r="1870">
          <cell r="B1870" t="str">
            <v>GUSTAVO DAVID DOS SANTOS</v>
          </cell>
          <cell r="D1870" t="str">
            <v>PROFESSOR AUXILIAR</v>
          </cell>
        </row>
        <row r="1871">
          <cell r="B1871" t="str">
            <v>ANDERSON NITSCHE</v>
          </cell>
          <cell r="D1871" t="str">
            <v>PROFESSOR AUXILIAR</v>
          </cell>
        </row>
        <row r="1872">
          <cell r="B1872" t="str">
            <v>HENRIQUE ROCHA</v>
          </cell>
          <cell r="D1872" t="str">
            <v>AST ATENDIMENTO</v>
          </cell>
        </row>
        <row r="1873">
          <cell r="B1873" t="str">
            <v>DENNER PEREIRA DA SILVA</v>
          </cell>
          <cell r="D1873" t="str">
            <v>COORD CURSO</v>
          </cell>
        </row>
        <row r="1874">
          <cell r="B1874" t="str">
            <v>DANIEL EMILIO DALLEDONE SIQUEIRA</v>
          </cell>
          <cell r="D1874" t="str">
            <v>PROFESSOR AUXILIAR</v>
          </cell>
        </row>
        <row r="1875">
          <cell r="B1875" t="str">
            <v>BRUNA CRISTINA DE OLIVEIRA RENZI</v>
          </cell>
          <cell r="D1875" t="str">
            <v>ANL COMERCIAL JR</v>
          </cell>
        </row>
        <row r="1876">
          <cell r="B1876" t="str">
            <v>PEDRO ROCHA HORCHULHACK</v>
          </cell>
          <cell r="D1876" t="str">
            <v>COORD CURSO</v>
          </cell>
        </row>
        <row r="1877">
          <cell r="B1877" t="str">
            <v>ANDREY CABRAL MEIRA</v>
          </cell>
          <cell r="D1877" t="str">
            <v>PROFESSOR AUXILIAR</v>
          </cell>
        </row>
        <row r="1878">
          <cell r="B1878" t="str">
            <v>RICARDO CESAR LOPES</v>
          </cell>
          <cell r="D1878" t="str">
            <v>DIR UNIDADE NEGOCIO</v>
          </cell>
        </row>
        <row r="1879">
          <cell r="B1879" t="str">
            <v>SANTINA DE FATIMA DE OLIVEIRA MENDES</v>
          </cell>
          <cell r="D1879" t="str">
            <v>OPERADOR TELEATENDIMENTO</v>
          </cell>
        </row>
        <row r="1880">
          <cell r="B1880" t="str">
            <v>FILIPE CARVALHO VIEIRA</v>
          </cell>
          <cell r="D1880" t="str">
            <v>PROFESSOR TUTOR ONLINE I</v>
          </cell>
        </row>
        <row r="1881">
          <cell r="B1881" t="str">
            <v>WEBER HENRIQUE RADAEL</v>
          </cell>
          <cell r="D1881" t="str">
            <v>PROFESSOR TUTOR ONLINE I</v>
          </cell>
        </row>
        <row r="1882">
          <cell r="B1882" t="str">
            <v>GUILHERME BARRETO GAMEIRO SILVA</v>
          </cell>
          <cell r="D1882" t="str">
            <v>PROFESSOR AUXILIAR</v>
          </cell>
        </row>
        <row r="1883">
          <cell r="B1883" t="str">
            <v>FLAVIANA CASELLA GALLI</v>
          </cell>
          <cell r="D1883" t="str">
            <v>ANL COMERCIAL SR</v>
          </cell>
        </row>
        <row r="1884">
          <cell r="B1884" t="str">
            <v>SOLANGE VIARO PADILHA</v>
          </cell>
          <cell r="D1884" t="str">
            <v>PROFESSOR AUXILIAR</v>
          </cell>
        </row>
        <row r="1885">
          <cell r="B1885" t="str">
            <v>ALISON LUIS LANDO</v>
          </cell>
          <cell r="D1885" t="str">
            <v>PROFESSOR AUXILIAR</v>
          </cell>
        </row>
        <row r="1886">
          <cell r="B1886" t="str">
            <v>GABRIELA GUIMARAES VIEIRA</v>
          </cell>
          <cell r="D1886" t="str">
            <v>MEDICO PRECEPTOR</v>
          </cell>
        </row>
        <row r="1887">
          <cell r="B1887" t="str">
            <v>LEONARDO CRISTIANO LOPES</v>
          </cell>
          <cell r="D1887" t="str">
            <v>ADVOGADO PL</v>
          </cell>
        </row>
        <row r="1888">
          <cell r="B1888" t="str">
            <v>ISADORA SABRINA GUIMARAES DOS SANTOS</v>
          </cell>
          <cell r="D1888" t="str">
            <v>ANL RELACIONAMENTO JR</v>
          </cell>
        </row>
        <row r="1889">
          <cell r="B1889" t="str">
            <v>LILIAN DE FATIMA DOS SANTOS VICENTE</v>
          </cell>
          <cell r="D1889" t="str">
            <v>ANL ADMINISTRATIVO PL</v>
          </cell>
        </row>
        <row r="1890">
          <cell r="B1890" t="str">
            <v>GIOVANNA CERRI LESSA</v>
          </cell>
          <cell r="D1890" t="str">
            <v>MEDICO PRECEPTOR</v>
          </cell>
        </row>
        <row r="1891">
          <cell r="B1891" t="str">
            <v>LESLIE WULHYNEK DA ROSA</v>
          </cell>
          <cell r="D1891" t="str">
            <v>ANL ADMINISTRATIVO JR</v>
          </cell>
        </row>
        <row r="1892">
          <cell r="B1892" t="str">
            <v>WILIAN JEAN WIGGERS</v>
          </cell>
          <cell r="D1892" t="str">
            <v>MEDICO PRECEPTOR</v>
          </cell>
        </row>
        <row r="1893">
          <cell r="B1893" t="str">
            <v>BEATRIZ MARIANO CYRINO</v>
          </cell>
          <cell r="D1893" t="str">
            <v>PROFESSOR LINGUA ESTRANGEIRA</v>
          </cell>
        </row>
        <row r="1894">
          <cell r="B1894" t="str">
            <v>JULIANNA ALVES RABELO</v>
          </cell>
          <cell r="D1894" t="str">
            <v>ANL PROJETOS PESQUISAS PL</v>
          </cell>
        </row>
        <row r="1895">
          <cell r="B1895" t="str">
            <v>JESSICA PEDROSA MANDELLI</v>
          </cell>
          <cell r="D1895" t="str">
            <v>PROFESSOR ASSISTENTE</v>
          </cell>
        </row>
        <row r="1896">
          <cell r="B1896" t="str">
            <v>FRANCIELI TCACZUK GRAEBNER</v>
          </cell>
          <cell r="D1896" t="str">
            <v>ANL CONVENIOS SR</v>
          </cell>
        </row>
        <row r="1897">
          <cell r="B1897" t="str">
            <v>YASMIN WERNECK VANE</v>
          </cell>
          <cell r="D1897" t="str">
            <v>ADVOGADO PL</v>
          </cell>
        </row>
        <row r="1898">
          <cell r="B1898" t="str">
            <v>EMMANUELLE PEREIRA BODNAR</v>
          </cell>
          <cell r="D1898" t="str">
            <v>ANL PROJETOS PL</v>
          </cell>
        </row>
        <row r="1899">
          <cell r="B1899" t="str">
            <v>FELIPE DE SOUZA GUTIERRE</v>
          </cell>
          <cell r="D1899" t="str">
            <v>MEDICO PRECEPTOR</v>
          </cell>
        </row>
        <row r="1900">
          <cell r="B1900" t="str">
            <v>ANDREIA CONTE</v>
          </cell>
          <cell r="D1900" t="str">
            <v>MEDICO PRECEPTOR</v>
          </cell>
        </row>
        <row r="1901">
          <cell r="B1901" t="str">
            <v>ANGELA ALMEIDA MARQUES PERES</v>
          </cell>
          <cell r="D1901" t="str">
            <v>MEDICO PRECEPTOR</v>
          </cell>
        </row>
        <row r="1902">
          <cell r="B1902" t="str">
            <v>MANOEL VALERIO DA SILVEIRA NETO</v>
          </cell>
          <cell r="D1902" t="str">
            <v>PROFESSOR AUXILIAR</v>
          </cell>
        </row>
        <row r="1903">
          <cell r="B1903" t="str">
            <v>MANOELA NEVES GOMES</v>
          </cell>
          <cell r="D1903" t="str">
            <v>ANL PROJETOS CULTURA E ESPORTES JR</v>
          </cell>
        </row>
        <row r="1904">
          <cell r="B1904" t="str">
            <v>DANIELA ALVES BORDIGNON MUNIZ</v>
          </cell>
          <cell r="D1904" t="str">
            <v>ANL ATENDIMENTO JR</v>
          </cell>
        </row>
        <row r="1905">
          <cell r="B1905" t="str">
            <v>LETICIA ALVES DE OLIVEIRA</v>
          </cell>
          <cell r="D1905" t="str">
            <v>ANL OPERACOES ACADEMICAS JR</v>
          </cell>
        </row>
        <row r="1906">
          <cell r="B1906" t="str">
            <v>ROSANGELI DO ROCIO STIVAL NOGAROLI</v>
          </cell>
          <cell r="D1906" t="str">
            <v>ANL OPERACOES ACADEMICAS JR</v>
          </cell>
        </row>
        <row r="1907">
          <cell r="B1907" t="str">
            <v>ALLAN MAGNO VENTURA DO NASCIMENTO</v>
          </cell>
          <cell r="D1907" t="str">
            <v>TEC INFORMATICA II</v>
          </cell>
        </row>
        <row r="1908">
          <cell r="B1908" t="str">
            <v>CHRISTIAN DE SOUZA KRUGER</v>
          </cell>
          <cell r="D1908" t="str">
            <v>TEC INFORMATICA II</v>
          </cell>
        </row>
        <row r="1909">
          <cell r="B1909" t="str">
            <v>FERNANDA MARCONCIN RODRIGUES</v>
          </cell>
          <cell r="D1909" t="str">
            <v>PROFESSOR LINGUA ESTRANGEIRA</v>
          </cell>
        </row>
        <row r="1910">
          <cell r="B1910" t="str">
            <v>ANA PAULA MARTINS DE SOUZA</v>
          </cell>
          <cell r="D1910" t="str">
            <v>ANL SUPORTE ACADEMICO PL</v>
          </cell>
        </row>
        <row r="1911">
          <cell r="B1911" t="str">
            <v>STEFANY GLEICE PONTES LEITAO</v>
          </cell>
          <cell r="D1911" t="str">
            <v>AST ATENDIMENTO</v>
          </cell>
        </row>
        <row r="1912">
          <cell r="B1912" t="str">
            <v>ISAQUE DOS SANTOS NEVES DA CRUZ</v>
          </cell>
          <cell r="D1912" t="str">
            <v>AST ATENDIMENTO</v>
          </cell>
        </row>
        <row r="1913">
          <cell r="B1913" t="str">
            <v>GABRIEL RAFAEL GOMES LEMOS ANTUNES</v>
          </cell>
          <cell r="D1913" t="str">
            <v>ANL COMUNICACAO E MARKETING JR</v>
          </cell>
        </row>
        <row r="1914">
          <cell r="B1914" t="str">
            <v>AMANDA MOTA MARINHO</v>
          </cell>
          <cell r="D1914" t="str">
            <v>ADVOGADO JR</v>
          </cell>
        </row>
        <row r="1915">
          <cell r="B1915" t="str">
            <v>THIAGO DA SILVA DE OLIVEIRA</v>
          </cell>
          <cell r="D1915" t="str">
            <v>ANL RELACIONAMENTO JR</v>
          </cell>
        </row>
        <row r="1916">
          <cell r="B1916" t="str">
            <v>JORDANA CYRILLO MELO</v>
          </cell>
          <cell r="D1916" t="str">
            <v>ANL RELACIONAMENTO PL</v>
          </cell>
        </row>
        <row r="1917">
          <cell r="B1917" t="str">
            <v>ARIANE CRISTINA BATISTA</v>
          </cell>
          <cell r="D1917" t="str">
            <v>AST ATENDIMENTO</v>
          </cell>
        </row>
        <row r="1918">
          <cell r="B1918" t="str">
            <v>VICTORIA SILVA COLMENERO DE OLIVEIRA</v>
          </cell>
          <cell r="D1918" t="str">
            <v>PSICOLOGO JR</v>
          </cell>
        </row>
        <row r="1919">
          <cell r="B1919" t="str">
            <v>ANDRE LIMA DA SILVA</v>
          </cell>
          <cell r="D1919" t="str">
            <v>ANL ADMINISTRATIVO JR</v>
          </cell>
        </row>
        <row r="1920">
          <cell r="B1920" t="str">
            <v>VITORIA OLIVEIRA ANDRADE BASTOS</v>
          </cell>
          <cell r="D1920" t="str">
            <v>AST ADMINISTRATIVO II</v>
          </cell>
        </row>
        <row r="1921">
          <cell r="B1921" t="str">
            <v>ILTON SANTOS DA SILVA</v>
          </cell>
          <cell r="D1921" t="str">
            <v>PROFESSOR AUXILIAR</v>
          </cell>
        </row>
        <row r="1922">
          <cell r="B1922" t="str">
            <v>EVEN EDILCE MOL</v>
          </cell>
          <cell r="D1922" t="str">
            <v>MEDICO PRECEPTOR</v>
          </cell>
        </row>
        <row r="1923">
          <cell r="B1923" t="str">
            <v>LEANDRO JOSE GREBOGI PAMPUCH</v>
          </cell>
          <cell r="D1923" t="str">
            <v>ANL INTELIGENCIA DADOS JR</v>
          </cell>
        </row>
        <row r="1924">
          <cell r="B1924" t="str">
            <v>THALITA PORTO HENEQUIM</v>
          </cell>
          <cell r="D1924" t="str">
            <v>ANL OPERACOES ACADEMICAS JR</v>
          </cell>
        </row>
        <row r="1925">
          <cell r="B1925" t="str">
            <v>FELIPE CORTIZO ELIAS E SILVA</v>
          </cell>
          <cell r="D1925" t="str">
            <v>ANL SISTEMAS PL</v>
          </cell>
        </row>
        <row r="1926">
          <cell r="B1926" t="str">
            <v>ALESSANDRA BRUSTOLIN</v>
          </cell>
          <cell r="D1926" t="str">
            <v>PROFESSOR AUXILIAR</v>
          </cell>
        </row>
        <row r="1927">
          <cell r="B1927" t="str">
            <v>KARINA CARNEIRO DE MELO SILVEIRA</v>
          </cell>
          <cell r="D1927" t="str">
            <v>ANL ATENDIMENTO PL</v>
          </cell>
        </row>
        <row r="1928">
          <cell r="B1928" t="str">
            <v>ALAHNA THEMYS FERREIRA</v>
          </cell>
          <cell r="D1928" t="str">
            <v>ANL PROJETOS COMUNITARIOS JR</v>
          </cell>
        </row>
        <row r="1929">
          <cell r="B1929" t="str">
            <v>RAFAELA CRISTINA ALVES</v>
          </cell>
          <cell r="D1929" t="str">
            <v>OPERADOR TELEATENDIMENTO</v>
          </cell>
        </row>
        <row r="1930">
          <cell r="B1930" t="str">
            <v>JOAO ALFREDO LOPES NYEGRAY</v>
          </cell>
          <cell r="D1930" t="str">
            <v>PROFESSOR AUXILIAR</v>
          </cell>
        </row>
        <row r="1931">
          <cell r="B1931" t="str">
            <v>PATRICIA CARLA ZANELATTO GONCALVES</v>
          </cell>
          <cell r="D1931" t="str">
            <v>PROFESSOR AUXILIAR</v>
          </cell>
        </row>
        <row r="1932">
          <cell r="B1932" t="str">
            <v>RODRIGO LEITE SOUZA ENOQUE</v>
          </cell>
          <cell r="D1932" t="str">
            <v>PROFESSOR AUXILIAR</v>
          </cell>
        </row>
        <row r="1933">
          <cell r="B1933" t="str">
            <v>RICARDO NUNES</v>
          </cell>
          <cell r="D1933" t="str">
            <v>CONSULTOR TECNOLOGIA INFORMACAO</v>
          </cell>
        </row>
        <row r="1934">
          <cell r="B1934" t="str">
            <v>CARLA DA ROS</v>
          </cell>
          <cell r="D1934" t="str">
            <v>PROFESSOR AUXILIAR</v>
          </cell>
        </row>
        <row r="1935">
          <cell r="B1935" t="str">
            <v>RAQUEL PEREIRA RODRIGUES LEITE</v>
          </cell>
          <cell r="D1935" t="str">
            <v>PROFESSOR ASSISTENTE</v>
          </cell>
        </row>
        <row r="1936">
          <cell r="B1936" t="str">
            <v>CAROLINA SMANHOTTO SCHUCHOVSKI</v>
          </cell>
          <cell r="D1936" t="str">
            <v>PROFESSOR AUXILIAR</v>
          </cell>
        </row>
        <row r="1937">
          <cell r="B1937" t="str">
            <v>BIANCA MENDES RATI</v>
          </cell>
          <cell r="D1937" t="str">
            <v>PROFESSOR AUXILIAR</v>
          </cell>
        </row>
        <row r="1938">
          <cell r="B1938" t="str">
            <v>ANDREI RAFAEL BRONGEL</v>
          </cell>
          <cell r="D1938" t="str">
            <v>PROFESSOR AUXILIAR</v>
          </cell>
        </row>
        <row r="1939">
          <cell r="B1939" t="str">
            <v>KASSIA RENATA DA SILVA ZANAO</v>
          </cell>
          <cell r="D1939" t="str">
            <v>PROFESSOR AUXILIAR</v>
          </cell>
        </row>
        <row r="1940">
          <cell r="B1940" t="str">
            <v>JEANCARLO RIBAS</v>
          </cell>
          <cell r="D1940" t="str">
            <v>PROFESSOR AUXILIAR</v>
          </cell>
        </row>
        <row r="1941">
          <cell r="B1941" t="str">
            <v>HELON VICENTE HULTMANN AYALA</v>
          </cell>
          <cell r="D1941" t="str">
            <v>PROFESSOR ADJUNTO</v>
          </cell>
        </row>
        <row r="1942">
          <cell r="B1942" t="str">
            <v>EDUARDO ALEXANDRE FRANCISCON</v>
          </cell>
          <cell r="D1942" t="str">
            <v>PROFESSOR TUTOR ONLINE I</v>
          </cell>
        </row>
        <row r="1943">
          <cell r="B1943" t="str">
            <v>MICHELE ALESSANDRA HASTREITER</v>
          </cell>
          <cell r="D1943" t="str">
            <v>PROFESSOR AUXILIAR</v>
          </cell>
        </row>
        <row r="1944">
          <cell r="B1944" t="str">
            <v>CARLINE RAKOWSKI SAVARIZ</v>
          </cell>
          <cell r="D1944" t="str">
            <v>PROFESSOR TUTOR ONLINE I</v>
          </cell>
        </row>
        <row r="1945">
          <cell r="B1945" t="str">
            <v>ADAIR JOSE PEREIRA DA ROCHA</v>
          </cell>
          <cell r="D1945" t="str">
            <v>PROFESSOR AUXILIAR</v>
          </cell>
        </row>
        <row r="1946">
          <cell r="B1946" t="str">
            <v>CAROLINE HOSCHEID WERLE</v>
          </cell>
          <cell r="D1946" t="str">
            <v>PROFESSOR AUXILIAR</v>
          </cell>
        </row>
        <row r="1947">
          <cell r="B1947" t="str">
            <v>SOLIMAR DUTRA DA SILVEIRA</v>
          </cell>
          <cell r="D1947" t="str">
            <v>COORD CURSO</v>
          </cell>
        </row>
        <row r="1948">
          <cell r="B1948" t="str">
            <v>BRUNO AZZANI BRAGA</v>
          </cell>
          <cell r="D1948" t="str">
            <v>PROFESSOR AUXILIAR</v>
          </cell>
        </row>
        <row r="1949">
          <cell r="B1949" t="str">
            <v>JONES LUIS SCHAEFER</v>
          </cell>
          <cell r="D1949" t="str">
            <v>PROFESSOR ADJUNTO</v>
          </cell>
        </row>
        <row r="1950">
          <cell r="B1950" t="str">
            <v>CAROLINE PREVIATO SOUZA</v>
          </cell>
          <cell r="D1950" t="str">
            <v>PROFESSOR TUTOR ONLINE I</v>
          </cell>
        </row>
        <row r="1951">
          <cell r="B1951" t="str">
            <v>VITOR BERTOLI NASCIMENTO</v>
          </cell>
          <cell r="D1951" t="str">
            <v>PROFESSOR AUXILIAR</v>
          </cell>
        </row>
        <row r="1952">
          <cell r="B1952" t="str">
            <v>DIEGO JOSE ARGENTON TELAROLLI</v>
          </cell>
          <cell r="D1952" t="str">
            <v>PROFESSOR AUXILIAR</v>
          </cell>
        </row>
        <row r="1953">
          <cell r="B1953" t="str">
            <v>BANY NARONDY CABRAL LIMA</v>
          </cell>
          <cell r="D1953" t="str">
            <v>PROFESSOR AUXILIAR</v>
          </cell>
        </row>
        <row r="1954">
          <cell r="B1954" t="str">
            <v>TAILINE LISBOA</v>
          </cell>
          <cell r="D1954" t="str">
            <v>PROFESSOR AUXILIAR</v>
          </cell>
        </row>
        <row r="1955">
          <cell r="B1955" t="str">
            <v>MARIA AUGUSTA NASCIMENTO HEIM</v>
          </cell>
          <cell r="D1955" t="str">
            <v>PROFESSOR AUXILIAR</v>
          </cell>
        </row>
        <row r="1956">
          <cell r="B1956" t="str">
            <v>VANESSA DAUFENBACK RAMOS</v>
          </cell>
          <cell r="D1956" t="str">
            <v>PROFESSOR AUXILIAR</v>
          </cell>
        </row>
        <row r="1957">
          <cell r="B1957" t="str">
            <v>RAFAEL CARVALHO MACHADO</v>
          </cell>
          <cell r="D1957" t="str">
            <v>PROFESSOR AUXILIAR</v>
          </cell>
        </row>
        <row r="1958">
          <cell r="B1958" t="str">
            <v>KEANU TELLES DA COSTA</v>
          </cell>
          <cell r="D1958" t="str">
            <v>PROFESSOR AUXILIAR</v>
          </cell>
        </row>
        <row r="1959">
          <cell r="B1959" t="str">
            <v>LUANA CARLA FALCAO REBOUCAS</v>
          </cell>
          <cell r="D1959" t="str">
            <v>PROFESSOR AUXILIAR</v>
          </cell>
        </row>
        <row r="1960">
          <cell r="B1960" t="str">
            <v>ANNA LUISA WALTER DE SANTANA</v>
          </cell>
          <cell r="D1960" t="str">
            <v>PROFESSOR ADJUNTO</v>
          </cell>
        </row>
        <row r="1961">
          <cell r="B1961" t="str">
            <v>ANELISE KEYLA GALL RUIVO</v>
          </cell>
          <cell r="D1961" t="str">
            <v>GTE INOVACAO E TRANSFORMACAO DIGITA</v>
          </cell>
        </row>
        <row r="1962">
          <cell r="B1962" t="str">
            <v>THAIS FERNANDA ROBERTO OLIVEIRA</v>
          </cell>
          <cell r="D1962" t="str">
            <v>PROFESSOR ASSISTENTE</v>
          </cell>
        </row>
        <row r="1963">
          <cell r="B1963" t="str">
            <v>MARCEL JAQUETO</v>
          </cell>
          <cell r="D1963" t="str">
            <v>PROFESSOR AUXILIAR</v>
          </cell>
        </row>
        <row r="1964">
          <cell r="B1964" t="str">
            <v>ANNELISE LEMES MIGLIARI</v>
          </cell>
          <cell r="D1964" t="str">
            <v>ANL FATURAMENTO JR</v>
          </cell>
        </row>
        <row r="1965">
          <cell r="B1965" t="str">
            <v>THAIS DISTEFANO WILTENBURG DOS SANTOS</v>
          </cell>
          <cell r="D1965" t="str">
            <v>PROFESSOR ASSISTENTE</v>
          </cell>
        </row>
        <row r="1966">
          <cell r="B1966" t="str">
            <v>PRISCILA BEATRIZ DE SOUZA MEDEIROS</v>
          </cell>
          <cell r="D1966" t="str">
            <v>PROFESSOR AUXILIAR</v>
          </cell>
        </row>
        <row r="1967">
          <cell r="B1967" t="str">
            <v>VINICIUS ANTONIO HIROAKI SATO</v>
          </cell>
          <cell r="D1967" t="str">
            <v>PROFESSOR AUXILIAR</v>
          </cell>
        </row>
        <row r="1968">
          <cell r="B1968" t="str">
            <v>KEVIN COLLINYS SILVA WALKEY</v>
          </cell>
          <cell r="D1968" t="str">
            <v>ANL TRANSFORMACAO PROCESSOS PL</v>
          </cell>
        </row>
        <row r="1969">
          <cell r="B1969" t="str">
            <v>TIAGO KUCHNIR MARTINS DE OLIVEIRA</v>
          </cell>
          <cell r="D1969" t="str">
            <v>MEDICO PRECEPTOR</v>
          </cell>
        </row>
        <row r="1970">
          <cell r="B1970" t="str">
            <v>FERNANDA CATAFESTA UTZUMI</v>
          </cell>
          <cell r="D1970" t="str">
            <v>PROFESSOR AUXILIAR</v>
          </cell>
        </row>
        <row r="1971">
          <cell r="B1971" t="str">
            <v>WALERIA DE LUZA</v>
          </cell>
          <cell r="D1971" t="str">
            <v>ANL ATENDIMENTO JR</v>
          </cell>
        </row>
        <row r="1972">
          <cell r="B1972" t="str">
            <v>FERNANDA GABRIELA DO NASCIMENTO</v>
          </cell>
          <cell r="D1972" t="str">
            <v>ANL PROJETOS SR</v>
          </cell>
        </row>
        <row r="1973">
          <cell r="B1973" t="str">
            <v>ALEXANDRE PEDRON MARTINS</v>
          </cell>
          <cell r="D1973" t="str">
            <v>COORD BIBLIOTECA</v>
          </cell>
        </row>
        <row r="1974">
          <cell r="B1974" t="str">
            <v>KAILAINE PAULA AFONSO DOS SANTOS</v>
          </cell>
          <cell r="D1974" t="str">
            <v>AST ATENDIMENTO</v>
          </cell>
        </row>
        <row r="1975">
          <cell r="B1975" t="str">
            <v>LETICIA TEIXEIRA MULAZANI</v>
          </cell>
          <cell r="D1975" t="str">
            <v>COORD MARKETING</v>
          </cell>
        </row>
        <row r="1976">
          <cell r="B1976" t="str">
            <v>LIRIALIS AMARAL</v>
          </cell>
          <cell r="D1976" t="str">
            <v>AST ATENDIMENTO</v>
          </cell>
        </row>
        <row r="1977">
          <cell r="B1977" t="str">
            <v>THALIA VITORIA MARIUSSI</v>
          </cell>
          <cell r="D1977" t="str">
            <v>MEDICO VETERINARIO</v>
          </cell>
        </row>
        <row r="1978">
          <cell r="B1978" t="str">
            <v>ALLAN DO AMARAL SANTANA</v>
          </cell>
          <cell r="D1978" t="str">
            <v>PROFESSOR LINGUA ESTRANGEIRA</v>
          </cell>
        </row>
        <row r="1979">
          <cell r="B1979" t="str">
            <v>ITALLO AMORIM SILVA</v>
          </cell>
          <cell r="D1979" t="str">
            <v>ANL PROJETOS PESQUISAS PL</v>
          </cell>
        </row>
        <row r="1980">
          <cell r="B1980" t="str">
            <v>MARIANA CAMARGO PESTANA</v>
          </cell>
          <cell r="D1980" t="str">
            <v>MEDICO PRECEPTOR</v>
          </cell>
        </row>
        <row r="1981">
          <cell r="B1981" t="str">
            <v>AUGUSTO CESAR CERON LUZZI</v>
          </cell>
          <cell r="D1981" t="str">
            <v>DESENVOLVEDOR FULL STACK JR</v>
          </cell>
        </row>
        <row r="1982">
          <cell r="B1982" t="str">
            <v>CARLOS VINICIUS MAZETTO ILLIPRONTE</v>
          </cell>
          <cell r="D1982" t="str">
            <v>ANL COMUNICACAO E MARKETING PL</v>
          </cell>
        </row>
        <row r="1983">
          <cell r="B1983" t="str">
            <v>RENATA CRISTINA ALVARENGA FERREIRA CARVALHO</v>
          </cell>
          <cell r="D1983" t="str">
            <v>GTE INOVACAO</v>
          </cell>
        </row>
        <row r="1984">
          <cell r="B1984" t="str">
            <v>DEBY CAROLINE EIDAM DE ALMEIDA</v>
          </cell>
          <cell r="D1984" t="str">
            <v>ANL SUPORTE ACADEMICO PL</v>
          </cell>
        </row>
        <row r="1985">
          <cell r="B1985" t="str">
            <v>GEOVANNA RODRIGUES BORBA</v>
          </cell>
          <cell r="D1985" t="str">
            <v>ANL ADMINISTRATIVO JR</v>
          </cell>
        </row>
        <row r="1986">
          <cell r="B1986" t="str">
            <v>VANESA DA LUZ GLONEKE SILVA</v>
          </cell>
          <cell r="D1986" t="str">
            <v>ANL FINANCEIRO JR</v>
          </cell>
        </row>
        <row r="1987">
          <cell r="B1987" t="str">
            <v>MAURICIO ANTUNES ARIEDE</v>
          </cell>
          <cell r="D1987" t="str">
            <v>ANL MARKETING JR</v>
          </cell>
        </row>
        <row r="1988">
          <cell r="B1988" t="str">
            <v>LUCIANA GUIDARINI DOS SANTOS</v>
          </cell>
          <cell r="D1988" t="str">
            <v>ANL CONTROLADORIA PL</v>
          </cell>
        </row>
        <row r="1989">
          <cell r="B1989" t="str">
            <v>VITOR BIANCHINI DE QUADROS</v>
          </cell>
          <cell r="D1989" t="str">
            <v>ANL TRANSFORMACAO PROCESSOS PL</v>
          </cell>
        </row>
        <row r="1990">
          <cell r="B1990" t="str">
            <v>DAYANNE SOSA RIVAS</v>
          </cell>
          <cell r="D1990" t="str">
            <v>AST NUCLEO PRATICAS JURIDICAS</v>
          </cell>
        </row>
        <row r="1991">
          <cell r="B1991" t="str">
            <v>RAQUEL OROSKI</v>
          </cell>
          <cell r="D1991" t="str">
            <v>BIBLIOTECARIO TI PL</v>
          </cell>
        </row>
        <row r="1992">
          <cell r="B1992" t="str">
            <v>LUIZA PRITSCH DEC</v>
          </cell>
          <cell r="D1992" t="str">
            <v>ANL PROJETOS E MELHORIA CONTINUA SR</v>
          </cell>
        </row>
        <row r="1993">
          <cell r="B1993" t="str">
            <v>ISABELA NEVES DOS SANTOS</v>
          </cell>
          <cell r="D1993" t="str">
            <v>TEC RADIOLOGIA I</v>
          </cell>
        </row>
        <row r="1994">
          <cell r="B1994" t="str">
            <v>JOAO VITOR BRANDAO</v>
          </cell>
          <cell r="D1994" t="str">
            <v>ANL TI PL</v>
          </cell>
        </row>
        <row r="1995">
          <cell r="B1995" t="str">
            <v>ROSMARY EMANUELLE DA SILVA</v>
          </cell>
          <cell r="D1995" t="str">
            <v>ANL ADMINISTRATIVO JR</v>
          </cell>
        </row>
        <row r="1996">
          <cell r="B1996" t="str">
            <v>ADRYELLE APARECIDA DE FREITAS MINATTI</v>
          </cell>
          <cell r="D1996" t="str">
            <v>COORD MARKETING</v>
          </cell>
        </row>
        <row r="1997">
          <cell r="B1997" t="str">
            <v>LOYCI SILVA MENDES</v>
          </cell>
          <cell r="D1997" t="str">
            <v>CONSULTOR NEGOCIOS RH</v>
          </cell>
        </row>
        <row r="1998">
          <cell r="B1998" t="str">
            <v>IZABELLA CIDREIRA DO AMARAL SABINO</v>
          </cell>
          <cell r="D1998" t="str">
            <v>INSTRUTOR</v>
          </cell>
        </row>
        <row r="1999">
          <cell r="B1999" t="str">
            <v>JONAS DAMASCENO DE LIMA</v>
          </cell>
          <cell r="D1999" t="str">
            <v>AST ATENDIMENTO</v>
          </cell>
        </row>
        <row r="2000">
          <cell r="B2000" t="str">
            <v>FRANCIELI GUIMARAES DA SERRA DOS SANTOS</v>
          </cell>
          <cell r="D2000" t="str">
            <v>ANL FINANCEIRO JR</v>
          </cell>
        </row>
        <row r="2001">
          <cell r="B2001" t="str">
            <v>FERNANDA FEIJO MARTINS</v>
          </cell>
          <cell r="D2001" t="str">
            <v>PSICOLOGO PL</v>
          </cell>
        </row>
        <row r="2002">
          <cell r="B2002" t="str">
            <v>SARA FERNANDES DE MENDONCA</v>
          </cell>
          <cell r="D2002" t="str">
            <v>ANL ADMINISTRATIVO JR</v>
          </cell>
        </row>
        <row r="2003">
          <cell r="B2003" t="str">
            <v>INGRID LUANA PEDROSO ROSTIROLLA</v>
          </cell>
          <cell r="D2003" t="str">
            <v>PSICOLOGO JR</v>
          </cell>
        </row>
        <row r="2004">
          <cell r="B2004" t="str">
            <v>EVANDRO TEIXEIRA DE OLIVEIRA</v>
          </cell>
          <cell r="D2004" t="str">
            <v>ESP PROJETOS E MELHORIA CONTINUA</v>
          </cell>
        </row>
        <row r="2005">
          <cell r="B2005" t="str">
            <v>VINICIUS DIEGO DA SILVA MAGALHAES</v>
          </cell>
          <cell r="D2005" t="str">
            <v>MEDICO PRECEPTOR</v>
          </cell>
        </row>
        <row r="2006">
          <cell r="B2006" t="str">
            <v>LOUIZE SALDANHA</v>
          </cell>
          <cell r="D2006" t="str">
            <v>AST ATENDIMENTO</v>
          </cell>
        </row>
        <row r="2007">
          <cell r="B2007" t="str">
            <v>MARIELA LEY GONZALEZ</v>
          </cell>
          <cell r="D2007" t="str">
            <v>AST BIBLIOTECA II</v>
          </cell>
        </row>
        <row r="2008">
          <cell r="B2008" t="str">
            <v>FRANCINY MULLER DOMINGUES</v>
          </cell>
          <cell r="D2008" t="str">
            <v>ANL PROJETOS SR</v>
          </cell>
        </row>
        <row r="2009">
          <cell r="B2009" t="str">
            <v>ALINE DA COSTA VENANCIO</v>
          </cell>
          <cell r="D2009" t="str">
            <v>AST ATENDIMENTO</v>
          </cell>
        </row>
        <row r="2010">
          <cell r="B2010" t="str">
            <v>SAMANTA CRISTINA MARTINS</v>
          </cell>
          <cell r="D2010" t="str">
            <v>CONSULTOR NEGOCIOS RH</v>
          </cell>
        </row>
        <row r="2011">
          <cell r="B2011" t="str">
            <v>OSLEY FERNANDES SILVA</v>
          </cell>
          <cell r="D2011" t="str">
            <v>COORD EDUCACAO CONTINUADA</v>
          </cell>
        </row>
        <row r="2012">
          <cell r="B2012" t="str">
            <v>LUANA TONIN</v>
          </cell>
          <cell r="D2012" t="str">
            <v>COORD CURSO</v>
          </cell>
        </row>
        <row r="2013">
          <cell r="B2013" t="str">
            <v>DEIVSON FRANCA DA SILVA</v>
          </cell>
          <cell r="D2013" t="str">
            <v>ANL SUPORTE TI PL</v>
          </cell>
        </row>
        <row r="2014">
          <cell r="B2014" t="str">
            <v>GUSTAVO HENRIQUE CORREIA ROGENBAUM</v>
          </cell>
          <cell r="D2014" t="str">
            <v>AST MANUTENCAO II</v>
          </cell>
        </row>
        <row r="2015">
          <cell r="B2015" t="str">
            <v>DIOGO EDUARDO PACHELLI</v>
          </cell>
          <cell r="D2015" t="str">
            <v>AUX AGROPECUARIA</v>
          </cell>
        </row>
        <row r="2016">
          <cell r="B2016" t="str">
            <v>MAYARA DO AMARAL STOPA</v>
          </cell>
          <cell r="D2016" t="str">
            <v>ANL GESTAO ACADEMICA JR</v>
          </cell>
        </row>
        <row r="2017">
          <cell r="B2017" t="str">
            <v>LUCAS PADILHA</v>
          </cell>
          <cell r="D2017" t="str">
            <v>ANL MOBILIDADE INTERNACIONAL PL</v>
          </cell>
        </row>
        <row r="2018">
          <cell r="B2018" t="str">
            <v>CARLA FREITAS SILVEIRA NETTO</v>
          </cell>
          <cell r="D2018" t="str">
            <v>PROFESSOR ADJUNTO</v>
          </cell>
        </row>
        <row r="2019">
          <cell r="B2019" t="str">
            <v>FERNANDA FRANKENBERGER SILVA</v>
          </cell>
          <cell r="D2019" t="str">
            <v>COORD CURSO</v>
          </cell>
        </row>
        <row r="2020">
          <cell r="B2020" t="str">
            <v>ADRIANA CLEA LEIRIA</v>
          </cell>
          <cell r="D2020" t="str">
            <v>ANL ADMINISTRATIVO JR</v>
          </cell>
        </row>
        <row r="2021">
          <cell r="B2021" t="str">
            <v>PEDRO CAZETTA DA CRUZ</v>
          </cell>
          <cell r="D2021" t="str">
            <v>TEC LABORATORIO II (C/ AD-INS)</v>
          </cell>
        </row>
        <row r="2022">
          <cell r="B2022" t="str">
            <v>THAYENE MIRAH AL FARAH ELIAS</v>
          </cell>
          <cell r="D2022" t="str">
            <v>ANL PROJETOS PESQUISAS SR</v>
          </cell>
        </row>
        <row r="2023">
          <cell r="B2023" t="str">
            <v>MARCELA RENATA RAMOS</v>
          </cell>
          <cell r="D2023" t="str">
            <v>REVISOR TEXTO PL</v>
          </cell>
        </row>
        <row r="2024">
          <cell r="B2024" t="str">
            <v>EMILLY FERNANDES SANTOS SILVA</v>
          </cell>
          <cell r="D2024" t="str">
            <v>AST ATENDIMENTO</v>
          </cell>
        </row>
        <row r="2025">
          <cell r="B2025" t="str">
            <v>ALINE DE OLIVERA PEDRO</v>
          </cell>
          <cell r="D2025" t="str">
            <v>AST SOCIAL</v>
          </cell>
        </row>
        <row r="2026">
          <cell r="B2026" t="str">
            <v>JULIANA DE OLIVEIRA CAMARGO</v>
          </cell>
          <cell r="D2026" t="str">
            <v>ANL ADMINISTRATIVO JR</v>
          </cell>
        </row>
        <row r="2027">
          <cell r="B2027" t="str">
            <v>MARIANA DE FREITAS BORGES BRITO</v>
          </cell>
          <cell r="D2027" t="str">
            <v>ANL COMUNICACAO E MARKETING SR</v>
          </cell>
        </row>
        <row r="2028">
          <cell r="B2028" t="str">
            <v>NATASHA KELLYN HUMMLER DE OLIVEIRA</v>
          </cell>
          <cell r="D2028" t="str">
            <v>OPERADOR TELEATENDIMENTO</v>
          </cell>
        </row>
        <row r="2029">
          <cell r="B2029" t="str">
            <v>LORENZA MELO DOS SANTOS</v>
          </cell>
          <cell r="D2029" t="str">
            <v>ANL PROJETOS E MELHORIA CONTINUA PL</v>
          </cell>
        </row>
        <row r="2030">
          <cell r="B2030" t="str">
            <v>EVELYN CRISTINA SILVEIRA TEJO</v>
          </cell>
          <cell r="D2030" t="str">
            <v>ANL ADMINISTRATIVO JR</v>
          </cell>
        </row>
        <row r="2031">
          <cell r="B2031" t="str">
            <v>LUIS ROGERIO MENDONCA PARRA</v>
          </cell>
          <cell r="D2031" t="str">
            <v>TEC LABORATORIO II (S/ AD-INS)</v>
          </cell>
        </row>
        <row r="2032">
          <cell r="B2032" t="str">
            <v>MARCIA CRISTINA ALVES DOS ANJOS ALMEIDA</v>
          </cell>
          <cell r="D2032" t="str">
            <v>ESP AVALIACAO INSTITUCIONAL</v>
          </cell>
        </row>
        <row r="2033">
          <cell r="B2033" t="str">
            <v>ANDRESSA APARECIDA TEIXEIRA DE SOUZA</v>
          </cell>
          <cell r="D2033" t="str">
            <v>ANL RELACIONAMENTO JR</v>
          </cell>
        </row>
        <row r="2034">
          <cell r="B2034" t="str">
            <v>GABRIELA RIGHI PORTELA DE ANDRADE</v>
          </cell>
          <cell r="D2034" t="str">
            <v>ESP MARKETING</v>
          </cell>
        </row>
        <row r="2035">
          <cell r="B2035" t="str">
            <v>AMANDA LUIZA DE SOUZA</v>
          </cell>
          <cell r="D2035" t="str">
            <v>ANL COMUNICACAO PL</v>
          </cell>
        </row>
        <row r="2036">
          <cell r="B2036" t="str">
            <v>BRUNA APARECIDA BRESSELER</v>
          </cell>
          <cell r="D2036" t="str">
            <v>ANL PROJETOS JR</v>
          </cell>
        </row>
        <row r="2037">
          <cell r="B2037" t="str">
            <v>MATHEUS RIBEIRO PORTO</v>
          </cell>
          <cell r="D2037" t="str">
            <v>ANL ADMINISTRATIVO JR</v>
          </cell>
        </row>
        <row r="2038">
          <cell r="B2038" t="str">
            <v>IVANA MARIA RODRIGUES GONCALVES</v>
          </cell>
          <cell r="D2038" t="str">
            <v>OPERADOR TELEATENDIMENTO</v>
          </cell>
        </row>
        <row r="2039">
          <cell r="B2039" t="str">
            <v>RAFAEL GOUVEIA DA SILVA</v>
          </cell>
          <cell r="D2039" t="str">
            <v>ANL FINANCEIRO JR</v>
          </cell>
        </row>
        <row r="2040">
          <cell r="B2040" t="str">
            <v>VICTOR HENRIQUE BENTO</v>
          </cell>
          <cell r="D2040" t="str">
            <v>GTE ADMINISTRATIVO FINANCEIRO</v>
          </cell>
        </row>
        <row r="2041">
          <cell r="B2041" t="str">
            <v>ISABELA FACHINELLO DE BRITO</v>
          </cell>
          <cell r="D2041" t="str">
            <v>AST ATENDIMENTO</v>
          </cell>
        </row>
        <row r="2042">
          <cell r="B2042" t="str">
            <v>ANA PAULA SANTUCI GAVA</v>
          </cell>
          <cell r="D2042" t="str">
            <v>AST ATENDIMENTO</v>
          </cell>
        </row>
        <row r="2043">
          <cell r="B2043" t="str">
            <v>MARIA LUIZA MARTINS CORDEIRO</v>
          </cell>
          <cell r="D2043" t="str">
            <v>OPERADOR TELEATENDIMENTO</v>
          </cell>
        </row>
        <row r="2044">
          <cell r="B2044" t="str">
            <v>CAMILA BITENCOURT ALANO ASSUNCAO</v>
          </cell>
          <cell r="D2044" t="str">
            <v>ANL ADMINISTRATIVO JR</v>
          </cell>
        </row>
        <row r="2045">
          <cell r="B2045" t="str">
            <v>MARCOS ROBERTO ALMEIDA DOS SANTOS</v>
          </cell>
          <cell r="D2045" t="str">
            <v>PROFESSOR AUXILIAR</v>
          </cell>
        </row>
        <row r="2046">
          <cell r="B2046" t="str">
            <v>JULIANA BASSO</v>
          </cell>
          <cell r="D2046" t="str">
            <v>OPERADOR TELEATENDIMENTO</v>
          </cell>
        </row>
        <row r="2047">
          <cell r="B2047" t="str">
            <v>PAULO EDUARDO PINHEIRO ROSA</v>
          </cell>
          <cell r="D2047" t="str">
            <v>PROFESSOR AUXILIAR</v>
          </cell>
        </row>
        <row r="2048">
          <cell r="B2048" t="str">
            <v>WILLIAN MAC CORMICK MARON</v>
          </cell>
          <cell r="D2048" t="str">
            <v>PROFESSOR AUXILIAR</v>
          </cell>
        </row>
        <row r="2049">
          <cell r="B2049" t="str">
            <v>RODRIGO PEIXOTO CAMPOS</v>
          </cell>
          <cell r="D2049" t="str">
            <v>PROFESSOR AUXILIAR</v>
          </cell>
        </row>
        <row r="2050">
          <cell r="B2050" t="str">
            <v>FELIPE GANZERT OLIVEIRA</v>
          </cell>
          <cell r="D2050" t="str">
            <v>PROFESSOR AUXILIAR</v>
          </cell>
        </row>
        <row r="2051">
          <cell r="B2051" t="str">
            <v>GUILHERME GUBERT MULLER</v>
          </cell>
          <cell r="D2051" t="str">
            <v>PROFESSOR AUXILIAR</v>
          </cell>
        </row>
        <row r="2052">
          <cell r="B2052" t="str">
            <v>IAN LUNA PARENTE BRASILEIRO</v>
          </cell>
          <cell r="D2052" t="str">
            <v>PROFESSOR AUXILIAR</v>
          </cell>
        </row>
        <row r="2053">
          <cell r="B2053" t="str">
            <v>GINO PIGATTO FILHO</v>
          </cell>
          <cell r="D2053" t="str">
            <v>PROFESSOR AUXILIAR</v>
          </cell>
        </row>
        <row r="2054">
          <cell r="B2054" t="str">
            <v>LYDIA VARELA GUERINO</v>
          </cell>
          <cell r="D2054" t="str">
            <v>PROFESSOR AUXILIAR</v>
          </cell>
        </row>
        <row r="2055">
          <cell r="B2055" t="str">
            <v>ALEXANDRA RAMOS DOS SANTOS</v>
          </cell>
          <cell r="D2055" t="str">
            <v>PROFESSOR AUXILIAR</v>
          </cell>
        </row>
        <row r="2056">
          <cell r="B2056" t="str">
            <v>ANA CLARA SIMOES FLORIDO ALMEIDA</v>
          </cell>
          <cell r="D2056" t="str">
            <v>PROFESSOR AUXILIAR</v>
          </cell>
        </row>
        <row r="2057">
          <cell r="B2057" t="str">
            <v>RAFAEL LOPES LAGOS</v>
          </cell>
          <cell r="D2057" t="str">
            <v>PROFESSOR AUXILIAR</v>
          </cell>
        </row>
        <row r="2058">
          <cell r="B2058" t="str">
            <v>MARIA DE BRITO LO SARZI</v>
          </cell>
          <cell r="D2058" t="str">
            <v>ENFERMEIRO PRECEPTOR</v>
          </cell>
        </row>
        <row r="2059">
          <cell r="B2059" t="str">
            <v>BRUNA MARIA DE SOUZA</v>
          </cell>
          <cell r="D2059" t="str">
            <v>PROFESSOR AUXILIAR</v>
          </cell>
        </row>
        <row r="2060">
          <cell r="B2060" t="str">
            <v>JAQUELINE COSTA CASTARDO DE PAULA</v>
          </cell>
          <cell r="D2060" t="str">
            <v>PROFESSOR AUXILIAR</v>
          </cell>
        </row>
        <row r="2061">
          <cell r="B2061" t="str">
            <v>JAQUELINE DE JESUS ASCHENBRENNER</v>
          </cell>
          <cell r="D2061" t="str">
            <v>PROFESSOR AUXILIAR</v>
          </cell>
        </row>
        <row r="2062">
          <cell r="B2062" t="str">
            <v>EVANDRO ALBERTO ZATTI</v>
          </cell>
          <cell r="D2062" t="str">
            <v>PROFESSOR AUXILIAR</v>
          </cell>
        </row>
        <row r="2063">
          <cell r="B2063" t="str">
            <v>PAULO POLI NETO</v>
          </cell>
          <cell r="D2063" t="str">
            <v>PROFESSOR AUXILIAR</v>
          </cell>
        </row>
        <row r="2064">
          <cell r="B2064" t="str">
            <v>GISELE FRANCINI DEVETAK CASAROTTI</v>
          </cell>
          <cell r="D2064" t="str">
            <v>PROFESSOR AUXILIAR</v>
          </cell>
        </row>
        <row r="2065">
          <cell r="B2065" t="str">
            <v>FLAVIO LUIZ VON DER OSTEN</v>
          </cell>
          <cell r="D2065" t="str">
            <v>PROFESSOR AUXILIAR</v>
          </cell>
        </row>
        <row r="2066">
          <cell r="B2066" t="str">
            <v>PAULO EDUARDO LOPES DA SILVA</v>
          </cell>
          <cell r="D2066" t="str">
            <v>PROFESSOR AUXILIAR</v>
          </cell>
        </row>
        <row r="2067">
          <cell r="B2067" t="str">
            <v>IARA LANG MARTINS</v>
          </cell>
          <cell r="D2067" t="str">
            <v>PROFESSOR AUXILIAR</v>
          </cell>
        </row>
        <row r="2068">
          <cell r="B2068" t="str">
            <v>JEANINE MARIE NARDIN</v>
          </cell>
          <cell r="D2068" t="str">
            <v>PROFESSOR AUXILIAR</v>
          </cell>
        </row>
        <row r="2069">
          <cell r="B2069" t="str">
            <v>FERNANDA BROERING GOMES TORRES</v>
          </cell>
          <cell r="D2069" t="str">
            <v>PROFESSOR AUXILIAR</v>
          </cell>
        </row>
        <row r="2070">
          <cell r="B2070" t="str">
            <v>LARISSA CHIOQUETTA LORENSET</v>
          </cell>
          <cell r="D2070" t="str">
            <v>PROFESSOR AUXILIAR</v>
          </cell>
        </row>
        <row r="2071">
          <cell r="B2071" t="str">
            <v>DEMETRIA KOVELIS MONTEIRO</v>
          </cell>
          <cell r="D2071" t="str">
            <v>COORD CURSO</v>
          </cell>
        </row>
        <row r="2072">
          <cell r="B2072" t="str">
            <v>RAFAEL IGLESIAS MENEZES DA SILVA</v>
          </cell>
          <cell r="D2072" t="str">
            <v>PROFESSOR AUXILIAR</v>
          </cell>
        </row>
        <row r="2073">
          <cell r="B2073" t="str">
            <v>ARNALDO ANTONIO DE SOUZA TEMOCHKO</v>
          </cell>
          <cell r="D2073" t="str">
            <v>COORD PROJETOS PASTORAIS</v>
          </cell>
        </row>
        <row r="2074">
          <cell r="B2074" t="str">
            <v>MARIANNA SEIXAS GRECA</v>
          </cell>
          <cell r="D2074" t="str">
            <v>PROFESSOR AUXILIAR</v>
          </cell>
        </row>
        <row r="2075">
          <cell r="B2075" t="str">
            <v>GISELLE APARECIDA NOBRE COSTA</v>
          </cell>
          <cell r="D2075" t="str">
            <v>PROFESSOR AUXILIAR</v>
          </cell>
        </row>
        <row r="2076">
          <cell r="B2076" t="str">
            <v>FILIPE MATHAUS BELO BUENO SCHERER</v>
          </cell>
          <cell r="D2076" t="str">
            <v>AST ATENDIMENTO</v>
          </cell>
        </row>
        <row r="2077">
          <cell r="B2077" t="str">
            <v>KENZO HOKAZONO</v>
          </cell>
          <cell r="D2077" t="str">
            <v>PROFESSOR AUXILIAR</v>
          </cell>
        </row>
        <row r="2078">
          <cell r="B2078" t="str">
            <v>JUNE ALISSON WESTARB CRUZ</v>
          </cell>
          <cell r="D2078" t="str">
            <v>PROFESSOR ADJUNTO</v>
          </cell>
        </row>
        <row r="2079">
          <cell r="B2079" t="str">
            <v>MATHEUS BELTRAME CANCIGLIERI</v>
          </cell>
          <cell r="D2079" t="str">
            <v>PROFESSOR AUXILIAR</v>
          </cell>
        </row>
        <row r="2080">
          <cell r="B2080" t="str">
            <v>RUI BOCCHINO MACEDO</v>
          </cell>
          <cell r="D2080" t="str">
            <v>PROFESSOR AUXILIAR</v>
          </cell>
        </row>
        <row r="2081">
          <cell r="B2081" t="str">
            <v>RAFAELA RODRIGUES SAMPAIO NOGUEIRA</v>
          </cell>
          <cell r="D2081" t="str">
            <v>PROFESSOR AUXILIAR</v>
          </cell>
        </row>
        <row r="2082">
          <cell r="B2082" t="str">
            <v>GABRIEL RODRIGUES DE ANDRADE</v>
          </cell>
          <cell r="D2082" t="str">
            <v>PROFESSOR TUTOR ONLINE I</v>
          </cell>
        </row>
        <row r="2083">
          <cell r="B2083" t="str">
            <v>DEBORA DUTRA DE MORAES FONTES</v>
          </cell>
          <cell r="D2083" t="str">
            <v>AST ATENDIMENTO</v>
          </cell>
        </row>
        <row r="2084">
          <cell r="B2084" t="str">
            <v>TALITA LEUCZ</v>
          </cell>
          <cell r="D2084" t="str">
            <v>PROFESSOR TUTOR ONLINE I</v>
          </cell>
        </row>
        <row r="2085">
          <cell r="B2085" t="str">
            <v>BRUNA GABRIELLI DE ARAUJO ZANATTA</v>
          </cell>
          <cell r="D2085" t="str">
            <v>AST BIBLIOTECA I</v>
          </cell>
        </row>
        <row r="2086">
          <cell r="B2086" t="str">
            <v>JOSETH ANTONIA OLIVEIRA JARDIM</v>
          </cell>
          <cell r="D2086" t="str">
            <v>PROFESSOR AUXILIAR</v>
          </cell>
        </row>
        <row r="2087">
          <cell r="B2087" t="str">
            <v>RAFAELA BAGOLIN BEZ</v>
          </cell>
          <cell r="D2087" t="str">
            <v>ANL PROJETOS PL</v>
          </cell>
        </row>
        <row r="2088">
          <cell r="B2088" t="str">
            <v>DANIELE COUTINHO</v>
          </cell>
          <cell r="D2088" t="str">
            <v>PROFESSOR AUXILIAR</v>
          </cell>
        </row>
        <row r="2089">
          <cell r="B2089" t="str">
            <v>FELIPE RANGEL DA SILVA</v>
          </cell>
          <cell r="D2089" t="str">
            <v>PROFESSOR AUXILIAR</v>
          </cell>
        </row>
        <row r="2090">
          <cell r="B2090" t="str">
            <v>LUCAS DE LIMA</v>
          </cell>
          <cell r="D2090" t="str">
            <v>PROFESSOR AUXILIAR</v>
          </cell>
        </row>
        <row r="2091">
          <cell r="B2091" t="str">
            <v>LUCIO BAENA DE MELO</v>
          </cell>
          <cell r="D2091" t="str">
            <v>PROFESSOR AUXILIAR</v>
          </cell>
        </row>
        <row r="2092">
          <cell r="B2092" t="str">
            <v>JOAO FELIPE ROSSIVAL PRETO</v>
          </cell>
          <cell r="D2092" t="str">
            <v>PROFESSOR AUXILIAR</v>
          </cell>
        </row>
        <row r="2093">
          <cell r="B2093" t="str">
            <v>MICHELLE CRISTINA DINIZ VATRIM</v>
          </cell>
          <cell r="D2093" t="str">
            <v>ANL OPERACOES ACADEMICAS JR</v>
          </cell>
        </row>
        <row r="2094">
          <cell r="B2094" t="str">
            <v>KAREN LUIZA RAMOS SOCHER</v>
          </cell>
          <cell r="D2094" t="str">
            <v>MEDICO PRECEPTOR</v>
          </cell>
        </row>
        <row r="2095">
          <cell r="B2095" t="str">
            <v>ELIANA FIGUEIREDO CHEKE</v>
          </cell>
          <cell r="D2095" t="str">
            <v>MEDICO PRECEPTOR</v>
          </cell>
        </row>
        <row r="2096">
          <cell r="B2096" t="str">
            <v>MAIRA CARVALHO GALLUCCI</v>
          </cell>
          <cell r="D2096" t="str">
            <v>PROFESSOR AUXILIAR</v>
          </cell>
        </row>
        <row r="2097">
          <cell r="B2097" t="str">
            <v>THAIS HARUMI BABATA FERREIRA</v>
          </cell>
          <cell r="D2097" t="str">
            <v>MEDICO PRECEPTOR</v>
          </cell>
        </row>
        <row r="2098">
          <cell r="B2098" t="str">
            <v>PATRICIA TENDOLINI OLIVEIRA DE MELO</v>
          </cell>
          <cell r="D2098" t="str">
            <v>COORD CURSO</v>
          </cell>
        </row>
        <row r="2099">
          <cell r="B2099" t="str">
            <v>CLARA NASSER SCHERER</v>
          </cell>
          <cell r="D2099" t="str">
            <v>PROFESSOR AUXILIAR</v>
          </cell>
        </row>
        <row r="2100">
          <cell r="B2100" t="str">
            <v>EDUARDO ALCANTARA QUIDIGNO</v>
          </cell>
          <cell r="D2100" t="str">
            <v>PROFESSOR AUXILIAR</v>
          </cell>
        </row>
        <row r="2101">
          <cell r="B2101" t="str">
            <v>THAIS SCAGLIONE</v>
          </cell>
          <cell r="D2101" t="str">
            <v>PROFESSOR AUXILIAR</v>
          </cell>
        </row>
        <row r="2102">
          <cell r="B2102" t="str">
            <v>AMANDA AMPESSAN CAVALI</v>
          </cell>
          <cell r="D2102" t="str">
            <v>EXECUTIVO NEGOCIOS SR</v>
          </cell>
        </row>
        <row r="2103">
          <cell r="B2103" t="str">
            <v>JOEL ANTONIO DE MACEDO</v>
          </cell>
          <cell r="D2103" t="str">
            <v>JARDINEIRO</v>
          </cell>
        </row>
        <row r="2104">
          <cell r="B2104" t="str">
            <v>MARCIA MARIA ALVES</v>
          </cell>
          <cell r="D2104" t="str">
            <v>PROFESSOR AUXILIAR</v>
          </cell>
        </row>
        <row r="2105">
          <cell r="B2105" t="str">
            <v>JAMILLE BIANCA APARECIDA DE SOUZA</v>
          </cell>
          <cell r="D2105" t="str">
            <v>AST ATENDIMENTO</v>
          </cell>
        </row>
        <row r="2106">
          <cell r="B2106" t="str">
            <v>ELIANE FATIMA ROCHA ENGELSING</v>
          </cell>
          <cell r="D2106" t="str">
            <v>PROFESSOR AUXILIAR</v>
          </cell>
        </row>
        <row r="2107">
          <cell r="B2107" t="str">
            <v>GABRIELI BATISTA NERI</v>
          </cell>
          <cell r="D2107" t="str">
            <v>AST ATENDIMENTO</v>
          </cell>
        </row>
        <row r="2108">
          <cell r="B2108" t="str">
            <v>ERICA FRANCISCA POTRICH BORTOLANZA</v>
          </cell>
          <cell r="D2108" t="str">
            <v>MEDICO PRECEPTOR</v>
          </cell>
        </row>
        <row r="2109">
          <cell r="B2109" t="str">
            <v>JOELTON DEONEI GOTZ</v>
          </cell>
          <cell r="D2109" t="str">
            <v>PROFESSOR AUXILIAR</v>
          </cell>
        </row>
        <row r="2110">
          <cell r="B2110" t="str">
            <v>DAIANE LOLATTO</v>
          </cell>
          <cell r="D2110" t="str">
            <v>PROFESSOR TUTOR ONLINE I</v>
          </cell>
        </row>
        <row r="2111">
          <cell r="B2111" t="str">
            <v>MARCOS BATISTELLA LOPES</v>
          </cell>
          <cell r="D2111" t="str">
            <v>PROFESSOR ADJUNTO</v>
          </cell>
        </row>
        <row r="2112">
          <cell r="B2112" t="str">
            <v>ANA PAULA DE ALMEIDA ROCHA</v>
          </cell>
          <cell r="D2112" t="str">
            <v>COORD CURSO</v>
          </cell>
        </row>
        <row r="2113">
          <cell r="B2113" t="str">
            <v>RODRIGO PASTI</v>
          </cell>
          <cell r="D2113" t="str">
            <v>PROFESSOR ADJUNTO</v>
          </cell>
        </row>
        <row r="2114">
          <cell r="B2114" t="str">
            <v>DEMIAN DA SILVEIRA BARCELLOS</v>
          </cell>
          <cell r="D2114" t="str">
            <v>PROFESSOR ADJUNTO</v>
          </cell>
        </row>
        <row r="2115">
          <cell r="B2115" t="str">
            <v>LUCIANO AYRES DE MELLO</v>
          </cell>
          <cell r="D2115" t="str">
            <v>PROFESSOR ADJUNTO</v>
          </cell>
        </row>
        <row r="2116">
          <cell r="B2116" t="str">
            <v>HUGO ALLAN MATOS</v>
          </cell>
          <cell r="D2116" t="str">
            <v>PROFESSOR TUTOR ONLINE I</v>
          </cell>
        </row>
        <row r="2117">
          <cell r="B2117" t="str">
            <v>GECIELI ISABEL ULSENHEIMER</v>
          </cell>
          <cell r="D2117" t="str">
            <v>ANL RELACIONAMENTO JR</v>
          </cell>
        </row>
        <row r="2118">
          <cell r="B2118" t="str">
            <v>RICARDO TAVERNA</v>
          </cell>
          <cell r="D2118" t="str">
            <v>COORD DESENVOLVIMENTO RPA</v>
          </cell>
        </row>
        <row r="2119">
          <cell r="B2119" t="str">
            <v>CASSIANO GOUVEA RAMALHO</v>
          </cell>
          <cell r="D2119" t="str">
            <v>PROFESSOR LINGUA ESTRANGEIRA</v>
          </cell>
        </row>
        <row r="2120">
          <cell r="B2120" t="str">
            <v>DANILO ARNAUT SARAIVA</v>
          </cell>
          <cell r="D2120" t="str">
            <v>PROFESSOR AUXILIAR</v>
          </cell>
        </row>
        <row r="2121">
          <cell r="B2121" t="str">
            <v>MARGARETE LONI LEANDRO</v>
          </cell>
          <cell r="D2121" t="str">
            <v>ENFERMEIRO PRECEPTOR</v>
          </cell>
        </row>
        <row r="2122">
          <cell r="B2122" t="str">
            <v>CASSIANA FAGUNDES DA SILVA</v>
          </cell>
          <cell r="D2122" t="str">
            <v>PROFESSOR TUTOR ONLINE I</v>
          </cell>
        </row>
        <row r="2123">
          <cell r="B2123" t="str">
            <v>PEDRO HENRIQUE CARVALHO DA COSTA</v>
          </cell>
          <cell r="D2123" t="str">
            <v>PROFESSOR AUXILIAR</v>
          </cell>
        </row>
        <row r="2124">
          <cell r="B2124" t="str">
            <v>MATHEUS ABREU LUZ</v>
          </cell>
          <cell r="D2124" t="str">
            <v>TEC LABORATORIO II (S/ AD-INS)</v>
          </cell>
        </row>
        <row r="2125">
          <cell r="B2125" t="str">
            <v>OWER JESUS YANG AFANADOR</v>
          </cell>
          <cell r="D2125" t="str">
            <v>AUX BOVINOCULTURA</v>
          </cell>
        </row>
        <row r="2126">
          <cell r="B2126" t="str">
            <v>RICARDO ROCHA DA SILVA</v>
          </cell>
          <cell r="D2126" t="str">
            <v>ESP PLANEJAMENTO ESTRATEGICO</v>
          </cell>
        </row>
        <row r="2127">
          <cell r="B2127" t="str">
            <v>HOLISSES BELLON</v>
          </cell>
          <cell r="D2127" t="str">
            <v>PROFESSOR AUXILIAR</v>
          </cell>
        </row>
        <row r="2128">
          <cell r="B2128" t="str">
            <v>LEVY REIS NASCIMENTO</v>
          </cell>
          <cell r="D2128" t="str">
            <v>ANL SUPORTE TI PL</v>
          </cell>
        </row>
        <row r="2129">
          <cell r="B2129" t="str">
            <v>SILVIA LETICIA DE MORAES PEREIRA PROENCA</v>
          </cell>
          <cell r="D2129" t="str">
            <v>AST ATENDIMENTO</v>
          </cell>
        </row>
        <row r="2130">
          <cell r="B2130" t="str">
            <v>POLIANA DA SILVA EUGENIO</v>
          </cell>
          <cell r="D2130" t="str">
            <v>ANL FATURAMENTO JR</v>
          </cell>
        </row>
        <row r="2131">
          <cell r="B2131" t="str">
            <v>EDERSON DOS SANTOS WALENDORFF</v>
          </cell>
          <cell r="D2131" t="str">
            <v>DESENVOLVEDOR FULL STACK PL</v>
          </cell>
        </row>
        <row r="2132">
          <cell r="B2132" t="str">
            <v>JOSE ADEMAR KAEFER</v>
          </cell>
          <cell r="D2132" t="str">
            <v>PROFESSOR ADJUNTO</v>
          </cell>
        </row>
        <row r="2133">
          <cell r="B2133" t="str">
            <v>SILVIA KARLA AZEVEDO VIEIRA ANDRADE</v>
          </cell>
          <cell r="D2133" t="str">
            <v>PROFESSOR AUXILIAR</v>
          </cell>
        </row>
        <row r="2134">
          <cell r="B2134" t="str">
            <v>FLAVIA LUZ BRANDALISE</v>
          </cell>
          <cell r="D2134" t="str">
            <v>ENFERMEIRO</v>
          </cell>
        </row>
        <row r="2135">
          <cell r="B2135" t="str">
            <v>JOAO VITOR DE OLIVEIRA</v>
          </cell>
          <cell r="D2135" t="str">
            <v>TEC LABORATORIO I (C/ AD-INS)</v>
          </cell>
        </row>
        <row r="2136">
          <cell r="B2136" t="str">
            <v>GABRIELLE FELIX VERDAM DOS SANTOS</v>
          </cell>
          <cell r="D2136" t="str">
            <v>ADVOGADO PL</v>
          </cell>
        </row>
        <row r="2137">
          <cell r="B2137" t="str">
            <v>TIAGO JONATHAN DE DEUS SOUZA</v>
          </cell>
          <cell r="D2137" t="str">
            <v>ANL SISTEMAS JR</v>
          </cell>
        </row>
        <row r="2138">
          <cell r="B2138" t="str">
            <v>GABRIELLE SIKORA FERRI</v>
          </cell>
          <cell r="D2138" t="str">
            <v>TEC LABORATORIO II (S/ AD-INS)</v>
          </cell>
        </row>
        <row r="2139">
          <cell r="B2139" t="str">
            <v>EDSON GABRIEL JARDIM DO LIVRAMENTO</v>
          </cell>
          <cell r="D2139" t="str">
            <v>ESTAGIARIO</v>
          </cell>
        </row>
        <row r="2140">
          <cell r="B2140" t="str">
            <v>PATRICIA CEMIN</v>
          </cell>
          <cell r="D2140" t="str">
            <v>ANL TECNOLOGIA INFORMACAO PL</v>
          </cell>
        </row>
        <row r="2141">
          <cell r="B2141" t="str">
            <v>FELIPE DE OLIVEIRA SOUZA</v>
          </cell>
          <cell r="D2141" t="str">
            <v>PROFESSOR AUXILIAR</v>
          </cell>
        </row>
        <row r="2142">
          <cell r="B2142" t="str">
            <v>CAROLINA VILLA BARBIERI</v>
          </cell>
          <cell r="D2142" t="str">
            <v>ESTAGIARIO</v>
          </cell>
        </row>
        <row r="2143">
          <cell r="B2143" t="str">
            <v>BRUNO ROCCO</v>
          </cell>
          <cell r="D2143" t="str">
            <v>INSTRUTOR</v>
          </cell>
        </row>
        <row r="2144">
          <cell r="B2144" t="str">
            <v>LUAN CARDOSO DE AMORIM</v>
          </cell>
          <cell r="D2144" t="str">
            <v>ANL SISTEMAS PL</v>
          </cell>
        </row>
        <row r="2145">
          <cell r="B2145" t="str">
            <v>ANDREY BERNARDO LOPES GREGO</v>
          </cell>
          <cell r="D2145" t="str">
            <v>MEDICO PRECEPTOR</v>
          </cell>
        </row>
        <row r="2146">
          <cell r="B2146" t="str">
            <v>ANCELMO MAIA</v>
          </cell>
          <cell r="D2146" t="str">
            <v>COORD EDUCACAO CONTINUADA</v>
          </cell>
        </row>
        <row r="2147">
          <cell r="B2147" t="str">
            <v>MAYARA CRISTINE FRANCENER</v>
          </cell>
          <cell r="D2147" t="str">
            <v>ANL ADMINISTRATIVO PL</v>
          </cell>
        </row>
        <row r="2148">
          <cell r="B2148" t="str">
            <v>RENATA BATISTA AMORIM</v>
          </cell>
          <cell r="D2148" t="str">
            <v>ANL ATENDIMENTO JR</v>
          </cell>
        </row>
        <row r="2149">
          <cell r="B2149" t="str">
            <v>MATHEUS LESSA DO NASCIMENTO</v>
          </cell>
          <cell r="D2149" t="str">
            <v>ANL SISTEMAS JR</v>
          </cell>
        </row>
        <row r="2150">
          <cell r="B2150" t="str">
            <v>FRANCESCA DE FÁTIMA PALHANO GOES DEMBINSKI</v>
          </cell>
          <cell r="D2150" t="str">
            <v>COORD NEGOCIOS</v>
          </cell>
        </row>
        <row r="2151">
          <cell r="B2151" t="str">
            <v>EGON HENRIQUE DA SILVA LIMA</v>
          </cell>
          <cell r="D2151" t="str">
            <v>JARDINEIRO</v>
          </cell>
        </row>
        <row r="2152">
          <cell r="B2152" t="str">
            <v>CAMILA MENGARDA ACORDI</v>
          </cell>
          <cell r="D2152" t="str">
            <v>ANL COMUNICACAO JR</v>
          </cell>
        </row>
        <row r="2153">
          <cell r="B2153" t="str">
            <v>HARRISON HERTZEL</v>
          </cell>
          <cell r="D2153" t="str">
            <v>AST ATENDIMENTO</v>
          </cell>
        </row>
        <row r="2154">
          <cell r="B2154" t="str">
            <v>LUCAS MACHADO PANISSON</v>
          </cell>
          <cell r="D2154" t="str">
            <v>TEC AUDIO VISUAL II</v>
          </cell>
        </row>
        <row r="2155">
          <cell r="B2155" t="str">
            <v>EVANDRO DAUDT DA COSTA</v>
          </cell>
          <cell r="D2155" t="str">
            <v>SPV JARDINAGEM</v>
          </cell>
        </row>
        <row r="2156">
          <cell r="B2156" t="str">
            <v>THALITA APOLIDORO DA SILVA</v>
          </cell>
          <cell r="D2156" t="str">
            <v>ANL OPERACOES ACADEMICAS PL</v>
          </cell>
        </row>
        <row r="2157">
          <cell r="B2157" t="str">
            <v>OSVALDO BRUNO MECA SANTOS DA SILVA</v>
          </cell>
          <cell r="D2157" t="str">
            <v>ANL PASTORAL SR</v>
          </cell>
        </row>
        <row r="2158">
          <cell r="B2158" t="str">
            <v>LUIZA FONSECA PEDRALLI</v>
          </cell>
          <cell r="D2158" t="str">
            <v>ANL TRANSFORMACAO PROCESSOS JR</v>
          </cell>
        </row>
        <row r="2159">
          <cell r="B2159" t="str">
            <v>PATRICIA VAIS</v>
          </cell>
          <cell r="D2159" t="str">
            <v>TEC AUDIO VISUAL II</v>
          </cell>
        </row>
        <row r="2160">
          <cell r="B2160" t="str">
            <v>CIBELE BASTOS PINTO</v>
          </cell>
          <cell r="D2160" t="str">
            <v>REVISOR TEXTO JR</v>
          </cell>
        </row>
        <row r="2161">
          <cell r="B2161" t="str">
            <v>RENATO FERREIRA GODINHO</v>
          </cell>
          <cell r="D2161" t="str">
            <v>ANL SISTEMAS JR</v>
          </cell>
        </row>
        <row r="2162">
          <cell r="B2162" t="str">
            <v>CLOVIS VIEIRA PATEZ</v>
          </cell>
          <cell r="D2162" t="str">
            <v>MONITOR EAD</v>
          </cell>
        </row>
        <row r="2163">
          <cell r="B2163" t="str">
            <v>THEYLONN MICAEL BATISTA</v>
          </cell>
          <cell r="D2163" t="str">
            <v>ANL PRODUCAO VIDEOS PL</v>
          </cell>
        </row>
        <row r="2164">
          <cell r="B2164" t="str">
            <v>TAILA QUEZIA LEAL FRANCA DA SILVA</v>
          </cell>
          <cell r="D2164" t="str">
            <v>ANL EDUCACIONAL JR</v>
          </cell>
        </row>
        <row r="2165">
          <cell r="B2165" t="str">
            <v>JHARADHY GABRIELLE CAETANO DE MORAES</v>
          </cell>
          <cell r="D2165" t="str">
            <v>ENFERMEIRO JR CENTRAL MATERIAIS EST</v>
          </cell>
        </row>
        <row r="2166">
          <cell r="B2166" t="str">
            <v>NICOLE DIAS EISFELD</v>
          </cell>
          <cell r="D2166" t="str">
            <v>OPERADOR TELEATENDIMENTO</v>
          </cell>
        </row>
        <row r="2167">
          <cell r="B2167" t="str">
            <v>EMILI EDUARDA DE MATTOS</v>
          </cell>
          <cell r="D2167" t="str">
            <v>ESP INTELIGENCIA MERCADO</v>
          </cell>
        </row>
        <row r="2168">
          <cell r="B2168" t="str">
            <v>EVELIN MONIQUE FERREIRA DA SILVA</v>
          </cell>
          <cell r="D2168" t="str">
            <v>AST ATENDIMENTO</v>
          </cell>
        </row>
        <row r="2169">
          <cell r="B2169" t="str">
            <v>AUGUSTO FOSS SILVA</v>
          </cell>
          <cell r="D2169" t="str">
            <v>DESENVOLVEDOR FULL STACK PL</v>
          </cell>
        </row>
        <row r="2170">
          <cell r="B2170" t="str">
            <v>DIEGO BARBOZA PIRES</v>
          </cell>
          <cell r="D2170" t="str">
            <v>DESENVOLVEDOR FULL STACK SR</v>
          </cell>
        </row>
        <row r="2171">
          <cell r="B2171" t="str">
            <v>YASMIN CRISTINA OTTO DOS SANTOS</v>
          </cell>
          <cell r="D2171" t="str">
            <v>TEC LABORATORIO II (C/ AD-INS)</v>
          </cell>
        </row>
        <row r="2172">
          <cell r="B2172" t="str">
            <v>MANUELA RIBAS DE BARROS</v>
          </cell>
          <cell r="D2172" t="str">
            <v>AST ATENDIMENTO</v>
          </cell>
        </row>
        <row r="2173">
          <cell r="B2173" t="str">
            <v>LEONARDO SILVA DE LIMA</v>
          </cell>
          <cell r="D2173" t="str">
            <v>DESENVOLVEDOR FULL STACK PL</v>
          </cell>
        </row>
        <row r="2174">
          <cell r="B2174" t="str">
            <v>JANAINA CRISTINA DE OLIVEIRA</v>
          </cell>
          <cell r="D2174" t="str">
            <v>AST ATENDIMENTO</v>
          </cell>
        </row>
        <row r="2175">
          <cell r="B2175" t="str">
            <v>CRISTIANE DAOBROSKI</v>
          </cell>
          <cell r="D2175" t="str">
            <v>ANL ADMINISTRATIVO PL</v>
          </cell>
        </row>
        <row r="2176">
          <cell r="B2176" t="str">
            <v>PRISCILA SOPCHAKI</v>
          </cell>
          <cell r="D2176" t="str">
            <v>CONSULTOR INTELIGENCIA DADOS</v>
          </cell>
        </row>
        <row r="2177">
          <cell r="B2177" t="str">
            <v>FRANCISCO CARLOS DE SOUSA</v>
          </cell>
          <cell r="D2177" t="str">
            <v>ANL TECNOLOGIA EDUCACIONAL JR</v>
          </cell>
        </row>
        <row r="2178">
          <cell r="B2178" t="str">
            <v>INGRID MARANHAO TIAGO</v>
          </cell>
          <cell r="D2178" t="str">
            <v>ARQUITETO JR</v>
          </cell>
        </row>
        <row r="2179">
          <cell r="B2179" t="str">
            <v>DENISE CRISTINA CAMARGO</v>
          </cell>
          <cell r="D2179" t="str">
            <v>ANL MARKETING SR</v>
          </cell>
        </row>
        <row r="2180">
          <cell r="B2180" t="str">
            <v>LIA MAIRA MIKOLLAIOW FLAUZINO</v>
          </cell>
          <cell r="D2180" t="str">
            <v>COORD MARKETING</v>
          </cell>
        </row>
        <row r="2181">
          <cell r="B2181" t="str">
            <v>MATHEUS BELMIRO TEIXEIRA</v>
          </cell>
          <cell r="D2181" t="str">
            <v>ENGENHEIRO CIVIL PL</v>
          </cell>
        </row>
        <row r="2182">
          <cell r="B2182" t="str">
            <v>EDUARDA CATARINA SKIBINSKI</v>
          </cell>
          <cell r="D2182" t="str">
            <v>ANL MARKETING SR</v>
          </cell>
        </row>
        <row r="2183">
          <cell r="B2183" t="str">
            <v>FERNANDA GOMES BOSSONE</v>
          </cell>
          <cell r="D2183" t="str">
            <v>TEC ENFERMAGEM</v>
          </cell>
        </row>
        <row r="2184">
          <cell r="B2184" t="str">
            <v>RUBIA RAMOS PAULA</v>
          </cell>
          <cell r="D2184" t="str">
            <v>APRENDIZ</v>
          </cell>
        </row>
        <row r="2185">
          <cell r="B2185" t="str">
            <v>LEANDRA MARA MATTEI LOPES</v>
          </cell>
          <cell r="D2185" t="str">
            <v>ANL FATURAMENTO SR</v>
          </cell>
        </row>
        <row r="2186">
          <cell r="B2186" t="str">
            <v>ALEXANDRE ROSOT ANTUNES</v>
          </cell>
          <cell r="D2186" t="str">
            <v>ESP DESENV PRODUTOS DIGITAIS</v>
          </cell>
        </row>
        <row r="2187">
          <cell r="B2187" t="str">
            <v>SERGIO HENRIQUE KNAPIK</v>
          </cell>
          <cell r="D2187" t="str">
            <v>COORD INTELIGENCIA NEGOCIOS</v>
          </cell>
        </row>
        <row r="2188">
          <cell r="B2188" t="str">
            <v>DANIELE FERREIRA LIMA MULLER</v>
          </cell>
          <cell r="D2188" t="str">
            <v>COORD GESTAO DOCUMENTAL</v>
          </cell>
        </row>
        <row r="2189">
          <cell r="B2189" t="str">
            <v>JOELSON BARBOSA FERREIRA</v>
          </cell>
          <cell r="D2189" t="str">
            <v>ANL SISTEMAS JR</v>
          </cell>
        </row>
        <row r="2190">
          <cell r="B2190" t="str">
            <v>ANA PAULA CEZARINO ALVES</v>
          </cell>
          <cell r="D2190" t="str">
            <v>AST MARKETING</v>
          </cell>
        </row>
        <row r="2191">
          <cell r="B2191" t="str">
            <v>BRENDA GROSS DA SILVA</v>
          </cell>
          <cell r="D2191" t="str">
            <v>ANL PROJETOS PESQUISAS JR</v>
          </cell>
        </row>
        <row r="2192">
          <cell r="B2192" t="str">
            <v>DIRCE PEREIRA DIAS</v>
          </cell>
          <cell r="D2192" t="str">
            <v>AST ATENDIMENTO</v>
          </cell>
        </row>
        <row r="2193">
          <cell r="B2193" t="str">
            <v>JOAO GUILHERME PEDROSO FRANKL</v>
          </cell>
          <cell r="D2193" t="str">
            <v>ANL TECNOLOGIA INFORMACAO JR</v>
          </cell>
        </row>
        <row r="2194">
          <cell r="B2194" t="str">
            <v>EDUARDO AUGUSTO DA SILVA CARVALHO</v>
          </cell>
          <cell r="D2194" t="str">
            <v>DESENVOLVEDOR FULL STACK PL</v>
          </cell>
        </row>
        <row r="2195">
          <cell r="B2195" t="str">
            <v>FERNANDA VANOLLI SCHULTE</v>
          </cell>
          <cell r="D2195" t="str">
            <v>COORD PLANEJAMENTO ESTRATEGICO</v>
          </cell>
        </row>
        <row r="2196">
          <cell r="B2196" t="str">
            <v>MARCOS VINICIUS BRENNER</v>
          </cell>
          <cell r="D2196" t="str">
            <v>ANL MARKETING SR</v>
          </cell>
        </row>
        <row r="2197">
          <cell r="B2197" t="str">
            <v>GRACIELE DE SOUZA CIT LUCAS</v>
          </cell>
          <cell r="D2197" t="str">
            <v>ANL ADMINISTRATIVO JR</v>
          </cell>
        </row>
        <row r="2198">
          <cell r="B2198" t="str">
            <v>HENRIQUE RESENDE SPECIAN</v>
          </cell>
          <cell r="D2198" t="str">
            <v>ANL SISTEMAS JR</v>
          </cell>
        </row>
        <row r="2199">
          <cell r="B2199" t="str">
            <v>MARCELO RODRIGO DE ANDRADE</v>
          </cell>
          <cell r="D2199" t="str">
            <v>ANL ADMINISTRATIVO JR</v>
          </cell>
        </row>
        <row r="2200">
          <cell r="B2200" t="str">
            <v>KAMILLY KOZLIK DE ALMEIDA</v>
          </cell>
          <cell r="D2200" t="str">
            <v>ENFERMEIRO LIDER</v>
          </cell>
        </row>
        <row r="2201">
          <cell r="B2201" t="str">
            <v>EDSON JOSE DA SILVA ROCHA FILHO</v>
          </cell>
          <cell r="D2201" t="str">
            <v>ANL INTELIGENCIA DADOS JR</v>
          </cell>
        </row>
        <row r="2202">
          <cell r="B2202" t="str">
            <v>FERNANDA NUNES DE JESUS BARBOSA KOPEC</v>
          </cell>
          <cell r="D2202" t="str">
            <v>ANL ADMINISTRATIVO JR</v>
          </cell>
        </row>
        <row r="2203">
          <cell r="B2203" t="str">
            <v>VICTOR HENRIQUE ALVES RIBEIRO</v>
          </cell>
          <cell r="D2203" t="str">
            <v>PROFESSOR ADJUNTO</v>
          </cell>
        </row>
        <row r="2204">
          <cell r="B2204" t="str">
            <v>RAYSON BARTOSKI LAROCA DOS SANTOS</v>
          </cell>
          <cell r="D2204" t="str">
            <v>PROFESSOR ADJUNTO</v>
          </cell>
        </row>
        <row r="2205">
          <cell r="B2205" t="str">
            <v>IVILYN WEIGERT</v>
          </cell>
          <cell r="D2205" t="str">
            <v>PROFESSOR AUXILIAR</v>
          </cell>
        </row>
        <row r="2206">
          <cell r="B2206" t="str">
            <v>FRANCIS FREGONESI BRINHOLI</v>
          </cell>
          <cell r="D2206" t="str">
            <v>PROFESSOR AUXILIAR</v>
          </cell>
        </row>
        <row r="2207">
          <cell r="B2207" t="str">
            <v>HUGO LEONARDO MARTINS CORREA</v>
          </cell>
          <cell r="D2207" t="str">
            <v>PROFESSOR AUXILIAR</v>
          </cell>
        </row>
        <row r="2208">
          <cell r="B2208" t="str">
            <v>CRISTIANE SENN</v>
          </cell>
          <cell r="D2208" t="str">
            <v>PROFESSOR AUXILIAR</v>
          </cell>
        </row>
        <row r="2209">
          <cell r="B2209" t="str">
            <v>GREGORI DE SOUZA</v>
          </cell>
          <cell r="D2209" t="str">
            <v>PROFESSOR TUTOR ONLINE I</v>
          </cell>
        </row>
        <row r="2210">
          <cell r="B2210" t="str">
            <v>DAILSON REGIS PRATI</v>
          </cell>
          <cell r="D2210" t="str">
            <v>PROFESSOR AUXILIAR</v>
          </cell>
        </row>
        <row r="2211">
          <cell r="B2211" t="str">
            <v>DANIELLA MAITO</v>
          </cell>
          <cell r="D2211" t="str">
            <v>PROFESSOR AUXILIAR</v>
          </cell>
        </row>
        <row r="2212">
          <cell r="B2212" t="str">
            <v>CYNTHIA GRUENDLING JURUENA</v>
          </cell>
          <cell r="D2212" t="str">
            <v>PROFESSOR AUXILIAR</v>
          </cell>
        </row>
        <row r="2213">
          <cell r="B2213" t="str">
            <v>JULIANA LIMA LICONTI</v>
          </cell>
          <cell r="D2213" t="str">
            <v>PROFESSOR AUXILIAR</v>
          </cell>
        </row>
        <row r="2214">
          <cell r="B2214" t="str">
            <v>HALINA MACEDO LEAL</v>
          </cell>
          <cell r="D2214" t="str">
            <v>PROFESSOR ADJUNTO</v>
          </cell>
        </row>
        <row r="2215">
          <cell r="B2215" t="str">
            <v>EMMANUEL SOUZA DA ROCHA</v>
          </cell>
          <cell r="D2215" t="str">
            <v>PROFESSOR ADJUNTO</v>
          </cell>
        </row>
        <row r="2216">
          <cell r="B2216" t="str">
            <v>RICARDO MASSAO KAGAMI ZANOTTO</v>
          </cell>
          <cell r="D2216" t="str">
            <v>PROFESSOR TUTOR ONLINE I</v>
          </cell>
        </row>
        <row r="2217">
          <cell r="B2217" t="str">
            <v>THATYANNE GRADOWSKI FARIAS DA COSTA DO NASCIMENTO</v>
          </cell>
          <cell r="D2217" t="str">
            <v>PROFESSOR AUXILIAR</v>
          </cell>
        </row>
        <row r="2218">
          <cell r="B2218" t="str">
            <v>DENISE SILVEIRA BARBOSA</v>
          </cell>
          <cell r="D2218" t="str">
            <v>PROFESSOR AUXILIAR</v>
          </cell>
        </row>
        <row r="2219">
          <cell r="B2219" t="str">
            <v>ROBERTH MINIGUINE TAVANTI</v>
          </cell>
          <cell r="D2219" t="str">
            <v>PROFESSOR AUXILIAR</v>
          </cell>
        </row>
        <row r="2220">
          <cell r="B2220" t="str">
            <v>PATRICIA RUCKER DE BASSI</v>
          </cell>
          <cell r="D2220" t="str">
            <v>PROFESSOR AUXILIAR</v>
          </cell>
        </row>
        <row r="2221">
          <cell r="B2221" t="str">
            <v>MARCOS TEIXEIRA DE SOUZA</v>
          </cell>
          <cell r="D2221" t="str">
            <v>PROFESSOR TUTOR ONLINE I</v>
          </cell>
        </row>
        <row r="2222">
          <cell r="B2222" t="str">
            <v>DEBORA ALVERNAZ CORREA</v>
          </cell>
          <cell r="D2222" t="str">
            <v>PROFESSOR TUTOR ONLINE I</v>
          </cell>
        </row>
        <row r="2223">
          <cell r="B2223" t="str">
            <v>MARCO AURELIO CRUCIOL RODRIGUES</v>
          </cell>
          <cell r="D2223" t="str">
            <v>PROFESSOR AUXILIAR</v>
          </cell>
        </row>
        <row r="2224">
          <cell r="B2224" t="str">
            <v>LUIZ EDUARDO DE PAULA</v>
          </cell>
          <cell r="D2224" t="str">
            <v>PROFESSOR AUXILIAR</v>
          </cell>
        </row>
        <row r="2225">
          <cell r="B2225" t="str">
            <v>PAULO CESAR BUSATO</v>
          </cell>
          <cell r="D2225" t="str">
            <v>PROFESSOR AUXILIAR</v>
          </cell>
        </row>
        <row r="2226">
          <cell r="B2226" t="str">
            <v>HENRIQUE FURLAN PAUNA</v>
          </cell>
          <cell r="D2226" t="str">
            <v>PROFESSOR AUXILIAR</v>
          </cell>
        </row>
        <row r="2227">
          <cell r="B2227" t="str">
            <v>VALDECIR MANAIA FILHO</v>
          </cell>
          <cell r="D2227" t="str">
            <v>PSICOLOGO PL</v>
          </cell>
        </row>
        <row r="2228">
          <cell r="B2228" t="str">
            <v>FABIANA DOS SANTOS MONTI</v>
          </cell>
          <cell r="D2228" t="str">
            <v>PROFESSOR AUXILIAR</v>
          </cell>
        </row>
        <row r="2229">
          <cell r="B2229" t="str">
            <v>GUSTAVO SILVA OLIVEIRA</v>
          </cell>
          <cell r="D2229" t="str">
            <v>PROFESSOR TUTOR ONLINE I</v>
          </cell>
        </row>
        <row r="2230">
          <cell r="B2230" t="str">
            <v>EDISOM PAULA BRUM</v>
          </cell>
          <cell r="D2230" t="str">
            <v>PROFESSOR AUXILIAR</v>
          </cell>
        </row>
        <row r="2231">
          <cell r="B2231" t="str">
            <v>CAMILLA SOTO NATER</v>
          </cell>
          <cell r="D2231" t="str">
            <v>PROFESSOR LINGUA ESTRANGEIRA</v>
          </cell>
        </row>
        <row r="2232">
          <cell r="B2232" t="str">
            <v>CAROLINE DE PAULA VENEZIAN RICCETTO</v>
          </cell>
          <cell r="D2232" t="str">
            <v>PROFESSOR AUXILIAR</v>
          </cell>
        </row>
        <row r="2233">
          <cell r="B2233" t="str">
            <v>MAYCON RENAN DA SILVA SANTOS BONI</v>
          </cell>
          <cell r="D2233" t="str">
            <v>PROFESSOR AUXILIAR</v>
          </cell>
        </row>
        <row r="2234">
          <cell r="B2234" t="str">
            <v>DANIELLE DENES DOS SANTOS</v>
          </cell>
          <cell r="D2234" t="str">
            <v>COORD CURSO</v>
          </cell>
        </row>
        <row r="2235">
          <cell r="B2235" t="str">
            <v>LORENE THALIA PONTES</v>
          </cell>
          <cell r="D2235" t="str">
            <v>PROFESSOR AUXILIAR</v>
          </cell>
        </row>
        <row r="2236">
          <cell r="B2236" t="str">
            <v>ABIMAEL ALVES DE OLIVEIRA JUNIOR</v>
          </cell>
          <cell r="D2236" t="str">
            <v>PROFESSOR AUXILIAR</v>
          </cell>
        </row>
        <row r="2237">
          <cell r="B2237" t="str">
            <v>LUDMILA ANDRZEJEWSKI CULPI</v>
          </cell>
          <cell r="D2237" t="str">
            <v>PROFESSOR AUXILIAR</v>
          </cell>
        </row>
        <row r="2238">
          <cell r="B2238" t="str">
            <v>NEWTON CARVALHAL SANTOS JUNIOR</v>
          </cell>
          <cell r="D2238" t="str">
            <v>PROFESSOR AUXILIAR</v>
          </cell>
        </row>
        <row r="2239">
          <cell r="B2239" t="str">
            <v>BRUNO BERTOLI ESMANHOTTO</v>
          </cell>
          <cell r="D2239" t="str">
            <v>PROFESSOR AUXILIAR</v>
          </cell>
        </row>
        <row r="2240">
          <cell r="B2240" t="str">
            <v>LETICIA PASCELLI SANT ANA SANTOS</v>
          </cell>
          <cell r="D2240" t="str">
            <v>PROFESSOR AUXILIAR</v>
          </cell>
        </row>
        <row r="2241">
          <cell r="B2241" t="str">
            <v>LILIAN PAMELA TAPIA CARRENO DORNBUSCH</v>
          </cell>
          <cell r="D2241" t="str">
            <v>PROFESSOR AUXILIAR</v>
          </cell>
        </row>
        <row r="2242">
          <cell r="B2242" t="str">
            <v>LUKA DAVID LECHINEWSKI</v>
          </cell>
          <cell r="D2242" t="str">
            <v>PROFESSOR AUXILIAR</v>
          </cell>
        </row>
        <row r="2243">
          <cell r="B2243" t="str">
            <v>ADRIANA ROSA DE CAMPOS</v>
          </cell>
          <cell r="D2243" t="str">
            <v>ANL RELACIONAMENTO JR</v>
          </cell>
        </row>
        <row r="2244">
          <cell r="B2244" t="str">
            <v>DEBORAH AMANDA ECKERMANN</v>
          </cell>
          <cell r="D2244" t="str">
            <v>TEC LABORATORIO II (C/ AD-INS)</v>
          </cell>
        </row>
        <row r="2245">
          <cell r="B2245" t="str">
            <v>JULIO CESAR SAROTTO</v>
          </cell>
          <cell r="D2245" t="str">
            <v>TEC LABORATORIO I (C/ AD-INS)</v>
          </cell>
        </row>
        <row r="2246">
          <cell r="B2246" t="str">
            <v>ARAMIS HORNUNG MORAES</v>
          </cell>
          <cell r="D2246" t="str">
            <v>PROFESSOR AUXILIAR</v>
          </cell>
        </row>
        <row r="2247">
          <cell r="B2247" t="str">
            <v>DENISE CAMILIOS COSSIOLO</v>
          </cell>
          <cell r="D2247" t="str">
            <v>MEDICO PRECEPTOR</v>
          </cell>
        </row>
        <row r="2248">
          <cell r="B2248" t="str">
            <v>THIAGO KRUGEL</v>
          </cell>
          <cell r="D2248" t="str">
            <v>ANL INTELIGENCIA DADOS JR</v>
          </cell>
        </row>
        <row r="2249">
          <cell r="B2249" t="str">
            <v>DANIELE MARTINS DE OLIVEIRA</v>
          </cell>
          <cell r="D2249" t="str">
            <v>ANL FINANCEIRO SR</v>
          </cell>
        </row>
        <row r="2250">
          <cell r="B2250" t="str">
            <v>LUCAS KREUTZER DE JESUS</v>
          </cell>
          <cell r="D2250" t="str">
            <v>ANL INTELIGENCIA DADOS JR</v>
          </cell>
        </row>
        <row r="2251">
          <cell r="B2251" t="str">
            <v>RAFAEL SCHMITZ HERDT</v>
          </cell>
          <cell r="D2251" t="str">
            <v>ANL INTELIGENCIA DADOS JR</v>
          </cell>
        </row>
        <row r="2252">
          <cell r="B2252" t="str">
            <v>THAYNA APARECIDA DOS ANJOS</v>
          </cell>
          <cell r="D2252" t="str">
            <v>AST ATENDIMENTO</v>
          </cell>
        </row>
        <row r="2253">
          <cell r="B2253" t="str">
            <v>CESAR CUNHA ZIOBRO</v>
          </cell>
          <cell r="D2253" t="str">
            <v>ANL DESENVOLVIMENTO RPA JR</v>
          </cell>
        </row>
        <row r="2254">
          <cell r="B2254" t="str">
            <v>MARIANA LOPES DA SILVA</v>
          </cell>
          <cell r="D2254" t="str">
            <v>AST ATENDIMENTO</v>
          </cell>
        </row>
        <row r="2255">
          <cell r="B2255" t="str">
            <v>LEONARDO CAMPOS TEIXEIRA</v>
          </cell>
          <cell r="D2255" t="str">
            <v>PROFESSOR AUXILIAR</v>
          </cell>
        </row>
        <row r="2256">
          <cell r="B2256" t="str">
            <v>GUSTAVO ALIANO GAMBARO</v>
          </cell>
          <cell r="D2256" t="str">
            <v>MEDICO PRECEPTOR</v>
          </cell>
        </row>
        <row r="2257">
          <cell r="B2257" t="str">
            <v>RODRIGO LUIS VOGT</v>
          </cell>
          <cell r="D2257" t="str">
            <v>PROFESSOR AUXILIAR</v>
          </cell>
        </row>
        <row r="2258">
          <cell r="B2258" t="str">
            <v>CESAR AUGUSTO KUZMA</v>
          </cell>
          <cell r="D2258" t="str">
            <v>PROFESSOR ADJUNTO</v>
          </cell>
        </row>
        <row r="2259">
          <cell r="B2259" t="str">
            <v>GABRIEL URBANO KURTEM</v>
          </cell>
          <cell r="D2259" t="str">
            <v>AST LOGISTICA I</v>
          </cell>
        </row>
        <row r="2260">
          <cell r="B2260" t="str">
            <v>DEBORA ARENDARTCHUK</v>
          </cell>
          <cell r="D2260" t="str">
            <v>ANL NEGOCIOS TI SR</v>
          </cell>
        </row>
        <row r="2261">
          <cell r="B2261" t="str">
            <v>SABRINA RAMOS AIRES</v>
          </cell>
          <cell r="D2261" t="str">
            <v>ANL PROJETOS TI SR</v>
          </cell>
        </row>
        <row r="2262">
          <cell r="B2262" t="str">
            <v>SILVANE APARECIDA SANTOS PRADO</v>
          </cell>
          <cell r="D2262" t="str">
            <v>TEC LABORATORIO I (S/ AD-INS)</v>
          </cell>
        </row>
        <row r="2263">
          <cell r="B2263" t="str">
            <v>FRANCINE FABIANA OZAKI</v>
          </cell>
          <cell r="D2263" t="str">
            <v>PROFESSOR AUXILIAR</v>
          </cell>
        </row>
        <row r="2264">
          <cell r="B2264" t="str">
            <v>NICOLI HERLLAIN DE SOUZA</v>
          </cell>
          <cell r="D2264" t="str">
            <v>APRENDIZ</v>
          </cell>
        </row>
        <row r="2265">
          <cell r="B2265" t="str">
            <v>CRISTIAN MOTA JARDIM</v>
          </cell>
          <cell r="D2265" t="str">
            <v>APRENDIZ</v>
          </cell>
        </row>
        <row r="2266">
          <cell r="B2266" t="str">
            <v>ELIANE CRISTINA PERRY</v>
          </cell>
          <cell r="D2266" t="str">
            <v>PROFESSOR LINGUA ESTRANGEIRA</v>
          </cell>
        </row>
        <row r="2267">
          <cell r="B2267" t="str">
            <v>HENRIQUE HASSE WEBER</v>
          </cell>
          <cell r="D2267" t="str">
            <v>ANL PROJETOS SR</v>
          </cell>
        </row>
        <row r="2268">
          <cell r="B2268" t="str">
            <v>FRANCIELY ALVES LIMA DELFINO</v>
          </cell>
          <cell r="D2268" t="str">
            <v>ANL FATURAMENTO JR</v>
          </cell>
        </row>
        <row r="2269">
          <cell r="B2269" t="str">
            <v>ELISANGELA PACHECO</v>
          </cell>
          <cell r="D2269" t="str">
            <v>ANL ADMINISTRATIVO JR</v>
          </cell>
        </row>
        <row r="2270">
          <cell r="B2270" t="str">
            <v>INDAIANA APARECIDA DE ALMEIDA</v>
          </cell>
          <cell r="D2270" t="str">
            <v>ANL EDUCACIONAL PL</v>
          </cell>
        </row>
        <row r="2271">
          <cell r="B2271" t="str">
            <v>ALEX FARIAS DA ROCHA</v>
          </cell>
          <cell r="D2271" t="str">
            <v>AUX AGROPECUARIA</v>
          </cell>
        </row>
        <row r="2272">
          <cell r="B2272" t="str">
            <v>BRUNO HENRIQUE FOGGIATTO</v>
          </cell>
          <cell r="D2272" t="str">
            <v>ANL TECNOLOGIA INFORMACAO JR</v>
          </cell>
        </row>
        <row r="2273">
          <cell r="B2273" t="str">
            <v>CARLOS EDUARDO DE CASTRO LEJANOWSKI</v>
          </cell>
          <cell r="D2273" t="str">
            <v>ANL ADMINISTRATIVO JR</v>
          </cell>
        </row>
        <row r="2274">
          <cell r="B2274" t="str">
            <v>ADILSON ANTONIO PADILHA</v>
          </cell>
          <cell r="D2274" t="str">
            <v>TEC LABORATORIO II (S/ AD-INS)</v>
          </cell>
        </row>
        <row r="2275">
          <cell r="B2275" t="str">
            <v>GEAN HENRIQUE FLORA BARBOZA</v>
          </cell>
          <cell r="D2275" t="str">
            <v>AST ATENDIMENTO</v>
          </cell>
        </row>
        <row r="2276">
          <cell r="B2276" t="str">
            <v>CHARLES JUAN DA SILVA MENDES</v>
          </cell>
          <cell r="D2276" t="str">
            <v>DESENVOLVEDOR FULL STACK SR</v>
          </cell>
        </row>
        <row r="2277">
          <cell r="B2277" t="str">
            <v>ROBERTA MORITZ MOREIRA</v>
          </cell>
          <cell r="D2277" t="str">
            <v>BIBLIOTECARIO JR</v>
          </cell>
        </row>
        <row r="2278">
          <cell r="B2278" t="str">
            <v>ISABELLA CANTELLI DE ANDRADE</v>
          </cell>
          <cell r="D2278" t="str">
            <v>ANL PROJETOS E MELHORIA CONTINUA PL</v>
          </cell>
        </row>
        <row r="2279">
          <cell r="B2279" t="str">
            <v>GABRIELA CASTRO DO NASCIMENTO</v>
          </cell>
          <cell r="D2279" t="str">
            <v>AST ATENDIMENTO</v>
          </cell>
        </row>
        <row r="2280">
          <cell r="B2280" t="str">
            <v>AMANDA MARCELINO SILVEIRA</v>
          </cell>
          <cell r="D2280" t="str">
            <v>ANL TECNICO JR</v>
          </cell>
        </row>
        <row r="2281">
          <cell r="B2281" t="str">
            <v>RAQUEL DE JESUS PINHEIRO</v>
          </cell>
          <cell r="D2281" t="str">
            <v>ESP SOLUCOES TI</v>
          </cell>
        </row>
        <row r="2282">
          <cell r="B2282" t="str">
            <v>GUSTAVO CANDIDO DE JESUS PARIS</v>
          </cell>
          <cell r="D2282" t="str">
            <v>ANL PROJETOS CULTURA E ESPORTES PL</v>
          </cell>
        </row>
        <row r="2283">
          <cell r="B2283" t="str">
            <v>LUISA TELES WAGNER</v>
          </cell>
          <cell r="D2283" t="str">
            <v>ANL PROJETOS CULTURA E ESPORTES PL</v>
          </cell>
        </row>
        <row r="2284">
          <cell r="B2284" t="str">
            <v>LUIZA BONET DATTOLA</v>
          </cell>
          <cell r="D2284" t="str">
            <v>ANL ADMINISTRATIVO PL</v>
          </cell>
        </row>
        <row r="2285">
          <cell r="B2285" t="str">
            <v>MARCIO ANDRE FONSECA</v>
          </cell>
          <cell r="D2285" t="str">
            <v>ANL PROJETOS CULTURA E ESPORTES JR</v>
          </cell>
        </row>
        <row r="2286">
          <cell r="B2286" t="str">
            <v>VITORIA CRISTINA D AMBROZIO</v>
          </cell>
          <cell r="D2286" t="str">
            <v>AST ATENDIMENTO</v>
          </cell>
        </row>
        <row r="2287">
          <cell r="B2287" t="str">
            <v>CARLA PUPO DUARTE DA SILVA</v>
          </cell>
          <cell r="D2287" t="str">
            <v>TEC EDIFICACOES II</v>
          </cell>
        </row>
        <row r="2288">
          <cell r="B2288" t="str">
            <v>ANNA CATARINA GATZK DE ARRUDA</v>
          </cell>
          <cell r="D2288" t="str">
            <v>PROFESSOR AUXILIAR</v>
          </cell>
        </row>
        <row r="2289">
          <cell r="B2289" t="str">
            <v>ANA JULIA ROSA SILVA</v>
          </cell>
          <cell r="D2289" t="str">
            <v>ESTAGIARIO</v>
          </cell>
        </row>
        <row r="2290">
          <cell r="B2290" t="str">
            <v>LETICIA DE ALMEIDA BATISTA</v>
          </cell>
          <cell r="D2290" t="str">
            <v>ESTAGIARIO</v>
          </cell>
        </row>
        <row r="2291">
          <cell r="B2291" t="str">
            <v>LAIS DA SILVA DOS SANTOS</v>
          </cell>
          <cell r="D2291" t="str">
            <v>TEC ENFERMAGEM</v>
          </cell>
        </row>
        <row r="2292">
          <cell r="B2292" t="str">
            <v>GEORGIA VIEIRA BRAGA</v>
          </cell>
          <cell r="D2292" t="str">
            <v>DESIGNER PL</v>
          </cell>
        </row>
        <row r="2293">
          <cell r="B2293" t="str">
            <v>ANA LETICIA DA SILVA GUIZZI</v>
          </cell>
          <cell r="D2293" t="str">
            <v>ANL CONTRATOS PL</v>
          </cell>
        </row>
        <row r="2294">
          <cell r="B2294" t="str">
            <v>MAYARA MEIER</v>
          </cell>
          <cell r="D2294" t="str">
            <v>CONSULTOR NEGOCIOS</v>
          </cell>
        </row>
        <row r="2295">
          <cell r="B2295" t="str">
            <v>CAMILA SIQUEIRA BOMBONATO</v>
          </cell>
          <cell r="D2295" t="str">
            <v>PROFESSOR LINGUA ESTRANGEIRA</v>
          </cell>
        </row>
        <row r="2296">
          <cell r="B2296" t="str">
            <v>ALLANY VICTORIA DA SILVA LEITE</v>
          </cell>
          <cell r="D2296" t="str">
            <v>ANL RELACIONAMENTO JR</v>
          </cell>
        </row>
        <row r="2297">
          <cell r="B2297" t="str">
            <v>LARA MAOSKI LINDBECK</v>
          </cell>
          <cell r="D2297" t="str">
            <v>ANL MARKETING PL</v>
          </cell>
        </row>
        <row r="2298">
          <cell r="B2298" t="str">
            <v>FERNANDA DIAS DE MORAES</v>
          </cell>
          <cell r="D2298" t="str">
            <v>PROFESSOR AUXILIAR</v>
          </cell>
        </row>
        <row r="2299">
          <cell r="B2299" t="str">
            <v>GESIANE ANDRESSA DE OLIVEIRA</v>
          </cell>
          <cell r="D2299" t="str">
            <v>ANL FINANCEIRO SR</v>
          </cell>
        </row>
        <row r="2300">
          <cell r="B2300" t="str">
            <v>LUIS FELIPE PRIESTER</v>
          </cell>
          <cell r="D2300" t="str">
            <v>EXECUTIVO NEGOCIOS SR</v>
          </cell>
        </row>
        <row r="2301">
          <cell r="B2301" t="str">
            <v>FABRICIO GONCALVES SOARES</v>
          </cell>
          <cell r="D2301" t="str">
            <v>AST ATENDIMENTO</v>
          </cell>
        </row>
        <row r="2302">
          <cell r="B2302" t="str">
            <v>THOMAS AUGUSTO FERNANDES GUIMARAES</v>
          </cell>
          <cell r="D2302" t="str">
            <v>ANL SAUDE E BEM ESTAR SR</v>
          </cell>
        </row>
        <row r="2303">
          <cell r="B2303" t="str">
            <v>BRUNA FLORENCIA ALEJANDRA DI NUBILA</v>
          </cell>
          <cell r="D2303" t="str">
            <v>ANL FATURAMENTO JR</v>
          </cell>
        </row>
        <row r="2304">
          <cell r="B2304" t="str">
            <v>GRAZIELA CRISTHINA MAISEL</v>
          </cell>
          <cell r="D2304" t="str">
            <v>CONSULTOR NEGOCIOS</v>
          </cell>
        </row>
        <row r="2305">
          <cell r="B2305" t="str">
            <v>GUSTAVO CESCHIN SILVA DE LIZ</v>
          </cell>
          <cell r="D2305" t="str">
            <v>GTE FACILITIES</v>
          </cell>
        </row>
        <row r="2306">
          <cell r="B2306" t="str">
            <v>CRISTINA MOSOL</v>
          </cell>
          <cell r="D2306" t="str">
            <v>EDITOR ARTE PL</v>
          </cell>
        </row>
        <row r="2307">
          <cell r="B2307" t="str">
            <v>EDILSON HERNANDES LOPES</v>
          </cell>
          <cell r="D2307" t="str">
            <v>TEC LABORATORIO II (S/ AD-INS)</v>
          </cell>
        </row>
        <row r="2308">
          <cell r="B2308" t="str">
            <v>CAROLINE KLEIN BARBOSA</v>
          </cell>
          <cell r="D2308" t="str">
            <v>ANL ADMINISTRATIVO JR</v>
          </cell>
        </row>
        <row r="2309">
          <cell r="B2309" t="str">
            <v>CAIO OLIVEIRA</v>
          </cell>
          <cell r="D2309" t="str">
            <v>AST ATENDIMENTO</v>
          </cell>
        </row>
        <row r="2310">
          <cell r="B2310" t="str">
            <v>GIULIANE DA SILVA PEREIRA</v>
          </cell>
          <cell r="D2310" t="str">
            <v>ANL CONTRATOS PL</v>
          </cell>
        </row>
        <row r="2311">
          <cell r="B2311" t="str">
            <v>LUCAS BARETA RUMIA</v>
          </cell>
          <cell r="D2311" t="str">
            <v>ANL ADMINISTRATIVO JR</v>
          </cell>
        </row>
        <row r="2312">
          <cell r="B2312" t="str">
            <v>MARIAH BASSO DE LARA</v>
          </cell>
          <cell r="D2312" t="str">
            <v>MONITOR EAD</v>
          </cell>
        </row>
        <row r="2313">
          <cell r="B2313" t="str">
            <v>ANDERSON CARDOSO</v>
          </cell>
          <cell r="D2313" t="str">
            <v>ANL SISTEMAS JR</v>
          </cell>
        </row>
        <row r="2314">
          <cell r="B2314" t="str">
            <v>GABRIELA CRISTINA GANDOLFO DA SILVA</v>
          </cell>
          <cell r="D2314" t="str">
            <v>ANL PASTORAL PL</v>
          </cell>
        </row>
        <row r="2315">
          <cell r="B2315" t="str">
            <v>LUANA APARECIDA OLIVEIRA DA SILVA</v>
          </cell>
          <cell r="D2315" t="str">
            <v>COMPRADOR JR</v>
          </cell>
        </row>
        <row r="2316">
          <cell r="B2316" t="str">
            <v>VANESSA MARCELINO DOS SANTOS</v>
          </cell>
          <cell r="D2316" t="str">
            <v>AST ATENDIMENTO</v>
          </cell>
        </row>
        <row r="2317">
          <cell r="B2317" t="str">
            <v>EDUARDO PIANOVSKI NETTO</v>
          </cell>
          <cell r="D2317" t="str">
            <v>ESTAGIARIO</v>
          </cell>
        </row>
        <row r="2318">
          <cell r="B2318" t="str">
            <v>LAURA ALVES SANTOS</v>
          </cell>
          <cell r="D2318" t="str">
            <v>ANL PROCESSOS JR</v>
          </cell>
        </row>
        <row r="2319">
          <cell r="B2319" t="str">
            <v>DOUGLAS RIOS GOMES</v>
          </cell>
          <cell r="D2319" t="str">
            <v>TEC AUDIO VISUAL II</v>
          </cell>
        </row>
        <row r="2320">
          <cell r="B2320" t="str">
            <v>YVES MAGDALA MORILUS PIERRE</v>
          </cell>
          <cell r="D2320" t="str">
            <v>ANL ADMINISTRATIVO JR</v>
          </cell>
        </row>
        <row r="2321">
          <cell r="B2321" t="str">
            <v>JEFERSON ABDALA BANDEIRA DA COSTA LEITE</v>
          </cell>
          <cell r="D2321" t="str">
            <v>BIBLIOTECARIO JR</v>
          </cell>
        </row>
        <row r="2322">
          <cell r="B2322" t="str">
            <v>ANA PAULA CAROLINA DE CASTRO ROSENTHAL</v>
          </cell>
          <cell r="D2322" t="str">
            <v>ADVOGADO PL</v>
          </cell>
        </row>
        <row r="2323">
          <cell r="B2323" t="str">
            <v>ANTONIO CARLOS MERCER</v>
          </cell>
          <cell r="D2323" t="str">
            <v>PROFESSOR ADJUNTO</v>
          </cell>
        </row>
        <row r="2324">
          <cell r="B2324" t="str">
            <v>KELLEN HAUHPTNANN STAHL RODRIGUES</v>
          </cell>
          <cell r="D2324" t="str">
            <v>ANL EDUCACIONAL PL</v>
          </cell>
        </row>
        <row r="2325">
          <cell r="B2325" t="str">
            <v>MILENA DE CASSIA DE AZEVEDO</v>
          </cell>
          <cell r="D2325" t="str">
            <v>ANL ADMINISTRATIVO JR</v>
          </cell>
        </row>
        <row r="2326">
          <cell r="B2326" t="str">
            <v>LETICIA BUZZO</v>
          </cell>
          <cell r="D2326" t="str">
            <v>COORD COMERCIAL</v>
          </cell>
        </row>
        <row r="2327">
          <cell r="B2327" t="str">
            <v>GABRIELLE RIBEIRO LEITE</v>
          </cell>
          <cell r="D2327" t="str">
            <v>TEC LABORATORIO I (S/ AD-INS)</v>
          </cell>
        </row>
        <row r="2328">
          <cell r="B2328" t="str">
            <v>EDUARDO GANDIN</v>
          </cell>
          <cell r="D2328" t="str">
            <v>AST ATENDIMENTO</v>
          </cell>
        </row>
        <row r="2329">
          <cell r="B2329" t="str">
            <v>WILLIAN BATISTA SALVARIO</v>
          </cell>
          <cell r="D2329" t="str">
            <v>ESP MARKETING</v>
          </cell>
        </row>
        <row r="2330">
          <cell r="B2330" t="str">
            <v>LETICIA ACCIOLY GAVAZZONI</v>
          </cell>
          <cell r="D2330" t="str">
            <v>PROFESSOR LINGUA ESTRANGEIRA</v>
          </cell>
        </row>
        <row r="2331">
          <cell r="B2331" t="str">
            <v>EMILLY ELIADA QUEIROZ DA FONSECA</v>
          </cell>
          <cell r="D2331" t="str">
            <v>ANL BANCO DADOS JR</v>
          </cell>
        </row>
        <row r="2332">
          <cell r="B2332" t="str">
            <v>LUANI GABRIELA MICHELOTTI CESCHIM</v>
          </cell>
          <cell r="D2332" t="str">
            <v>ANL MARKETING JR</v>
          </cell>
        </row>
        <row r="2333">
          <cell r="B2333" t="str">
            <v>FABRICIA ZORTEA ANTUNES PEREIRA DA SILVA</v>
          </cell>
          <cell r="D2333" t="str">
            <v>MEDICO EXAMINADOR</v>
          </cell>
        </row>
        <row r="2334">
          <cell r="B2334" t="str">
            <v>FABIANE KAREN MIYAKE</v>
          </cell>
          <cell r="D2334" t="str">
            <v>MEDICO TRABALHO</v>
          </cell>
        </row>
        <row r="2335">
          <cell r="B2335" t="str">
            <v>ALCIONE MARTINS DA CRUZ</v>
          </cell>
          <cell r="D2335" t="str">
            <v>MOTORISTA</v>
          </cell>
        </row>
        <row r="2336">
          <cell r="B2336" t="str">
            <v>DIEGO SOUZA DA SILVA</v>
          </cell>
          <cell r="D2336" t="str">
            <v>DESIGNER SR</v>
          </cell>
        </row>
        <row r="2337">
          <cell r="B2337" t="str">
            <v>CLAUDIA REGINA MOSSMANN MARANGON</v>
          </cell>
          <cell r="D2337" t="str">
            <v>COMPRADOR JR</v>
          </cell>
        </row>
        <row r="2338">
          <cell r="B2338" t="str">
            <v>MARIANNE MARTINEZ</v>
          </cell>
          <cell r="D2338" t="str">
            <v>ANL PROJETOS PL</v>
          </cell>
        </row>
        <row r="2339">
          <cell r="B2339" t="str">
            <v>SOLANGE COELHO DE MENEZES SILVA</v>
          </cell>
          <cell r="D2339" t="str">
            <v>OPERADOR TELEATENDIMENTO</v>
          </cell>
        </row>
        <row r="2340">
          <cell r="B2340" t="str">
            <v>ROSANGELA MARIA DE OLIVEIRA</v>
          </cell>
          <cell r="D2340" t="str">
            <v>AST ATENDIMENTO</v>
          </cell>
        </row>
        <row r="2341">
          <cell r="B2341" t="str">
            <v>LETICIA RODRIGUES PEREIRA</v>
          </cell>
          <cell r="D2341" t="str">
            <v>ANL ATENDIMENTO JR</v>
          </cell>
        </row>
        <row r="2342">
          <cell r="B2342" t="str">
            <v>LUIZ HENRIQUE BAREA</v>
          </cell>
          <cell r="D2342" t="str">
            <v>AST ATENDIMENTO</v>
          </cell>
        </row>
        <row r="2343">
          <cell r="B2343" t="str">
            <v>RENAN MACANEIRO</v>
          </cell>
          <cell r="D2343" t="str">
            <v>OPERADOR TELEATENDIMENTO</v>
          </cell>
        </row>
        <row r="2344">
          <cell r="B2344" t="str">
            <v>INGRIDI FERNANDA DA GUIA SANTOS</v>
          </cell>
          <cell r="D2344" t="str">
            <v>ANL OPERACOES ACADEMICAS JR</v>
          </cell>
        </row>
        <row r="2345">
          <cell r="B2345" t="str">
            <v>BRUNA LIMA FARIAS</v>
          </cell>
          <cell r="D2345" t="str">
            <v>OPERADOR TELEATENDIMENTO</v>
          </cell>
        </row>
        <row r="2346">
          <cell r="B2346" t="str">
            <v>RENAN GUILHERME SILVA PERES</v>
          </cell>
          <cell r="D2346" t="str">
            <v>ANL PROJETOS CULTURA E ESPORTES JR</v>
          </cell>
        </row>
        <row r="2347">
          <cell r="B2347" t="str">
            <v>ANGELA MARIA BALBINO</v>
          </cell>
          <cell r="D2347" t="str">
            <v>AST BIBLIOTECA II</v>
          </cell>
        </row>
        <row r="2348">
          <cell r="B2348" t="str">
            <v>JULIANA CREMOM MENOIA</v>
          </cell>
          <cell r="D2348" t="str">
            <v>ANL COMUNICACAO E MARKETING PL</v>
          </cell>
        </row>
        <row r="2349">
          <cell r="B2349" t="str">
            <v>AMANDA CAROLINA CORDEIRO TABORDA</v>
          </cell>
          <cell r="D2349" t="str">
            <v>ANL RELACIONAMENTO PL</v>
          </cell>
        </row>
        <row r="2350">
          <cell r="B2350" t="str">
            <v>SILVIA DE POLLO LARA DE MACEDO</v>
          </cell>
          <cell r="D2350" t="str">
            <v>ANL ATENDIMENTO JR</v>
          </cell>
        </row>
        <row r="2351">
          <cell r="B2351" t="str">
            <v>SUELEN CRISTINE FERNANDES</v>
          </cell>
          <cell r="D2351" t="str">
            <v>COORD EDUCACAO CONTINUADA</v>
          </cell>
        </row>
        <row r="2352">
          <cell r="B2352" t="str">
            <v>ARIADNA PINHEIRO</v>
          </cell>
          <cell r="D2352" t="str">
            <v>ANL SUPORTE TI PL</v>
          </cell>
        </row>
        <row r="2353">
          <cell r="B2353" t="str">
            <v>MARIA BEATRIZ BORSATTO DOS REIS GOMES</v>
          </cell>
          <cell r="D2353" t="str">
            <v>ANL COMERCIAL JR</v>
          </cell>
        </row>
        <row r="2354">
          <cell r="B2354" t="str">
            <v>GUILHERME VINICIUS DO NASCIMENTO</v>
          </cell>
          <cell r="D2354" t="str">
            <v>CONSULTOR INTELIGENCIA DADOS</v>
          </cell>
        </row>
        <row r="2355">
          <cell r="B2355" t="str">
            <v>RHAONNY JOSE MENEZES SILVA</v>
          </cell>
          <cell r="D2355" t="str">
            <v>AST ATENDIMENTO</v>
          </cell>
        </row>
        <row r="2356">
          <cell r="B2356" t="str">
            <v>ADRIANA MOREIRA GUIMARAES</v>
          </cell>
          <cell r="D2356" t="str">
            <v>ANL MARKETING SR</v>
          </cell>
        </row>
        <row r="2357">
          <cell r="B2357" t="str">
            <v>LUCIA MARIA SILVA KREMER</v>
          </cell>
          <cell r="D2357" t="str">
            <v>PROFESSOR LINGUA ESTRANGEIRA</v>
          </cell>
        </row>
        <row r="2358">
          <cell r="B2358" t="str">
            <v>GABRIELA BELO DE CAMPOS</v>
          </cell>
          <cell r="D2358" t="str">
            <v>ENFERMEIRO</v>
          </cell>
        </row>
        <row r="2359">
          <cell r="B2359" t="str">
            <v>LUCAS BALINT VILAR</v>
          </cell>
          <cell r="D2359" t="str">
            <v>ESTAGIARIO</v>
          </cell>
        </row>
        <row r="2360">
          <cell r="B2360" t="str">
            <v>LUCAS FRANCO DE MELLO</v>
          </cell>
          <cell r="D2360" t="str">
            <v>ESTAGIARIO</v>
          </cell>
        </row>
        <row r="2361">
          <cell r="B2361" t="str">
            <v>GABRIEL ALEXANDER BARBOSA</v>
          </cell>
          <cell r="D2361" t="str">
            <v>ESTAGIARIO</v>
          </cell>
        </row>
        <row r="2362">
          <cell r="B2362" t="str">
            <v>ANGELA ESCHER</v>
          </cell>
          <cell r="D2362" t="str">
            <v>ANL ATENDIMENTO JR</v>
          </cell>
        </row>
        <row r="2363">
          <cell r="B2363" t="str">
            <v>KEYLLA TAMAROZI SANTOS</v>
          </cell>
          <cell r="D2363" t="str">
            <v>ESTAGIARIO</v>
          </cell>
        </row>
        <row r="2364">
          <cell r="B2364" t="str">
            <v>LUIZ HENRIQUE NEVES DOS SANTOS</v>
          </cell>
          <cell r="D2364" t="str">
            <v>DESENVOLVEDOR FULL STACK SR</v>
          </cell>
        </row>
        <row r="2365">
          <cell r="B2365" t="str">
            <v>DJEIMI ANGELA LEONHARDT NESKE</v>
          </cell>
          <cell r="D2365" t="str">
            <v>COORD ACADEMICO EDUCACAO CONTINUADA</v>
          </cell>
        </row>
        <row r="2366">
          <cell r="B2366" t="str">
            <v>RENATO PORFIRIO</v>
          </cell>
          <cell r="D2366" t="str">
            <v>DESIGNER DIGITAL UX SR</v>
          </cell>
        </row>
        <row r="2367">
          <cell r="B2367" t="str">
            <v>KALINE DAS NEVES LIMA</v>
          </cell>
          <cell r="D2367" t="str">
            <v>ANL COMERCIAL JR</v>
          </cell>
        </row>
        <row r="2368">
          <cell r="B2368" t="str">
            <v>GEISA PONCIANO RIBEIRO</v>
          </cell>
          <cell r="D2368" t="str">
            <v>ENGENHEIRO SEG TRABALHO PL</v>
          </cell>
        </row>
        <row r="2369">
          <cell r="B2369" t="str">
            <v>FELIPE WERETYCKI DE PAULA</v>
          </cell>
          <cell r="D2369" t="str">
            <v>AST ATENDIMENTO</v>
          </cell>
        </row>
        <row r="2370">
          <cell r="B2370" t="str">
            <v>CARLOS EDUARDO LOPES</v>
          </cell>
          <cell r="D2370" t="str">
            <v>ESP TECNOLOGIA INFORMACAO</v>
          </cell>
        </row>
        <row r="2371">
          <cell r="B2371" t="str">
            <v>CAIO HENRIQUE DE OLIVEIRA CARNIATTO</v>
          </cell>
          <cell r="D2371" t="str">
            <v>COORD CLINICA VETERINARIA</v>
          </cell>
        </row>
        <row r="2372">
          <cell r="B2372" t="str">
            <v>LUCAS ROSA ROCHA</v>
          </cell>
          <cell r="D2372" t="str">
            <v>TEC LABORATORIO I (C/ AD-INS)</v>
          </cell>
        </row>
        <row r="2373">
          <cell r="B2373" t="str">
            <v>TATIANE MARY GOGOLA</v>
          </cell>
          <cell r="D2373" t="str">
            <v>PROFESSOR AUXILIAR</v>
          </cell>
        </row>
        <row r="2374">
          <cell r="B2374" t="str">
            <v>MANUELA TORRADO TRUITI</v>
          </cell>
          <cell r="D2374" t="str">
            <v>PROFESSOR AUXILIAR</v>
          </cell>
        </row>
        <row r="2375">
          <cell r="B2375" t="str">
            <v>CINTHIA TORRES ARANHA</v>
          </cell>
          <cell r="D2375" t="str">
            <v>AST BIBLIOTECA I</v>
          </cell>
        </row>
        <row r="2376">
          <cell r="B2376" t="str">
            <v>LEONARDO RAFAEL DE SOUZA</v>
          </cell>
          <cell r="D2376" t="str">
            <v>PROFESSOR ADJUNTO</v>
          </cell>
        </row>
        <row r="2377">
          <cell r="B2377" t="str">
            <v>LAODICEIA CALISTRO MORAES PORTO</v>
          </cell>
          <cell r="D2377" t="str">
            <v>AST ATENDIMENTO</v>
          </cell>
        </row>
        <row r="2378">
          <cell r="B2378" t="str">
            <v>NATALIA CARDOSO WINTER</v>
          </cell>
          <cell r="D2378" t="str">
            <v>PROFESSOR AUXILIAR</v>
          </cell>
        </row>
        <row r="2379">
          <cell r="B2379" t="str">
            <v>SIMONE PEREIRA SILVA</v>
          </cell>
          <cell r="D2379" t="str">
            <v>PROFESSOR AUXILIAR</v>
          </cell>
        </row>
        <row r="2380">
          <cell r="B2380" t="str">
            <v>MARCELO SALES ARAUJO</v>
          </cell>
          <cell r="D2380" t="str">
            <v>MINISTRO DO CULTO RELIGIOSO</v>
          </cell>
        </row>
        <row r="2381">
          <cell r="B2381" t="str">
            <v>RAISSA MAYELLI DE ARAUJO SANTOS</v>
          </cell>
          <cell r="D2381" t="str">
            <v>AST ATENDIMENTO</v>
          </cell>
        </row>
        <row r="2382">
          <cell r="B2382" t="str">
            <v>ANDREIA FILOMENO</v>
          </cell>
          <cell r="D2382" t="str">
            <v>AST EXECUTIVA I</v>
          </cell>
        </row>
        <row r="2383">
          <cell r="B2383" t="str">
            <v>MARIANE ASSUNCAO MENDES DE CARVALHO</v>
          </cell>
          <cell r="D2383" t="str">
            <v>COORD ADMINISTRATIVO</v>
          </cell>
        </row>
        <row r="2384">
          <cell r="B2384" t="str">
            <v>REJANE ECKER</v>
          </cell>
          <cell r="D2384" t="str">
            <v>PROFESSOR AUXILIAR</v>
          </cell>
        </row>
        <row r="2385">
          <cell r="B2385" t="str">
            <v>ELIANA BENATTI</v>
          </cell>
          <cell r="D2385" t="str">
            <v>PROFESSOR AUXILIAR</v>
          </cell>
        </row>
        <row r="2386">
          <cell r="B2386" t="str">
            <v>ANA CAROLINA DE SOUZA COSTA</v>
          </cell>
          <cell r="D2386" t="str">
            <v>PROFESSOR AUXILIAR</v>
          </cell>
        </row>
        <row r="2387">
          <cell r="B2387" t="str">
            <v>JEFFERSON JOVELINO AMARAL DOS SANTOS</v>
          </cell>
          <cell r="D2387" t="str">
            <v>PROFESSOR AUXILIAR</v>
          </cell>
        </row>
        <row r="2388">
          <cell r="B2388" t="str">
            <v>MAYARA YUKARI OMORI</v>
          </cell>
          <cell r="D2388" t="str">
            <v>MEDICO PRECEPTOR</v>
          </cell>
        </row>
        <row r="2389">
          <cell r="B2389" t="str">
            <v>FERNANDO ROBERTO ROMAN</v>
          </cell>
          <cell r="D2389" t="str">
            <v>PROFESSOR AUXILIAR</v>
          </cell>
        </row>
        <row r="2390">
          <cell r="B2390" t="str">
            <v>LISIANE REIPS</v>
          </cell>
          <cell r="D2390" t="str">
            <v>PROFESSOR AUXILIAR</v>
          </cell>
        </row>
        <row r="2391">
          <cell r="B2391" t="str">
            <v>GUSTAVO LUIZ OLICHEVIS HALILA</v>
          </cell>
          <cell r="D2391" t="str">
            <v>PROFESSOR ADJUNTO</v>
          </cell>
        </row>
        <row r="2392">
          <cell r="B2392" t="str">
            <v>ROBERTA FERRARI DE SA</v>
          </cell>
          <cell r="D2392" t="str">
            <v>PROFESSOR AUXILIAR</v>
          </cell>
        </row>
        <row r="2393">
          <cell r="B2393" t="str">
            <v>GEUCIMAR BRIATORE</v>
          </cell>
          <cell r="D2393" t="str">
            <v>PROFESSOR AUXILIAR</v>
          </cell>
        </row>
        <row r="2394">
          <cell r="B2394" t="str">
            <v>FABIO GARCEZ BETTIO</v>
          </cell>
          <cell r="D2394" t="str">
            <v>PROFESSOR AUXILIAR</v>
          </cell>
        </row>
        <row r="2395">
          <cell r="B2395" t="str">
            <v>MARINA HINTERHOLZ LAUSCHNER</v>
          </cell>
          <cell r="D2395" t="str">
            <v>ANL PLANEJAMENTO ESTRATEGICO PL</v>
          </cell>
        </row>
        <row r="2396">
          <cell r="B2396" t="str">
            <v>CAROLINA LUCIANO DIAS</v>
          </cell>
          <cell r="D2396" t="str">
            <v>TEC LABORATORIO I (S/ AD-INS)</v>
          </cell>
        </row>
        <row r="2397">
          <cell r="B2397" t="str">
            <v>EVERSON LUIZ OLIVEIRA MOTTA</v>
          </cell>
          <cell r="D2397" t="str">
            <v>PROFESSOR ADJUNTO</v>
          </cell>
        </row>
        <row r="2398">
          <cell r="B2398" t="str">
            <v>PATRICIA FONSECA FERREIRA FLEURY</v>
          </cell>
          <cell r="D2398" t="str">
            <v>PROFESSOR ADJUNTO</v>
          </cell>
        </row>
        <row r="2399">
          <cell r="B2399" t="str">
            <v>MARISTELA REGINA WEINFURTER TEIXEIRA</v>
          </cell>
          <cell r="D2399" t="str">
            <v>PROFESSOR AUXILIAR</v>
          </cell>
        </row>
        <row r="2400">
          <cell r="B2400" t="str">
            <v>GABRIELA GUIMARAES SILVA SANTOS</v>
          </cell>
          <cell r="D2400" t="str">
            <v>AST ATENDIMENTO</v>
          </cell>
        </row>
        <row r="2401">
          <cell r="B2401" t="str">
            <v>MATEUS NUNES DA SILVA</v>
          </cell>
          <cell r="D2401" t="str">
            <v>PROFESSOR AUXILIAR</v>
          </cell>
        </row>
        <row r="2402">
          <cell r="B2402" t="str">
            <v>JULIANA CARVALHO PAVAO</v>
          </cell>
          <cell r="D2402" t="str">
            <v>PROFESSOR AUXILIAR</v>
          </cell>
        </row>
        <row r="2403">
          <cell r="B2403" t="str">
            <v>LEO NATAN PASCHOAL</v>
          </cell>
          <cell r="D2403" t="str">
            <v>PROFESSOR ADJUNTO</v>
          </cell>
        </row>
        <row r="2404">
          <cell r="B2404" t="str">
            <v>CRISTIANE LAHOUD TORRES</v>
          </cell>
          <cell r="D2404" t="str">
            <v>ANL ATENDIMENTO JR</v>
          </cell>
        </row>
        <row r="2405">
          <cell r="B2405" t="str">
            <v>JOSEMAR BATISTA</v>
          </cell>
          <cell r="D2405" t="str">
            <v>PROFESSOR AUXILIAR</v>
          </cell>
        </row>
        <row r="2406">
          <cell r="B2406" t="str">
            <v>CAMILA BATISTA</v>
          </cell>
          <cell r="D2406" t="str">
            <v>PROFESSOR AUXILIAR</v>
          </cell>
        </row>
        <row r="2407">
          <cell r="B2407" t="str">
            <v>PAULA CENIRA SENGER DE CASTRO</v>
          </cell>
          <cell r="D2407" t="str">
            <v>PROFESSOR AUXILIAR</v>
          </cell>
        </row>
        <row r="2408">
          <cell r="B2408" t="str">
            <v>EVERTON CARDOSO LEITE</v>
          </cell>
          <cell r="D2408" t="str">
            <v>PROFESSOR AUXILIAR</v>
          </cell>
        </row>
        <row r="2409">
          <cell r="B2409" t="str">
            <v>KARINA DE GUADALUPE BERTOLDI GIROTTO</v>
          </cell>
          <cell r="D2409" t="str">
            <v>PROFESSOR AUXILIAR</v>
          </cell>
        </row>
        <row r="2410">
          <cell r="B2410" t="str">
            <v>JULIANA PUKA</v>
          </cell>
          <cell r="D2410" t="str">
            <v>PROFESSOR AUXILIAR</v>
          </cell>
        </row>
        <row r="2411">
          <cell r="B2411" t="str">
            <v>RENATA ALVES FEITOSA GONCALVES</v>
          </cell>
          <cell r="D2411" t="str">
            <v>AST BIBLIOTECA I</v>
          </cell>
        </row>
        <row r="2412">
          <cell r="B2412" t="str">
            <v>GABRIEL CEARA DE SOUZA</v>
          </cell>
          <cell r="D2412" t="str">
            <v>MONITOR EAD</v>
          </cell>
        </row>
        <row r="2413">
          <cell r="B2413" t="str">
            <v>RENAN BATTISTI ARCHER</v>
          </cell>
          <cell r="D2413" t="str">
            <v>PROFESSOR AUXILIAR</v>
          </cell>
        </row>
        <row r="2414">
          <cell r="B2414" t="str">
            <v>VITORIA MEDEIROS CASAIS DE SOUZA</v>
          </cell>
          <cell r="D2414" t="str">
            <v>AST ATENDIMENTO</v>
          </cell>
        </row>
        <row r="2415">
          <cell r="B2415" t="str">
            <v>FRANCISCO SANTOS LIMA</v>
          </cell>
          <cell r="D2415" t="str">
            <v>PROFESSOR AUXILIAR</v>
          </cell>
        </row>
        <row r="2416">
          <cell r="B2416" t="str">
            <v>EDUARDO RONCATTO</v>
          </cell>
          <cell r="D2416" t="str">
            <v>PROFESSOR AUXILIAR</v>
          </cell>
        </row>
        <row r="2417">
          <cell r="B2417" t="str">
            <v>ANA CLARA DA SILVA CARNEIRO</v>
          </cell>
          <cell r="D2417" t="str">
            <v>APRENDIZ</v>
          </cell>
        </row>
        <row r="2418">
          <cell r="B2418" t="str">
            <v>ROGERIO LUIZ AIRES LIMA</v>
          </cell>
          <cell r="D2418" t="str">
            <v>COORD CURSO</v>
          </cell>
        </row>
        <row r="2419">
          <cell r="B2419" t="str">
            <v>FELICIO ARAGAO SAVIOLI</v>
          </cell>
          <cell r="D2419" t="str">
            <v>PROFESSOR AUXILIAR</v>
          </cell>
        </row>
        <row r="2420">
          <cell r="B2420" t="str">
            <v>ELOISA CRISTINA GONCALVES</v>
          </cell>
          <cell r="D2420" t="str">
            <v>PROFESSOR AUXILIAR</v>
          </cell>
        </row>
        <row r="2421">
          <cell r="B2421" t="str">
            <v>AFONSO PEREIRA CORREA JUNIOR</v>
          </cell>
          <cell r="D2421" t="str">
            <v>INSTRUTOR</v>
          </cell>
        </row>
        <row r="2422">
          <cell r="B2422" t="str">
            <v>NICOLE CHAGAS LIMA</v>
          </cell>
          <cell r="D2422" t="str">
            <v>PROFESSOR AUXILIAR</v>
          </cell>
        </row>
        <row r="2423">
          <cell r="B2423" t="str">
            <v>CARLOS ARTEAGA RODRIGUEZ</v>
          </cell>
          <cell r="D2423" t="str">
            <v>PROFESSOR AUXILIAR</v>
          </cell>
        </row>
        <row r="2424">
          <cell r="B2424" t="str">
            <v>PAULO HENRIQUE REIS NEGREIROS</v>
          </cell>
          <cell r="D2424" t="str">
            <v>PROFESSOR AUXILIAR</v>
          </cell>
        </row>
        <row r="2425">
          <cell r="B2425" t="str">
            <v>IGOR BARCELLOS</v>
          </cell>
          <cell r="D2425" t="str">
            <v>PROFESSOR AUXILIAR</v>
          </cell>
        </row>
        <row r="2426">
          <cell r="B2426" t="str">
            <v>TATIANA VON HERTWIG FERNANDES DE OLIVEIRA KUMER</v>
          </cell>
          <cell r="D2426" t="str">
            <v>PROFESSOR AUXILIAR</v>
          </cell>
        </row>
        <row r="2427">
          <cell r="B2427" t="str">
            <v>MARIANA MALUCELLI</v>
          </cell>
          <cell r="D2427" t="str">
            <v>PROFESSOR AUXILIAR</v>
          </cell>
        </row>
        <row r="2428">
          <cell r="B2428" t="str">
            <v>CARLOS HUMBERTO GUILMAN TANIZAWA</v>
          </cell>
          <cell r="D2428" t="str">
            <v>PROFESSOR AUXILIAR</v>
          </cell>
        </row>
        <row r="2429">
          <cell r="B2429" t="str">
            <v>CARLOS MANOEL JACOPETTI ALMEIDA</v>
          </cell>
          <cell r="D2429" t="str">
            <v>PROFESSOR AUXILIAR</v>
          </cell>
        </row>
        <row r="2430">
          <cell r="B2430" t="str">
            <v>DANIEL CONSTANTINO CUNHA</v>
          </cell>
          <cell r="D2430" t="str">
            <v>PROFESSOR AUXILIAR</v>
          </cell>
        </row>
        <row r="2431">
          <cell r="B2431" t="str">
            <v>ANTONIO CARLOS KOVALESKI</v>
          </cell>
          <cell r="D2431" t="str">
            <v>PROFESSOR AUXILIAR</v>
          </cell>
        </row>
        <row r="2432">
          <cell r="B2432" t="str">
            <v>SARAH SGAVIOLI</v>
          </cell>
          <cell r="D2432" t="str">
            <v>PROFESSOR ADJUNTO</v>
          </cell>
        </row>
        <row r="2433">
          <cell r="B2433" t="str">
            <v>ANA VITORIA CASSIS DOS SANTOS GASPARINE</v>
          </cell>
          <cell r="D2433" t="str">
            <v>PROFESSOR AUXILIAR</v>
          </cell>
        </row>
        <row r="2434">
          <cell r="B2434" t="str">
            <v>JULIA IZADORA DA SILVA MARTINS</v>
          </cell>
          <cell r="D2434" t="str">
            <v>PROFESSOR AUXILIAR</v>
          </cell>
        </row>
        <row r="2435">
          <cell r="B2435" t="str">
            <v>TALLES BAZEIA LIMA</v>
          </cell>
          <cell r="D2435" t="str">
            <v>PROFESSOR AUXILIAR</v>
          </cell>
        </row>
        <row r="2436">
          <cell r="B2436" t="str">
            <v>LIZ YUMI SAGUTI</v>
          </cell>
          <cell r="D2436" t="str">
            <v>PROFESSOR AUXILIAR</v>
          </cell>
        </row>
        <row r="2437">
          <cell r="B2437" t="str">
            <v>FABIO MONTAGNA SEKIYAMA</v>
          </cell>
          <cell r="D2437" t="str">
            <v>PROFESSOR AUXILIAR</v>
          </cell>
        </row>
        <row r="2438">
          <cell r="B2438" t="str">
            <v>LUCAS EDUARDO OLANCZUK DA SILVA</v>
          </cell>
          <cell r="D2438" t="str">
            <v>TEC LABORATORIO II (S/ AD-INS)</v>
          </cell>
        </row>
        <row r="2439">
          <cell r="B2439" t="str">
            <v>FERNANDA RODRIGUES DE SOUSA</v>
          </cell>
          <cell r="D2439" t="str">
            <v>ANL TRANSFORMACAO PROCESSOS SR</v>
          </cell>
        </row>
        <row r="2440">
          <cell r="B2440" t="str">
            <v>SILAS FERREIRA SANTOS MORAIS</v>
          </cell>
          <cell r="D2440" t="str">
            <v>ANL INTELIGENCIA NEGOCIOS JR</v>
          </cell>
        </row>
        <row r="2441">
          <cell r="B2441" t="str">
            <v>VINICIUS SALLES FARIA DA SILVA</v>
          </cell>
          <cell r="D2441" t="str">
            <v>ANL EXPERIENCIA CLIENTE JR</v>
          </cell>
        </row>
        <row r="2442">
          <cell r="B2442" t="str">
            <v>ANNA HERMINIA CASTRO GOMES DE AMORIM</v>
          </cell>
          <cell r="D2442" t="str">
            <v>PROFESSOR AUXILIAR</v>
          </cell>
        </row>
        <row r="2443">
          <cell r="B2443" t="str">
            <v>MATHEUS EDUARDO FERREIRA</v>
          </cell>
          <cell r="D2443" t="str">
            <v>PROFESSOR LINGUA ESTRANGEIRA</v>
          </cell>
        </row>
        <row r="2444">
          <cell r="B2444" t="str">
            <v>PAULA CHAGAS</v>
          </cell>
          <cell r="D2444" t="str">
            <v>ANL MARKETING SR</v>
          </cell>
        </row>
        <row r="2445">
          <cell r="B2445" t="str">
            <v>RAQUEL DAVID DE FREITAS SANTANA</v>
          </cell>
          <cell r="D2445" t="str">
            <v>AST ATENDIMENTO</v>
          </cell>
        </row>
        <row r="2446">
          <cell r="B2446" t="str">
            <v>MARIA LUIZA RIGOLIN PANATO</v>
          </cell>
          <cell r="D2446" t="str">
            <v>ANL TRANSFORMACAO PROCESSOS PL</v>
          </cell>
        </row>
        <row r="2447">
          <cell r="B2447" t="str">
            <v>FERNANDA SILVANO</v>
          </cell>
          <cell r="D2447" t="str">
            <v>ANL PLANEJAMENTO ESTRATEGICO PL</v>
          </cell>
        </row>
        <row r="2448">
          <cell r="B2448" t="str">
            <v>REGIANE SORANZO</v>
          </cell>
          <cell r="D2448" t="str">
            <v>PROFESSOR LINGUA ESTRANGEIRA</v>
          </cell>
        </row>
        <row r="2449">
          <cell r="B2449" t="str">
            <v>FRANCISCO INACIO DA SILVA MALLMANN</v>
          </cell>
          <cell r="D2449" t="str">
            <v>PROFESSOR AUXILIAR</v>
          </cell>
        </row>
        <row r="2450">
          <cell r="B2450" t="str">
            <v>EMANUEL CAMPIGOTTO SANDRI</v>
          </cell>
          <cell r="D2450" t="str">
            <v>PROFESSOR TUTOR ONLINE I</v>
          </cell>
        </row>
        <row r="2451">
          <cell r="B2451" t="str">
            <v>GUILHERME ARAUJO SILVA</v>
          </cell>
          <cell r="D2451" t="str">
            <v>PROFESSOR TUTOR ONLINE I</v>
          </cell>
        </row>
        <row r="2452">
          <cell r="B2452" t="str">
            <v>ANA VALERIA DE PIERI BRANCHER ALVAREZ</v>
          </cell>
          <cell r="D2452" t="str">
            <v>PROFESSOR AUXILIAR</v>
          </cell>
        </row>
        <row r="2453">
          <cell r="B2453" t="str">
            <v>MARCOS VINICIUS GIOVANELLA</v>
          </cell>
          <cell r="D2453" t="str">
            <v>DIR MARKETING</v>
          </cell>
        </row>
        <row r="2454">
          <cell r="B2454" t="str">
            <v>LUIZ HENRIQUE ELOY AMADO</v>
          </cell>
          <cell r="D2454" t="str">
            <v>PROFESSOR ADJUNTO</v>
          </cell>
        </row>
        <row r="2455">
          <cell r="B2455" t="str">
            <v>DYOGENES PHILIPPSEN ARAUJO</v>
          </cell>
          <cell r="D2455" t="str">
            <v>DIR IDENTIDADE INSTITUCIONAL</v>
          </cell>
        </row>
        <row r="2456">
          <cell r="B2456" t="str">
            <v>EDUARDO DE SOUZA SOARES</v>
          </cell>
          <cell r="D2456" t="str">
            <v>ANL COMERCIAL JR</v>
          </cell>
        </row>
        <row r="2457">
          <cell r="B2457" t="str">
            <v>LUIZ GUSTAVO TOME GONCALVES</v>
          </cell>
          <cell r="D2457" t="str">
            <v>TEC LABORATORIO II (C/ AD-INS)</v>
          </cell>
        </row>
        <row r="2458">
          <cell r="B2458" t="str">
            <v>EDUARDO SILVA FARINAZZO</v>
          </cell>
          <cell r="D2458" t="str">
            <v>MEDICO PRECEPTOR</v>
          </cell>
        </row>
        <row r="2459">
          <cell r="B2459" t="str">
            <v>ISABELA PAES MORAIS</v>
          </cell>
          <cell r="D2459" t="str">
            <v>ANL MARKETING JR</v>
          </cell>
        </row>
        <row r="2460">
          <cell r="B2460" t="str">
            <v>SANDRELI PAULINO MERCADANTE</v>
          </cell>
          <cell r="D2460" t="str">
            <v>AST ATENDIMENTO</v>
          </cell>
        </row>
        <row r="2461">
          <cell r="B2461" t="str">
            <v>GLEICIANE RAIMARA MIAN DA PAIXAO</v>
          </cell>
          <cell r="D2461" t="str">
            <v>AST MONITORAMENTO CFTV</v>
          </cell>
        </row>
        <row r="2462">
          <cell r="B2462" t="str">
            <v>WESLLEY GUSTAVO GUIMARAES DOS SANTOS</v>
          </cell>
          <cell r="D2462" t="str">
            <v>APRENDIZ</v>
          </cell>
        </row>
        <row r="2463">
          <cell r="B2463" t="str">
            <v>TATIANE BORGES DOS SANTOS</v>
          </cell>
          <cell r="D2463" t="str">
            <v>ANL FATURAMENTO JR</v>
          </cell>
        </row>
        <row r="2464">
          <cell r="B2464" t="str">
            <v>GUILHERME RAUBER LIGABUE</v>
          </cell>
          <cell r="D2464" t="str">
            <v>AUX AGROPECUARIA</v>
          </cell>
        </row>
        <row r="2465">
          <cell r="B2465" t="str">
            <v>LUIZ GUILHERME NUNES CICOTTE</v>
          </cell>
          <cell r="D2465" t="str">
            <v>PROFESSOR AUXILIAR</v>
          </cell>
        </row>
        <row r="2466">
          <cell r="B2466" t="str">
            <v>VICTORIA CAROLINE BAPTISTA FERREIRA</v>
          </cell>
          <cell r="D2466" t="str">
            <v>ESTAGIARIO</v>
          </cell>
        </row>
        <row r="2467">
          <cell r="B2467" t="str">
            <v>BERNARDO LOPES ASSIS</v>
          </cell>
          <cell r="D2467" t="str">
            <v>APRENDIZ</v>
          </cell>
        </row>
        <row r="2468">
          <cell r="B2468" t="str">
            <v>GABRIELLE REGINA GOMES CAROCCIA</v>
          </cell>
          <cell r="D2468" t="str">
            <v>EDITOR TEXTO PL</v>
          </cell>
        </row>
        <row r="2469">
          <cell r="B2469" t="str">
            <v>PAULO AUGUSTO CAUCHICK MIGUEL</v>
          </cell>
          <cell r="D2469" t="str">
            <v>PROFESSOR ADJUNTO</v>
          </cell>
        </row>
        <row r="2470">
          <cell r="B2470" t="str">
            <v>LUCAS FERRO</v>
          </cell>
          <cell r="D2470" t="str">
            <v>INSTRUTOR</v>
          </cell>
        </row>
        <row r="2471">
          <cell r="B2471" t="str">
            <v>SERGIO LUIZ FERREIRA DE FREITAS</v>
          </cell>
          <cell r="D2471" t="str">
            <v>AST BIBLIOTECA II</v>
          </cell>
        </row>
        <row r="2472">
          <cell r="B2472" t="str">
            <v>MATEUS EDUARDO DE OLIVEIRA THOMAZINI</v>
          </cell>
          <cell r="D2472" t="str">
            <v>ANL ATENDIMENTO PL</v>
          </cell>
        </row>
        <row r="2473">
          <cell r="B2473" t="str">
            <v>HALYSSON JEAN CARDOSO DE AMARAL TOMAZ</v>
          </cell>
          <cell r="D2473" t="str">
            <v>AST ATENDIMENTO</v>
          </cell>
        </row>
        <row r="2474">
          <cell r="B2474" t="str">
            <v>CARINA HONORIO ROTTER</v>
          </cell>
          <cell r="D2474" t="str">
            <v>PROFESSOR AUXILIAR</v>
          </cell>
        </row>
        <row r="2475">
          <cell r="B2475" t="str">
            <v>WAGNER KENJI INOUE</v>
          </cell>
          <cell r="D2475" t="str">
            <v>ANL INTELIGENCIA DADOS SR</v>
          </cell>
        </row>
        <row r="2476">
          <cell r="B2476" t="str">
            <v>ANNE LOUISE GOMES</v>
          </cell>
          <cell r="D2476" t="str">
            <v>ANL ATENDIMENTO JR</v>
          </cell>
        </row>
        <row r="2477">
          <cell r="B2477" t="str">
            <v>OSMARY MARIANNY ROJAS HERNANDEZ</v>
          </cell>
          <cell r="D2477" t="str">
            <v>TEC LABORATORIO II (S/ AD-INS)</v>
          </cell>
        </row>
        <row r="2478">
          <cell r="B2478" t="str">
            <v>ISABELLA LUCENA CONCEICAO</v>
          </cell>
          <cell r="D2478" t="str">
            <v>ESTAGIARIO</v>
          </cell>
        </row>
        <row r="2479">
          <cell r="B2479" t="str">
            <v>DAVID RODRIGUES DE SOUZA</v>
          </cell>
          <cell r="D2479" t="str">
            <v>OPERADOR TELEATENDIMENTO</v>
          </cell>
        </row>
        <row r="2480">
          <cell r="B2480" t="str">
            <v>ANDRE MOULIN DELFINO</v>
          </cell>
          <cell r="D2480" t="str">
            <v>ANL TRANSFORMACAO PROCESSOS PL</v>
          </cell>
        </row>
        <row r="2481">
          <cell r="B2481" t="str">
            <v>ISABELLA BEATRIZ FERNANDES ROCHA</v>
          </cell>
          <cell r="D2481" t="str">
            <v>PROFESSOR LINGUA ESTRANGEIRA</v>
          </cell>
        </row>
        <row r="2482">
          <cell r="B2482" t="str">
            <v>JULIANA KRUHS</v>
          </cell>
          <cell r="D2482" t="str">
            <v>ESTAGIARIO</v>
          </cell>
        </row>
        <row r="2483">
          <cell r="B2483" t="str">
            <v>YURI MALSCHITZKY</v>
          </cell>
          <cell r="D2483" t="str">
            <v>COORD MARKETING</v>
          </cell>
        </row>
        <row r="2484">
          <cell r="B2484" t="str">
            <v>LUCAS DA CRUZ KILLES</v>
          </cell>
          <cell r="D2484" t="str">
            <v>AST ATENDIMENTO</v>
          </cell>
        </row>
        <row r="2485">
          <cell r="B2485" t="str">
            <v>TIAGO DIAS</v>
          </cell>
          <cell r="D2485" t="str">
            <v>AST BIBLIOTECA II</v>
          </cell>
        </row>
        <row r="2486">
          <cell r="B2486" t="str">
            <v>MATHEUS GUILHERME MARTINS DA SILVA</v>
          </cell>
          <cell r="D2486" t="str">
            <v>AST ATENDIMENTO</v>
          </cell>
        </row>
        <row r="2487">
          <cell r="B2487" t="str">
            <v>VANESSA CALVO GUERRA</v>
          </cell>
          <cell r="D2487" t="str">
            <v>ANL GESTAO ACADEMICA JR</v>
          </cell>
        </row>
        <row r="2488">
          <cell r="B2488" t="str">
            <v>VERA LUCIA CARVALHO ALVIZ</v>
          </cell>
          <cell r="D2488" t="str">
            <v>AST MONITORAMENTO CFTV</v>
          </cell>
        </row>
        <row r="2489">
          <cell r="B2489" t="str">
            <v>MATEUS PEREIRA SILVEIRA</v>
          </cell>
          <cell r="D2489" t="str">
            <v>ANL ADM MARKETING JR</v>
          </cell>
        </row>
        <row r="2490">
          <cell r="B2490" t="str">
            <v>MONIQUE MAYARA DELIZA CORREIA LEITE</v>
          </cell>
          <cell r="D2490" t="str">
            <v>ANL ADMINISTRATIVO PL</v>
          </cell>
        </row>
        <row r="2491">
          <cell r="B2491" t="str">
            <v>EVELIN GARCIA</v>
          </cell>
          <cell r="D2491" t="str">
            <v>ANL FATURAMENTO JR</v>
          </cell>
        </row>
        <row r="2492">
          <cell r="B2492" t="str">
            <v>FABIANE DE FATIMA BARBOSA TRAPPEL</v>
          </cell>
          <cell r="D2492" t="str">
            <v>BOMBEIRO CIVIL</v>
          </cell>
        </row>
        <row r="2493">
          <cell r="B2493" t="str">
            <v>LARISSA DE OLIVEIRA GOMES</v>
          </cell>
          <cell r="D2493" t="str">
            <v>ANL OPERACOES ACADEMICAS JR</v>
          </cell>
        </row>
        <row r="2494">
          <cell r="B2494" t="str">
            <v>SHAIANE SILVA DANTAS DE HOLANDA</v>
          </cell>
          <cell r="D2494" t="str">
            <v>ESTAGIARIO</v>
          </cell>
        </row>
        <row r="2495">
          <cell r="B2495" t="str">
            <v>IAGO SANTOS BARRETO</v>
          </cell>
          <cell r="D2495" t="str">
            <v>OPERADOR TELEATENDIMENTO</v>
          </cell>
        </row>
        <row r="2496">
          <cell r="B2496" t="str">
            <v>LETICIA CAMARA LUZ</v>
          </cell>
          <cell r="D2496" t="str">
            <v>MONITOR EAD</v>
          </cell>
        </row>
        <row r="2497">
          <cell r="B2497" t="str">
            <v>LEONARDO MANTOVANI</v>
          </cell>
          <cell r="D2497" t="str">
            <v>ANL ADMINISTRATIVO JR</v>
          </cell>
        </row>
        <row r="2498">
          <cell r="B2498" t="str">
            <v>HELENA ARIOLI JAMIELNIAK</v>
          </cell>
          <cell r="D2498" t="str">
            <v>ESTAGIARIO</v>
          </cell>
        </row>
        <row r="2499">
          <cell r="B2499" t="str">
            <v>DOUGLAS ROBERTO DE OLIVEIRA</v>
          </cell>
          <cell r="D2499" t="str">
            <v>ANL ADMINISTRATIVO JR</v>
          </cell>
        </row>
        <row r="2500">
          <cell r="B2500" t="str">
            <v>MARIA EDUARDA DE OLIVEIRA</v>
          </cell>
          <cell r="D2500" t="str">
            <v>ESTAGIARIO</v>
          </cell>
        </row>
        <row r="2501">
          <cell r="B2501" t="str">
            <v>ANA CAROLINA TOMAZI FERREIRA</v>
          </cell>
          <cell r="D2501" t="str">
            <v>ANL ADMINISTRATIVO PL</v>
          </cell>
        </row>
        <row r="2502">
          <cell r="B2502" t="str">
            <v>THAIS LAOANA SEGA ERDMANN</v>
          </cell>
          <cell r="D2502" t="str">
            <v>ANL ATENDIMENTO JR</v>
          </cell>
        </row>
        <row r="2503">
          <cell r="B2503" t="str">
            <v>SAMOEL FERNANDO DOS SANTOS</v>
          </cell>
          <cell r="D2503" t="str">
            <v>AUX AGROPECUARIA</v>
          </cell>
        </row>
        <row r="2504">
          <cell r="B2504" t="str">
            <v>ROSIMARI DOHOPIATI DA SILVA</v>
          </cell>
          <cell r="D2504" t="str">
            <v>ANL ADMINISTRATIVO JR</v>
          </cell>
        </row>
        <row r="2505">
          <cell r="B2505" t="str">
            <v>POLIANA BELARMINO VALIERI</v>
          </cell>
          <cell r="D2505" t="str">
            <v>ANL ADMINISTRATIVO JR</v>
          </cell>
        </row>
        <row r="2506">
          <cell r="B2506" t="str">
            <v>CLAUDIO HENRIQUES OLIVEIRA</v>
          </cell>
          <cell r="D2506" t="str">
            <v>TEC LABORATORIO II (C/ AD-INS)</v>
          </cell>
        </row>
        <row r="2507">
          <cell r="B2507" t="str">
            <v>LARISSA SUSS COLETE</v>
          </cell>
          <cell r="D2507" t="str">
            <v>ANL FINANCEIRO JR</v>
          </cell>
        </row>
        <row r="2508">
          <cell r="B2508" t="str">
            <v>RAFAEL MATOS DOS SANTOS VIEIRA</v>
          </cell>
          <cell r="D2508" t="str">
            <v>ANL PASTORAL JR</v>
          </cell>
        </row>
        <row r="2509">
          <cell r="B2509" t="str">
            <v>AMANDA NICOLI PEREIRA DE MORAES</v>
          </cell>
          <cell r="D2509" t="str">
            <v>TEC LABORATORIO I (C/ AD-INS)</v>
          </cell>
        </row>
        <row r="2510">
          <cell r="B2510" t="str">
            <v>MARIA EDUARDA CORREA DIONYSIO</v>
          </cell>
          <cell r="D2510" t="str">
            <v>PSICOLOGO PL</v>
          </cell>
        </row>
        <row r="2511">
          <cell r="B2511" t="str">
            <v>GISLAINE PROENCA KARPINSKI</v>
          </cell>
          <cell r="D2511" t="str">
            <v>OPERADOR TELEATENDIMENTO</v>
          </cell>
        </row>
        <row r="2512">
          <cell r="B2512" t="str">
            <v>LEONARDO FERNANDO ARRUDA GOMES</v>
          </cell>
          <cell r="D2512" t="str">
            <v>DESENVOLVEDOR FULL STACK SR</v>
          </cell>
        </row>
        <row r="2513">
          <cell r="B2513" t="str">
            <v>BRUNA CRISTINA LAZAROTTO DAS CHAGAS</v>
          </cell>
          <cell r="D2513" t="str">
            <v>ANL FACILITIES PL</v>
          </cell>
        </row>
        <row r="2514">
          <cell r="B2514" t="str">
            <v>VERONICA PEREIRA DE AQUINO</v>
          </cell>
          <cell r="D2514" t="str">
            <v>AST ATENDIMENTO</v>
          </cell>
        </row>
        <row r="2515">
          <cell r="B2515" t="str">
            <v>CAROLINE YOCHIE MOREY</v>
          </cell>
          <cell r="D2515" t="str">
            <v>AST ATENDIMENTO</v>
          </cell>
        </row>
        <row r="2516">
          <cell r="B2516" t="str">
            <v>LUCAS PRECOMA LORENZINI</v>
          </cell>
          <cell r="D2516" t="str">
            <v>COORD ADM FINANCEIRO</v>
          </cell>
        </row>
        <row r="2517">
          <cell r="B2517" t="str">
            <v>JONAS KRAUSE</v>
          </cell>
          <cell r="D2517" t="str">
            <v>PROFESSOR ADJUNTO</v>
          </cell>
        </row>
        <row r="2518">
          <cell r="B2518" t="str">
            <v>WALTER MAZUROSKI</v>
          </cell>
          <cell r="D2518" t="str">
            <v>PROFESSOR ADJUNTO</v>
          </cell>
        </row>
        <row r="2519">
          <cell r="B2519" t="str">
            <v>FILIPE DE ANDRADE BORGES</v>
          </cell>
          <cell r="D2519" t="str">
            <v>ESP PROJETOS</v>
          </cell>
        </row>
        <row r="2520">
          <cell r="B2520" t="str">
            <v>YASMIM MARIA DE ARRUDA BORGES</v>
          </cell>
          <cell r="D2520" t="str">
            <v>ANL FINANCEIRO SR</v>
          </cell>
        </row>
        <row r="2521">
          <cell r="B2521" t="str">
            <v>TAMIRIS RODRIGUES LIMA</v>
          </cell>
          <cell r="D2521" t="str">
            <v>ANL MARKETING SR</v>
          </cell>
        </row>
        <row r="2522">
          <cell r="B2522" t="str">
            <v>DANIEL DE ALMEIDA SANTOS BINA</v>
          </cell>
          <cell r="D2522" t="str">
            <v>ESTAGIARIO</v>
          </cell>
        </row>
        <row r="2523">
          <cell r="B2523" t="str">
            <v>JOAO PEDRO BRUM LISBOA</v>
          </cell>
          <cell r="D2523" t="str">
            <v>ESTAGIARIO</v>
          </cell>
        </row>
        <row r="2524">
          <cell r="B2524" t="str">
            <v>MYLLE CAROLINE PEREIRA DA CUNHA</v>
          </cell>
          <cell r="D2524" t="str">
            <v>AST ATENDIMENTO</v>
          </cell>
        </row>
        <row r="2525">
          <cell r="B2525" t="str">
            <v>JOAO VICTOR DA COSTA</v>
          </cell>
          <cell r="D2525" t="str">
            <v>DESIGNER JR</v>
          </cell>
        </row>
        <row r="2526">
          <cell r="B2526" t="str">
            <v>DAVI DAGOSTIM MINATTO</v>
          </cell>
          <cell r="D2526" t="str">
            <v>ANL PROJETOS PL</v>
          </cell>
        </row>
        <row r="2527">
          <cell r="B2527" t="str">
            <v>MATEUS NATAN MAOSKI</v>
          </cell>
          <cell r="D2527" t="str">
            <v>ESTAGIARIO</v>
          </cell>
        </row>
        <row r="2528">
          <cell r="B2528" t="str">
            <v>INGRID CRISTHINE SIMAO</v>
          </cell>
          <cell r="D2528" t="str">
            <v>AST NUCLEO PRATICAS PSICOLOGIA</v>
          </cell>
        </row>
        <row r="2529">
          <cell r="B2529" t="str">
            <v>ANA VITORIA LEME DE SIQUEIRA</v>
          </cell>
          <cell r="D2529" t="str">
            <v>PSICOLOGO PL</v>
          </cell>
        </row>
        <row r="2530">
          <cell r="B2530" t="str">
            <v>SAMUEL SILVA DE OLIVEIRA JUNIOR</v>
          </cell>
          <cell r="D2530" t="str">
            <v>BOMBEIRO CIVIL</v>
          </cell>
        </row>
        <row r="2531">
          <cell r="B2531" t="str">
            <v>CRISTIANE APARECIDA RIBEIRO</v>
          </cell>
          <cell r="D2531" t="str">
            <v>BOMBEIRO CIVIL</v>
          </cell>
        </row>
        <row r="2532">
          <cell r="B2532" t="str">
            <v>THALYTA RAQUEL ORMINDO WEILER</v>
          </cell>
          <cell r="D2532" t="str">
            <v>AST ATENDIMENTO</v>
          </cell>
        </row>
        <row r="2533">
          <cell r="B2533" t="str">
            <v>MARCELO ROMAGNOLI PIAZZETTA</v>
          </cell>
          <cell r="D2533" t="str">
            <v>DIR NEGOCIOS</v>
          </cell>
        </row>
        <row r="2534">
          <cell r="B2534" t="str">
            <v>ANA JULIA DE SOUZA ABREU</v>
          </cell>
          <cell r="D2534" t="str">
            <v>AST ATENDIMENTO</v>
          </cell>
        </row>
        <row r="2535">
          <cell r="B2535" t="str">
            <v>MAYARA CRUZ BRITO</v>
          </cell>
          <cell r="D2535" t="str">
            <v>ANL MARKETING JR</v>
          </cell>
        </row>
        <row r="2536">
          <cell r="B2536" t="str">
            <v>VINICIUS VILELA GOMES</v>
          </cell>
          <cell r="D2536" t="str">
            <v>TEC LABORATORIO II (S/ AD-INS)</v>
          </cell>
        </row>
        <row r="2537">
          <cell r="B2537" t="str">
            <v>LETICIA NAZZARI</v>
          </cell>
          <cell r="D2537" t="str">
            <v>PROFESSOR AUXILIAR</v>
          </cell>
        </row>
        <row r="2538">
          <cell r="B2538" t="str">
            <v>LUIS FERNANDO DA SILVA SANTOS</v>
          </cell>
          <cell r="D2538" t="str">
            <v>ANL FINANCEIRO PL</v>
          </cell>
        </row>
        <row r="2539">
          <cell r="B2539" t="str">
            <v>ALEXANDRE DARONCO</v>
          </cell>
          <cell r="D2539" t="str">
            <v>PROFESSOR AUXILIAR</v>
          </cell>
        </row>
        <row r="2540">
          <cell r="B2540" t="str">
            <v>WILLIAN BOSQUETTE ROSA</v>
          </cell>
          <cell r="D2540" t="str">
            <v>COORD CURSO</v>
          </cell>
        </row>
        <row r="2541">
          <cell r="B2541" t="str">
            <v>EVELLYN HERMANY</v>
          </cell>
          <cell r="D2541" t="str">
            <v>ANL MARKETING SR</v>
          </cell>
        </row>
        <row r="2542">
          <cell r="B2542" t="str">
            <v>JESSICA TOMIMITSU RODRIGUES</v>
          </cell>
          <cell r="D2542" t="str">
            <v>PROFESSOR AUXILIAR</v>
          </cell>
        </row>
        <row r="2543">
          <cell r="B2543" t="str">
            <v>CARLA ALESSANDRA CURSINO</v>
          </cell>
          <cell r="D2543" t="str">
            <v>PROFESSOR LINGUA ESTRANGEIRA</v>
          </cell>
        </row>
        <row r="2544">
          <cell r="B2544" t="str">
            <v>VICTORIA GOLANSKI LARA</v>
          </cell>
          <cell r="D2544" t="str">
            <v>DESENVOLVEDOR FULL STACK SR</v>
          </cell>
        </row>
        <row r="2545">
          <cell r="B2545" t="str">
            <v>GABRIELA PAVANELLI</v>
          </cell>
          <cell r="D2545" t="str">
            <v>ANL MARKETING SR</v>
          </cell>
        </row>
        <row r="2546">
          <cell r="B2546" t="str">
            <v>PAULO LISSA ZWOLINSKI</v>
          </cell>
          <cell r="D2546" t="str">
            <v>COORD CULTURA</v>
          </cell>
        </row>
        <row r="2547">
          <cell r="B2547" t="str">
            <v>JOAO HENRIQUE PINHEIRO</v>
          </cell>
          <cell r="D2547" t="str">
            <v>AST ATENDIMENTO</v>
          </cell>
        </row>
        <row r="2548">
          <cell r="B2548" t="str">
            <v>VINICIUS DANIEL DE MOURA COSTA</v>
          </cell>
          <cell r="D2548" t="str">
            <v>TEC INFORMATICA II</v>
          </cell>
        </row>
        <row r="2549">
          <cell r="B2549" t="str">
            <v>DANIELE ROSEVICS OLIVEIRA</v>
          </cell>
          <cell r="D2549" t="str">
            <v>PROFESSOR AUXILIAR</v>
          </cell>
        </row>
        <row r="2550">
          <cell r="B2550" t="str">
            <v>GUSTAVO HENRIQUE RIBAS</v>
          </cell>
          <cell r="D2550" t="str">
            <v>ANL ADMINISTRATIVO JR</v>
          </cell>
        </row>
        <row r="2551">
          <cell r="B2551" t="str">
            <v>CESAR AUGUSTO CAPELLARI</v>
          </cell>
          <cell r="D2551" t="str">
            <v>PROFESSOR AUXILIAR</v>
          </cell>
        </row>
        <row r="2552">
          <cell r="B2552" t="str">
            <v>ANDREA MORA DE MARCO NOVELLINO</v>
          </cell>
          <cell r="D2552" t="str">
            <v>PROFESSOR AUXILIAR</v>
          </cell>
        </row>
        <row r="2553">
          <cell r="B2553" t="str">
            <v>PATRICIA DE FATIMA BAIRROS</v>
          </cell>
          <cell r="D2553" t="str">
            <v>ANL GESTAO ACADEMICA JR</v>
          </cell>
        </row>
        <row r="2554">
          <cell r="B2554" t="str">
            <v>DAIANE DOBGINSKI</v>
          </cell>
          <cell r="D2554" t="str">
            <v>ESTAGIARIO</v>
          </cell>
        </row>
        <row r="2555">
          <cell r="B2555" t="str">
            <v>BRUNA ROBERTA SILVEIRA BERBERT</v>
          </cell>
          <cell r="D2555" t="str">
            <v>PROFESSOR AUXILIAR</v>
          </cell>
        </row>
        <row r="2556">
          <cell r="B2556" t="str">
            <v>EMILLY DE OLIVEIRA ALVES</v>
          </cell>
          <cell r="D2556" t="str">
            <v>ESTAGIARIO</v>
          </cell>
        </row>
        <row r="2557">
          <cell r="B2557" t="str">
            <v>ALAN FELIPE SANTOS DE JESUS</v>
          </cell>
          <cell r="D2557" t="str">
            <v>AST ATENDIMENTO</v>
          </cell>
        </row>
        <row r="2558">
          <cell r="B2558" t="str">
            <v>LETICIA FERNANDES BELO</v>
          </cell>
          <cell r="D2558" t="str">
            <v>PROFESSOR AUXILIAR</v>
          </cell>
        </row>
        <row r="2559">
          <cell r="B2559" t="str">
            <v>LETICIA DE OLIVEIRA BORBA</v>
          </cell>
          <cell r="D2559" t="str">
            <v>PROFESSOR AUXILIAR</v>
          </cell>
        </row>
        <row r="2560">
          <cell r="B2560" t="str">
            <v>THAIS SIBIONI BERTI BASTOS</v>
          </cell>
          <cell r="D2560" t="str">
            <v>PROFESSOR AUXILIAR</v>
          </cell>
        </row>
        <row r="2561">
          <cell r="B2561" t="str">
            <v>PATRICIA APARECIDA BORTOLLOTI</v>
          </cell>
          <cell r="D2561" t="str">
            <v>PROFESSOR AUXILIAR</v>
          </cell>
        </row>
        <row r="2562">
          <cell r="B2562" t="str">
            <v>FERNANDO FERRAZ FARIA</v>
          </cell>
          <cell r="D2562" t="str">
            <v>PROFESSOR AUXILIAR</v>
          </cell>
        </row>
        <row r="2563">
          <cell r="B2563" t="str">
            <v>LARIANE MORTEAN ONO</v>
          </cell>
          <cell r="D2563" t="str">
            <v>PROFESSOR AUXILIAR</v>
          </cell>
        </row>
        <row r="2564">
          <cell r="B2564" t="str">
            <v>MARCELO CARDOSO FERRARI</v>
          </cell>
          <cell r="D2564" t="str">
            <v>PROFESSOR AUXILIAR</v>
          </cell>
        </row>
        <row r="2565">
          <cell r="B2565" t="str">
            <v>BRUNO RAPHAEL DA CUNHA DOBICZ</v>
          </cell>
          <cell r="D2565" t="str">
            <v>PROFESSOR AUXILIAR</v>
          </cell>
        </row>
        <row r="2566">
          <cell r="B2566" t="str">
            <v>LUCIANA GIBBERT</v>
          </cell>
          <cell r="D2566" t="str">
            <v>PROFESSOR AUXILIAR</v>
          </cell>
        </row>
        <row r="2567">
          <cell r="B2567" t="str">
            <v>ANA BEATRIZ FRANCISCO DE MELO</v>
          </cell>
          <cell r="D2567" t="str">
            <v>PROFESSOR AUXILIAR</v>
          </cell>
        </row>
        <row r="2568">
          <cell r="B2568" t="str">
            <v>DECIO ZANONI JUNIOR</v>
          </cell>
          <cell r="D2568" t="str">
            <v>PROFESSOR AUXILIAR</v>
          </cell>
        </row>
        <row r="2569">
          <cell r="B2569" t="str">
            <v>LUCIANA ELISABETE SAVARIS</v>
          </cell>
          <cell r="D2569" t="str">
            <v>PROFESSOR AUXILIAR</v>
          </cell>
        </row>
        <row r="2570">
          <cell r="B2570" t="str">
            <v>RUBIA HELENA ROOS SIMERMANN</v>
          </cell>
          <cell r="D2570" t="str">
            <v>PROFESSOR LINGUA ESTRANGEIRA</v>
          </cell>
        </row>
        <row r="2571">
          <cell r="B2571" t="str">
            <v>JIBRIL KEDDEH</v>
          </cell>
          <cell r="D2571" t="str">
            <v>PROFESSOR LINGUA ESTRANGEIRA</v>
          </cell>
        </row>
        <row r="2572">
          <cell r="B2572" t="str">
            <v>LUCIANO FRANQUIM DA MAIA</v>
          </cell>
          <cell r="D2572" t="str">
            <v>PROFESSOR LINGUA ESTRANGEIRA</v>
          </cell>
        </row>
        <row r="2573">
          <cell r="B2573" t="str">
            <v>FERNANDA MARA GIBRAN BAUER</v>
          </cell>
          <cell r="D2573" t="str">
            <v>PROFESSOR AUXILIAR</v>
          </cell>
        </row>
        <row r="2574">
          <cell r="B2574" t="str">
            <v>MIRIAM OLIVIA KNOPIK FERRAZ</v>
          </cell>
          <cell r="D2574" t="str">
            <v>PROFESSOR AUXILIAR</v>
          </cell>
        </row>
        <row r="2575">
          <cell r="B2575" t="str">
            <v>FIAMMA GOMES DE VARGAS</v>
          </cell>
          <cell r="D2575" t="str">
            <v>OPERADOR TELEATENDIMENTO</v>
          </cell>
        </row>
        <row r="2576">
          <cell r="B2576" t="str">
            <v>ANNA PAULA ZANONI STEINKE</v>
          </cell>
          <cell r="D2576" t="str">
            <v>PROFESSOR AUXILIAR</v>
          </cell>
        </row>
        <row r="2577">
          <cell r="B2577" t="str">
            <v>MAIARA SILVA TRAMONTE</v>
          </cell>
          <cell r="D2577" t="str">
            <v>PROFESSOR AUXILIAR</v>
          </cell>
        </row>
        <row r="2578">
          <cell r="B2578" t="str">
            <v>EDNA TORRES FELICIO</v>
          </cell>
          <cell r="D2578" t="str">
            <v>PROFESSOR AUXILIAR</v>
          </cell>
        </row>
        <row r="2579">
          <cell r="B2579" t="str">
            <v>BRUNO LEAL VIANNA</v>
          </cell>
          <cell r="D2579" t="str">
            <v>PROFESSOR AUXILIAR</v>
          </cell>
        </row>
        <row r="2580">
          <cell r="B2580" t="str">
            <v>DAVI GUIARZI LUIZ MOREIRA</v>
          </cell>
          <cell r="D2580" t="str">
            <v>ESTAGIARIO</v>
          </cell>
        </row>
        <row r="2581">
          <cell r="B2581" t="str">
            <v>MICHELLE SILVA ZENY</v>
          </cell>
          <cell r="D2581" t="str">
            <v>PROFESSOR AUXILIAR</v>
          </cell>
        </row>
        <row r="2582">
          <cell r="B2582" t="str">
            <v>SAULO VINICIUS DA ROSA</v>
          </cell>
          <cell r="D2582" t="str">
            <v>PROFESSOR AUXILIAR</v>
          </cell>
        </row>
        <row r="2583">
          <cell r="B2583" t="str">
            <v>NATALIA HOTHOVOLPHO BORGES</v>
          </cell>
          <cell r="D2583" t="str">
            <v>AST ATENDIMENTO</v>
          </cell>
        </row>
        <row r="2584">
          <cell r="B2584" t="str">
            <v>CARLA REJANE FERREIRA</v>
          </cell>
          <cell r="D2584" t="str">
            <v>ESP MARKETING</v>
          </cell>
        </row>
        <row r="2585">
          <cell r="B2585" t="str">
            <v>VINICIUS DE OLIVEIRA COSTA</v>
          </cell>
          <cell r="D2585" t="str">
            <v>TEC LABORATORIO II (C/ AD-INS)</v>
          </cell>
        </row>
        <row r="2586">
          <cell r="B2586" t="str">
            <v>RODRIGO LANGE</v>
          </cell>
          <cell r="D2586" t="str">
            <v>PROFESSOR AUXILIAR</v>
          </cell>
        </row>
        <row r="2587">
          <cell r="B2587" t="str">
            <v>TATIANE ZAHN CARDOSO ROLIM</v>
          </cell>
          <cell r="D2587" t="str">
            <v>PROFESSOR AUXILIAR</v>
          </cell>
        </row>
        <row r="2588">
          <cell r="B2588" t="str">
            <v>JAINE CASEMIRO MARCELINO</v>
          </cell>
          <cell r="D2588" t="str">
            <v>ANL FINANCEIRO JR</v>
          </cell>
        </row>
        <row r="2589">
          <cell r="B2589" t="str">
            <v>SUZANA MARIA MENEZES GUARIENTE</v>
          </cell>
          <cell r="D2589" t="str">
            <v>PROFESSOR AUXILIAR</v>
          </cell>
        </row>
        <row r="2590">
          <cell r="B2590" t="str">
            <v>ALDA MARJAN ZORMAN MARQUES</v>
          </cell>
          <cell r="D2590" t="str">
            <v>ANL PROJETOS CULTURA E ESPORTES JR</v>
          </cell>
        </row>
        <row r="2591">
          <cell r="B2591" t="str">
            <v>LUCAS GABRIEL DE SOUZA</v>
          </cell>
          <cell r="D2591" t="str">
            <v>AST ATENDIMENTO</v>
          </cell>
        </row>
        <row r="2592">
          <cell r="B2592" t="str">
            <v>RAMON GOMES DA SILVA</v>
          </cell>
          <cell r="D2592" t="str">
            <v>PROFESSOR ADJUNTO</v>
          </cell>
        </row>
        <row r="2593">
          <cell r="B2593" t="str">
            <v>LUCAS DOS SANTOS DE MORAES</v>
          </cell>
          <cell r="D2593" t="str">
            <v>AST ADMINISTRATIVO II</v>
          </cell>
        </row>
        <row r="2594">
          <cell r="B2594" t="str">
            <v>JACIARA FERNANDA FIORENTIN</v>
          </cell>
          <cell r="D2594" t="str">
            <v>ANL EVENTOS PL</v>
          </cell>
        </row>
        <row r="2595">
          <cell r="B2595" t="str">
            <v>ANA CARLA WERNECK</v>
          </cell>
          <cell r="D2595" t="str">
            <v>PROFESSOR AUXILIAR</v>
          </cell>
        </row>
        <row r="2596">
          <cell r="B2596" t="str">
            <v>GIULIANA GRANDO DALLE CORT</v>
          </cell>
          <cell r="D2596" t="str">
            <v>PROFESSOR LINGUA ESTRANGEIRA</v>
          </cell>
        </row>
        <row r="2597">
          <cell r="B2597" t="str">
            <v>PATRICIA ZAGANIN CAMILO ROSA</v>
          </cell>
          <cell r="D2597" t="str">
            <v>PROFESSOR AUXILIAR</v>
          </cell>
        </row>
        <row r="2598">
          <cell r="B2598" t="str">
            <v>ARIANA BACHINI SILVA</v>
          </cell>
          <cell r="D2598" t="str">
            <v>ESP CULTURA</v>
          </cell>
        </row>
        <row r="2599">
          <cell r="B2599" t="str">
            <v>FELIPE ALBERTO DOS SANTOS DE CARVALHO</v>
          </cell>
          <cell r="D2599" t="str">
            <v>ANL INTELIGENCIA DADOS SR</v>
          </cell>
        </row>
        <row r="2600">
          <cell r="B2600" t="str">
            <v>TOME PICANCO DOS SANTOS FILHO</v>
          </cell>
          <cell r="D2600" t="str">
            <v>AUX JARDINAGEM</v>
          </cell>
        </row>
        <row r="2601">
          <cell r="B2601" t="str">
            <v>FERNANDO CAVAZOTTI COELHO</v>
          </cell>
          <cell r="D2601" t="str">
            <v>PROFESSOR AUXILIAR</v>
          </cell>
        </row>
        <row r="2602">
          <cell r="B2602" t="str">
            <v>ELISA CRISTINA MONTICELLI</v>
          </cell>
          <cell r="D2602" t="str">
            <v>ANL RELACIONAMENTO PL</v>
          </cell>
        </row>
        <row r="2603">
          <cell r="B2603" t="str">
            <v>INDIANE BEATRIZ DA SILVA</v>
          </cell>
          <cell r="D2603" t="str">
            <v>ANL RELACIONAMENTO JR</v>
          </cell>
        </row>
        <row r="2604">
          <cell r="B2604" t="str">
            <v>JULIA GABRIELA FERRAZ DA COSTA</v>
          </cell>
          <cell r="D2604" t="str">
            <v>ESTAGIARIO</v>
          </cell>
        </row>
        <row r="2605">
          <cell r="B2605" t="str">
            <v>LEIZA BARBOSA MARTINS DE SOUZA</v>
          </cell>
          <cell r="D2605" t="str">
            <v>ANL ADMINISTRATIVO JR</v>
          </cell>
        </row>
        <row r="2606">
          <cell r="B2606" t="str">
            <v>TALIA SOARES FRANCISCO</v>
          </cell>
          <cell r="D2606" t="str">
            <v>MONITOR EAD</v>
          </cell>
        </row>
        <row r="2607">
          <cell r="B2607" t="str">
            <v>LIVIA SISSI GONCALVES SOUZA PIECHNIK</v>
          </cell>
          <cell r="D2607" t="str">
            <v>PROFESSOR AUXILIAR</v>
          </cell>
        </row>
        <row r="2608">
          <cell r="B2608" t="str">
            <v>CAIO GUILHERME DE MIRANDA VICENTE</v>
          </cell>
          <cell r="D2608" t="str">
            <v>ANL SISTEMAS JR</v>
          </cell>
        </row>
        <row r="2609">
          <cell r="B2609" t="str">
            <v>WILLIAN DANIEL PINHEIRO DE ARAUJO</v>
          </cell>
          <cell r="D2609" t="str">
            <v>AST ATENDIMENTO</v>
          </cell>
        </row>
        <row r="2610">
          <cell r="B2610" t="str">
            <v>ASTRID KEYLA DOS PRAZERES</v>
          </cell>
          <cell r="D2610" t="str">
            <v>TEC LABORATORIO II (S/ AD-INS)</v>
          </cell>
        </row>
        <row r="2611">
          <cell r="B2611" t="str">
            <v>CAROLINE RODRIGUES DOLINSKI CAMPOS</v>
          </cell>
          <cell r="D2611" t="str">
            <v>ANL PROJETOS JR</v>
          </cell>
        </row>
        <row r="2612">
          <cell r="B2612" t="str">
            <v>LUCAS ALBINO DOS SANTOS</v>
          </cell>
          <cell r="D2612" t="str">
            <v>CHEFE DE COZINHA</v>
          </cell>
        </row>
        <row r="2613">
          <cell r="B2613" t="str">
            <v>ANA CAROLINA PILARSKI NENEVE</v>
          </cell>
          <cell r="D2613" t="str">
            <v>ANL ATRACAO E INCLUSAO PL</v>
          </cell>
        </row>
        <row r="2614">
          <cell r="B2614" t="str">
            <v>MANOELA MASSUCHETTO JAZAR</v>
          </cell>
          <cell r="D2614" t="str">
            <v>PROFESSOR ADJUNTO</v>
          </cell>
        </row>
        <row r="2615">
          <cell r="B2615" t="str">
            <v>ANDRESSA RODRIGUES DA SILVA</v>
          </cell>
          <cell r="D2615" t="str">
            <v>AST ATENDIMENTO</v>
          </cell>
        </row>
        <row r="2616">
          <cell r="B2616" t="str">
            <v>KAUANE AGOSTINHO DE ALMEIDA</v>
          </cell>
          <cell r="D2616" t="str">
            <v>TEC LABORATORIO I (C/ AD-INS)</v>
          </cell>
        </row>
        <row r="2617">
          <cell r="B2617" t="str">
            <v>FELIPE MENDES GIROTTO</v>
          </cell>
          <cell r="D2617" t="str">
            <v>ESTAGIARIO</v>
          </cell>
        </row>
        <row r="2618">
          <cell r="B2618" t="str">
            <v>CAMILLE RAPP</v>
          </cell>
          <cell r="D2618" t="str">
            <v>AST ATENDIMENTO</v>
          </cell>
        </row>
        <row r="2619">
          <cell r="B2619" t="str">
            <v>HELENA DIEHL</v>
          </cell>
          <cell r="D2619" t="str">
            <v>ESTAGIARIO(A)</v>
          </cell>
        </row>
        <row r="2620">
          <cell r="B2620" t="str">
            <v>LEONARDO ALVES DA SILVA</v>
          </cell>
          <cell r="D2620" t="str">
            <v>EXECUTIVO NEGOCIOS SR</v>
          </cell>
        </row>
        <row r="2621">
          <cell r="B2621" t="str">
            <v>LARISSA FERREIRA VERISSIMO</v>
          </cell>
          <cell r="D2621" t="str">
            <v>ANL SUPORTE TI JR</v>
          </cell>
        </row>
        <row r="2622">
          <cell r="B2622" t="str">
            <v>CLEYSON ROBERT MACHADO</v>
          </cell>
          <cell r="D2622" t="str">
            <v>ANL INTELIGENCIA DADOS SR</v>
          </cell>
        </row>
        <row r="2623">
          <cell r="B2623" t="str">
            <v>MARIANA PEREIRA SANTOS</v>
          </cell>
          <cell r="D2623" t="str">
            <v>ESTAGIARIO</v>
          </cell>
        </row>
        <row r="2624">
          <cell r="B2624" t="str">
            <v>LOURIVAL GONCALVES DO NASCIMENTO FILHO</v>
          </cell>
          <cell r="D2624" t="str">
            <v>JARDINEIRO</v>
          </cell>
        </row>
        <row r="2625">
          <cell r="B2625" t="str">
            <v>LUAN GUSTAVO RODRIGUES</v>
          </cell>
          <cell r="D2625" t="str">
            <v>PROFESSOR AUXILIAR</v>
          </cell>
        </row>
        <row r="2626">
          <cell r="B2626" t="str">
            <v>RAFAEL HASTENREITER SOUZA</v>
          </cell>
          <cell r="D2626" t="str">
            <v>ANL TECNOLOGIA EDUCACIONAL JR</v>
          </cell>
        </row>
        <row r="2627">
          <cell r="B2627" t="str">
            <v>ISABELLA DE OLIVEIRA CORREA</v>
          </cell>
          <cell r="D2627" t="str">
            <v>APRENDIZ</v>
          </cell>
        </row>
        <row r="2628">
          <cell r="B2628" t="str">
            <v>MYKAELE FORTES SOUSA</v>
          </cell>
          <cell r="D2628" t="str">
            <v>ANL PROJETOS EDUCACIONAIS JR</v>
          </cell>
        </row>
        <row r="2629">
          <cell r="B2629" t="str">
            <v>VITOR GABRIEL BOMBARDELLI</v>
          </cell>
          <cell r="D2629" t="str">
            <v>APRENDIZ</v>
          </cell>
        </row>
        <row r="2630">
          <cell r="B2630" t="str">
            <v>CRISTINA BEZERRA LOPES GAIO</v>
          </cell>
          <cell r="D2630" t="str">
            <v>AST ATENDIMENTO</v>
          </cell>
        </row>
        <row r="2631">
          <cell r="B2631" t="str">
            <v>NATHANA MANEIRA COSTA</v>
          </cell>
          <cell r="D2631" t="str">
            <v>ENFERMEIRO</v>
          </cell>
        </row>
        <row r="2632">
          <cell r="B2632" t="str">
            <v>JANAYNA EMMANUELE NAZOREK</v>
          </cell>
          <cell r="D2632" t="str">
            <v>AST MONITORAMENTO CFTV</v>
          </cell>
        </row>
        <row r="2633">
          <cell r="B2633" t="str">
            <v>JULIA PEREIRA</v>
          </cell>
          <cell r="D2633" t="str">
            <v>ESTAGIARIO</v>
          </cell>
        </row>
        <row r="2634">
          <cell r="B2634" t="str">
            <v>MARIA DE NAZARE SANTOS</v>
          </cell>
          <cell r="D2634" t="str">
            <v>ANL ADMINISTRATIVO JR</v>
          </cell>
        </row>
        <row r="2635">
          <cell r="B2635" t="str">
            <v>NICOLI AMANDA CHAVES FRAGOSO</v>
          </cell>
          <cell r="D2635" t="str">
            <v>ANL PROJETOS PESQUISAS PL</v>
          </cell>
        </row>
        <row r="2636">
          <cell r="B2636" t="str">
            <v>DANIEL DELMORO BRITO</v>
          </cell>
          <cell r="D2636" t="str">
            <v>AST ATENDIMENTO</v>
          </cell>
        </row>
        <row r="2637">
          <cell r="B2637" t="str">
            <v>MARCELY SAIEVICZ AREND LANGER</v>
          </cell>
          <cell r="D2637" t="str">
            <v>ANL RELACIONAMENTO JR</v>
          </cell>
        </row>
        <row r="2638">
          <cell r="B2638" t="str">
            <v>JANICE COUGO BRASIL</v>
          </cell>
          <cell r="D2638" t="str">
            <v>ANL FINANCEIRO PL</v>
          </cell>
        </row>
        <row r="2639">
          <cell r="B2639" t="str">
            <v>DEBORA E SILVA DE SIQUEIRA</v>
          </cell>
          <cell r="D2639" t="str">
            <v>ANL ADMINISTRATIVO JR</v>
          </cell>
        </row>
        <row r="2640">
          <cell r="B2640" t="str">
            <v>PAULO ROBERTO WERNECK MOREIRA DE CARVALHO</v>
          </cell>
          <cell r="D2640" t="str">
            <v>ESP ARQUITETURA TI</v>
          </cell>
        </row>
        <row r="2641">
          <cell r="B2641" t="str">
            <v>GUSTAVO DIEGO DE SOUZA</v>
          </cell>
          <cell r="D2641" t="str">
            <v>AST ATENDIMENTO</v>
          </cell>
        </row>
        <row r="2642">
          <cell r="B2642" t="str">
            <v>LETICIA RAMOS DO NASCIMENTO</v>
          </cell>
          <cell r="D2642" t="str">
            <v>AST MARKETING</v>
          </cell>
        </row>
        <row r="2643">
          <cell r="B2643" t="str">
            <v>CARLA ALANA DA CRUZ FERREIRA</v>
          </cell>
          <cell r="D2643" t="str">
            <v>AST ATENDIMENTO</v>
          </cell>
        </row>
        <row r="2644">
          <cell r="B2644" t="str">
            <v>JOSE FERNANDO CALAUDINO</v>
          </cell>
          <cell r="D2644" t="str">
            <v>TEC LABORATORIO II (S/ AD-INS)</v>
          </cell>
        </row>
        <row r="2645">
          <cell r="B2645" t="str">
            <v>LORENA SANTANA DE JESUS</v>
          </cell>
          <cell r="D2645" t="str">
            <v>BIBLIOTECARIO PL</v>
          </cell>
        </row>
        <row r="2646">
          <cell r="B2646" t="str">
            <v>MARIA EDUARDA OLIVEIRA</v>
          </cell>
          <cell r="D2646" t="str">
            <v>ANL MARKETING JR</v>
          </cell>
        </row>
        <row r="2647">
          <cell r="B2647" t="str">
            <v>JULIA LUZ COSTA</v>
          </cell>
          <cell r="D2647" t="str">
            <v>ANL ENGENHARIA JR</v>
          </cell>
        </row>
        <row r="2648">
          <cell r="B2648" t="str">
            <v>LEANDRO SANCHEZ</v>
          </cell>
          <cell r="D2648" t="str">
            <v>ANL ENGENHARIA JR</v>
          </cell>
        </row>
        <row r="2649">
          <cell r="B2649" t="str">
            <v>GUSTAVO ALMEIDA DE MORAIS</v>
          </cell>
          <cell r="D2649" t="str">
            <v>ANL PRODUCAO CONTEUDO DIGITAL PL</v>
          </cell>
        </row>
        <row r="2650">
          <cell r="B2650" t="str">
            <v>EDUARDO RODRIGUES ARAUJO DE OLIVEIRA</v>
          </cell>
          <cell r="D2650" t="str">
            <v>ESTAGIARIO</v>
          </cell>
        </row>
        <row r="2651">
          <cell r="B2651" t="str">
            <v>FELIPE PIETRO FARIAS</v>
          </cell>
          <cell r="D2651" t="str">
            <v>CONSULTOR INTELIGENCIA DADOS</v>
          </cell>
        </row>
        <row r="2652">
          <cell r="B2652" t="str">
            <v>GABRIEL CAYRES</v>
          </cell>
          <cell r="D2652" t="str">
            <v>ESTAGIARIO</v>
          </cell>
        </row>
        <row r="2653">
          <cell r="B2653" t="str">
            <v>JULIANA NABBOUH DO NASCIMENTO</v>
          </cell>
          <cell r="D2653" t="str">
            <v>ESTAGIARIO</v>
          </cell>
        </row>
        <row r="2654">
          <cell r="B2654" t="str">
            <v>VINICIUS HENRIQUE CAMILO DE CASTRO</v>
          </cell>
          <cell r="D2654" t="str">
            <v>ESTAGIARIO</v>
          </cell>
        </row>
        <row r="2655">
          <cell r="B2655" t="str">
            <v>MAURICIO NAUR VARGAS</v>
          </cell>
          <cell r="D2655" t="str">
            <v>ANL PLANEJAMENTO ESTRATEGICO PL</v>
          </cell>
        </row>
        <row r="2656">
          <cell r="B2656" t="str">
            <v>CAROLINA REIS BORGES</v>
          </cell>
          <cell r="D2656" t="str">
            <v>ANL RELACIONAMENTO PL</v>
          </cell>
        </row>
        <row r="2657">
          <cell r="B2657" t="str">
            <v>QUEILA GOUVEIA TAVARES</v>
          </cell>
          <cell r="D2657" t="str">
            <v>SPV AGROPECUARIA</v>
          </cell>
        </row>
        <row r="2658">
          <cell r="B2658" t="str">
            <v>NICOLLE NAYARA FLECK</v>
          </cell>
          <cell r="D2658" t="str">
            <v>ANL ADMINISTRATIVO JR</v>
          </cell>
        </row>
        <row r="2659">
          <cell r="B2659" t="str">
            <v>NICOLE RIBEIRO DA SILVA</v>
          </cell>
          <cell r="D2659" t="str">
            <v>AST ATENDIMENTO</v>
          </cell>
        </row>
        <row r="2660">
          <cell r="B2660" t="str">
            <v>FELIPE DOS SANTOS TRAIN</v>
          </cell>
          <cell r="D2660" t="str">
            <v>ENGENHEIRO CIVIL PL</v>
          </cell>
        </row>
        <row r="2661">
          <cell r="B2661" t="str">
            <v>LARYSSA BUSQUIM LUIZ TAVARES</v>
          </cell>
          <cell r="D2661" t="str">
            <v>ANL TECNOLOGIA EDUCACIONAL JR</v>
          </cell>
        </row>
        <row r="2662">
          <cell r="B2662" t="str">
            <v>GREICY KELLY DOS REIS LELL</v>
          </cell>
          <cell r="D2662" t="str">
            <v>ANL ADMINISTRATIVO JR</v>
          </cell>
        </row>
        <row r="2663">
          <cell r="B2663" t="str">
            <v>EDUARDO FOCHESATTO COSTAMILAN</v>
          </cell>
          <cell r="D2663" t="str">
            <v>AUX MANUTENCAO</v>
          </cell>
        </row>
        <row r="2664">
          <cell r="B2664" t="str">
            <v>MARIA JULIA ALVES MACHADO</v>
          </cell>
          <cell r="D2664" t="str">
            <v>ESTAGIARIO</v>
          </cell>
        </row>
        <row r="2665">
          <cell r="B2665" t="str">
            <v>HELENA CARVALHO FERREIRA</v>
          </cell>
          <cell r="D2665" t="str">
            <v>DESENVOLVEDOR FULL STACK JR</v>
          </cell>
        </row>
        <row r="2666">
          <cell r="B2666" t="str">
            <v>ANDERSON LUIZ BORGES</v>
          </cell>
          <cell r="D2666" t="str">
            <v>ANL COMERCIAL PL</v>
          </cell>
        </row>
        <row r="2667">
          <cell r="B2667" t="str">
            <v>CATIA APARECIDA MORA DA SILVA</v>
          </cell>
          <cell r="D2667" t="str">
            <v>AUX BOVINOCULTURA</v>
          </cell>
        </row>
        <row r="2668">
          <cell r="B2668" t="str">
            <v>LETICIA POPHAL CUTISQUE</v>
          </cell>
          <cell r="D2668" t="str">
            <v>PROFESSOR AUXILIAR</v>
          </cell>
        </row>
        <row r="2669">
          <cell r="B2669" t="str">
            <v>CLEYTON PIMENTEL PONTILIS</v>
          </cell>
          <cell r="D2669" t="str">
            <v>ANL COMERCIAL JR</v>
          </cell>
        </row>
        <row r="2670">
          <cell r="B2670" t="str">
            <v>MARIA ANGELICA BORGES COSSA</v>
          </cell>
          <cell r="D2670" t="str">
            <v>AST ATENDIMENTO</v>
          </cell>
        </row>
        <row r="2671">
          <cell r="B2671" t="str">
            <v>RAFAELLA CLEMENTE LIMA</v>
          </cell>
          <cell r="D2671" t="str">
            <v>AST ATENDIMENTO</v>
          </cell>
        </row>
        <row r="2672">
          <cell r="B2672" t="str">
            <v>FABIO COSTA CEDRO</v>
          </cell>
          <cell r="D2672" t="str">
            <v>ANL PROJETOS TI SR</v>
          </cell>
        </row>
        <row r="2673">
          <cell r="B2673" t="str">
            <v>RAQUEL SOARES DE LIMA DE MORAES</v>
          </cell>
          <cell r="D2673" t="str">
            <v>ESP DESENV PRODUTOS DIGITAIS</v>
          </cell>
        </row>
        <row r="2674">
          <cell r="B2674" t="str">
            <v>ASSIMA SLEBIE ATAR DA COSTA</v>
          </cell>
          <cell r="D2674" t="str">
            <v>ANL PROJETOS TI SR</v>
          </cell>
        </row>
        <row r="2675">
          <cell r="B2675" t="str">
            <v>MORGANA DOS SANTOS JEVEAUX PEREIRA</v>
          </cell>
          <cell r="D2675" t="str">
            <v>ESTAGIARIO</v>
          </cell>
        </row>
        <row r="2676">
          <cell r="B2676" t="str">
            <v>LARISSA DE SOUZA SERAFIM</v>
          </cell>
          <cell r="D2676" t="str">
            <v>EXECUTIVO NEGOCIOS PL</v>
          </cell>
        </row>
        <row r="2677">
          <cell r="B2677" t="str">
            <v>LARISSA GOMES DOS SANTOS</v>
          </cell>
          <cell r="D2677" t="str">
            <v>ANL MARKETING PL</v>
          </cell>
        </row>
        <row r="2678">
          <cell r="B2678" t="str">
            <v>AMANDA ELISABETE DA MOTA LEITE</v>
          </cell>
          <cell r="D2678" t="str">
            <v>DESIGNER DIGITAL UX SR</v>
          </cell>
        </row>
        <row r="2679">
          <cell r="B2679" t="str">
            <v>GLENDHAH VICCTTORIA DE CASSIA BARBOSA ROSSA</v>
          </cell>
          <cell r="D2679" t="str">
            <v>ESTAGIARIO</v>
          </cell>
        </row>
        <row r="2680">
          <cell r="B2680" t="str">
            <v>CARLOS EDUARDO DOS SANTOS DE ALMEIDA</v>
          </cell>
          <cell r="D2680" t="str">
            <v>ANL ADMINISTRATIVO JR</v>
          </cell>
        </row>
        <row r="2681">
          <cell r="B2681" t="str">
            <v>YANEXIS AIXMAR ROMERO CAMPBELL</v>
          </cell>
          <cell r="D2681" t="str">
            <v>AST ATENDIMENTO</v>
          </cell>
        </row>
        <row r="2682">
          <cell r="B2682" t="str">
            <v>FELIPE DE POLI DE SIQUEIRA</v>
          </cell>
          <cell r="D2682" t="str">
            <v>PROFESSOR AUXILIAR</v>
          </cell>
        </row>
        <row r="2683">
          <cell r="B2683" t="str">
            <v>NAIRANA RADTKE CANEPPELE BUSSLER</v>
          </cell>
          <cell r="D2683" t="str">
            <v>PROFESSOR ADJUNTO</v>
          </cell>
        </row>
        <row r="2684">
          <cell r="B2684" t="str">
            <v>TEODORO AUGUSTO DE SOUZA SILVA ZANIS</v>
          </cell>
          <cell r="D2684" t="str">
            <v>ESTAGIARIO</v>
          </cell>
        </row>
        <row r="2685">
          <cell r="B2685" t="str">
            <v>ANA LUIZA TROVO LOPES DA SILVA</v>
          </cell>
          <cell r="D2685" t="str">
            <v>AST COMUNICACAO MARKETING</v>
          </cell>
        </row>
        <row r="2686">
          <cell r="B2686" t="str">
            <v>MARCOS RONALDO DOS SANTOS SPENA</v>
          </cell>
          <cell r="D2686" t="str">
            <v>ANL PROJETOS TI SR</v>
          </cell>
        </row>
        <row r="2687">
          <cell r="B2687" t="str">
            <v>JOAO GUILHERME BIANCHINI</v>
          </cell>
          <cell r="D2687" t="str">
            <v>AUX LABORATORIO</v>
          </cell>
        </row>
        <row r="2688">
          <cell r="B2688" t="str">
            <v>CYNTHIA VENANCIO DE SOUZA</v>
          </cell>
          <cell r="D2688" t="str">
            <v>ENFERMEIRO</v>
          </cell>
        </row>
        <row r="2689">
          <cell r="B2689" t="str">
            <v>MAICK BELLO DAS CHAGAS</v>
          </cell>
          <cell r="D2689" t="str">
            <v>MONITOR EAD</v>
          </cell>
        </row>
        <row r="2690">
          <cell r="B2690" t="str">
            <v>HELLEN DE ALMEIDA VIENNA</v>
          </cell>
          <cell r="D2690" t="str">
            <v>ANL INTELIGENCIA NEGOCIOS SR</v>
          </cell>
        </row>
        <row r="2691">
          <cell r="B2691" t="str">
            <v>ISABELLA CANDIDO RIBEIRO</v>
          </cell>
          <cell r="D2691" t="str">
            <v>GTE MARKETING</v>
          </cell>
        </row>
        <row r="2692">
          <cell r="B2692" t="str">
            <v>CAROLINE HABLE</v>
          </cell>
          <cell r="D2692" t="str">
            <v>ANL SUCESSO DO CLIENTE SR</v>
          </cell>
        </row>
        <row r="2693">
          <cell r="B2693" t="str">
            <v>MAYARA KAMPA BATISTA</v>
          </cell>
          <cell r="D2693" t="str">
            <v>AST ATENDIMENTO</v>
          </cell>
        </row>
        <row r="2694">
          <cell r="B2694" t="str">
            <v>THIAGO CORONADO</v>
          </cell>
          <cell r="D2694" t="str">
            <v>ANL EVENTOS JR</v>
          </cell>
        </row>
        <row r="2695">
          <cell r="B2695" t="str">
            <v>ALINE CORREIA OLIVERI ZIELINSKI</v>
          </cell>
          <cell r="D2695" t="str">
            <v>ANL ADMINISTRATIVO PL</v>
          </cell>
        </row>
        <row r="2696">
          <cell r="B2696" t="str">
            <v>ANA FLAVIA DOS SANTOS</v>
          </cell>
          <cell r="D2696" t="str">
            <v>AST BIBLIOTECA I</v>
          </cell>
        </row>
        <row r="2697">
          <cell r="B2697" t="str">
            <v>JUAN EDSON CABRERA QUISPE</v>
          </cell>
          <cell r="D2697" t="str">
            <v>PROFESSOR ADJUNTO</v>
          </cell>
        </row>
        <row r="2698">
          <cell r="B2698" t="str">
            <v>ANA CLARA CELESTE SANTOS CASTELO BRANCO</v>
          </cell>
          <cell r="D2698" t="str">
            <v>AST COMUNICACAO MARKETING</v>
          </cell>
        </row>
        <row r="2699">
          <cell r="B2699" t="str">
            <v>ELLEN MARQUES DE OLIVEIRA</v>
          </cell>
          <cell r="D2699" t="str">
            <v>AST ATENDIMENTO</v>
          </cell>
        </row>
        <row r="2700">
          <cell r="B2700" t="str">
            <v>TATIANA DA COSTA DOS SANTOS</v>
          </cell>
          <cell r="D2700" t="str">
            <v>ANL PROJETOS COMUNITARIOS JR</v>
          </cell>
        </row>
        <row r="2701">
          <cell r="B2701" t="str">
            <v>ALECSANDRA DURAN DA SILVA</v>
          </cell>
          <cell r="D2701" t="str">
            <v>MONITOR EAD</v>
          </cell>
        </row>
        <row r="2702">
          <cell r="B2702" t="str">
            <v>ANDRE CORREA LEMES</v>
          </cell>
          <cell r="D2702" t="str">
            <v>DESIGNER PL</v>
          </cell>
        </row>
        <row r="2703">
          <cell r="B2703" t="str">
            <v>DAVID NYCHOLAS DA CRUZ FERNANDES</v>
          </cell>
          <cell r="D2703" t="str">
            <v>INSTRUTOR</v>
          </cell>
        </row>
        <row r="2704">
          <cell r="B2704" t="str">
            <v>JESSICA SANTOS DE OLIVEIRA</v>
          </cell>
          <cell r="D2704" t="str">
            <v>ANL ADMINISTRATIVO PL</v>
          </cell>
        </row>
        <row r="2705">
          <cell r="B2705" t="str">
            <v>EDUARDO FRITZEN DE DEUS</v>
          </cell>
          <cell r="D2705" t="str">
            <v>ESTAGIARIO</v>
          </cell>
        </row>
        <row r="2706">
          <cell r="B2706" t="str">
            <v>LUIZ FERNANDO COSTA CALMON DE ARAUJO GOES</v>
          </cell>
          <cell r="D2706" t="str">
            <v>REDATOR UX SR</v>
          </cell>
        </row>
        <row r="2707">
          <cell r="B2707" t="str">
            <v>TAIS REGINA PEREIRA</v>
          </cell>
          <cell r="D2707" t="str">
            <v>ANL RECURSOS HUMANOS PL</v>
          </cell>
        </row>
        <row r="2708">
          <cell r="B2708" t="str">
            <v>LARA MARIA KALEMPA DEMEU</v>
          </cell>
          <cell r="D2708" t="str">
            <v>ANL EDUCACIONAL PL</v>
          </cell>
        </row>
        <row r="2709">
          <cell r="B2709" t="str">
            <v>DIOGO JOSE VARASCHIN DE OLIVEIRA</v>
          </cell>
          <cell r="D2709" t="str">
            <v>ANL INTELIGENCIA DADOS JR</v>
          </cell>
        </row>
        <row r="2710">
          <cell r="B2710" t="str">
            <v>WERLEINA MOREIRA DE FIGUEIREDO</v>
          </cell>
          <cell r="D2710" t="str">
            <v>COORD COMERCIAL</v>
          </cell>
        </row>
        <row r="2711">
          <cell r="B2711" t="str">
            <v>LETICIA HELENA FERNANDES DE OLIVEIRA</v>
          </cell>
          <cell r="D2711" t="str">
            <v>ANL ATENDIMENTO PL</v>
          </cell>
        </row>
        <row r="2712">
          <cell r="B2712" t="str">
            <v>MANUEL ANTONIO ESTABA RODRIGUEZ</v>
          </cell>
          <cell r="D2712" t="str">
            <v>AUX MANUTENCAO</v>
          </cell>
        </row>
        <row r="2713">
          <cell r="B2713" t="str">
            <v>FABIANA ALEXANDRA CLERICI</v>
          </cell>
          <cell r="D2713" t="str">
            <v>ANL TRANSFORMACAO PROCESSOS SR</v>
          </cell>
        </row>
        <row r="2714">
          <cell r="B2714" t="str">
            <v>HIAGO VICTOR MOREIRA ARAUJO</v>
          </cell>
          <cell r="D2714" t="str">
            <v>ESTAGIARIO</v>
          </cell>
        </row>
        <row r="2715">
          <cell r="B2715" t="str">
            <v>MARIA EDUARDA DOS SANTOS SILVA</v>
          </cell>
          <cell r="D2715" t="str">
            <v>AST ATRACAO E INCLUSAO</v>
          </cell>
        </row>
        <row r="2716">
          <cell r="B2716" t="str">
            <v>ANTONIO MANOEL DA SILVA</v>
          </cell>
          <cell r="D2716" t="str">
            <v>AUX JARDINAGEM</v>
          </cell>
        </row>
        <row r="2717">
          <cell r="B2717" t="str">
            <v>CARLOS EDUARDO BANDEIRA</v>
          </cell>
          <cell r="D2717" t="str">
            <v>DESIGNER DIGITAL UX SR</v>
          </cell>
        </row>
        <row r="2718">
          <cell r="B2718" t="str">
            <v>JULIANA STONOGA</v>
          </cell>
          <cell r="D2718" t="str">
            <v>ESTAGIARIO</v>
          </cell>
        </row>
        <row r="2719">
          <cell r="B2719" t="str">
            <v>DEBORA RAICCA DE ARAUJO MOTA</v>
          </cell>
          <cell r="D2719" t="str">
            <v>APRENDIZ</v>
          </cell>
        </row>
        <row r="2720">
          <cell r="B2720" t="str">
            <v>JOAO VITOR MENDONCA DA SILVA</v>
          </cell>
          <cell r="D2720" t="str">
            <v>APRENDIZ</v>
          </cell>
        </row>
        <row r="2721">
          <cell r="B2721" t="str">
            <v>GUILHERME TUCHANSKI ROCHA</v>
          </cell>
          <cell r="D2721" t="str">
            <v>ESTAGIARIO</v>
          </cell>
        </row>
        <row r="2722">
          <cell r="B2722" t="str">
            <v>EDUARDO FUSTINONI DE ALMEIDA</v>
          </cell>
          <cell r="D2722" t="str">
            <v>APRENDIZ</v>
          </cell>
        </row>
        <row r="2723">
          <cell r="B2723" t="str">
            <v>NATALLY MARIANE DOS SANTOS CAMPOS</v>
          </cell>
          <cell r="D2723" t="str">
            <v>APRENDIZ</v>
          </cell>
        </row>
        <row r="2724">
          <cell r="B2724" t="str">
            <v>MARIANA CAMARGO TULIO</v>
          </cell>
          <cell r="D2724" t="str">
            <v>APRENDIZ</v>
          </cell>
        </row>
        <row r="2725">
          <cell r="B2725" t="str">
            <v>DANDARA DOS SANTOS BENEDITO</v>
          </cell>
          <cell r="D2725" t="str">
            <v>APRENDIZ</v>
          </cell>
        </row>
        <row r="2726">
          <cell r="B2726" t="str">
            <v>ANA JULIA SILVA HOMAM</v>
          </cell>
          <cell r="D2726" t="str">
            <v>APRENDIZ</v>
          </cell>
        </row>
        <row r="2727">
          <cell r="B2727" t="str">
            <v>RAYSSA DOS SANTOS DOMINGOS</v>
          </cell>
          <cell r="D2727" t="str">
            <v>APRENDIZ</v>
          </cell>
        </row>
        <row r="2728">
          <cell r="B2728" t="str">
            <v>EDUARDO SABINO DA SILVA</v>
          </cell>
          <cell r="D2728" t="str">
            <v>APRENDIZ</v>
          </cell>
        </row>
        <row r="2729">
          <cell r="B2729" t="str">
            <v>NATHALY RODRIGUES DE AZEVEDO</v>
          </cell>
          <cell r="D2729" t="str">
            <v>APRENDIZ</v>
          </cell>
        </row>
        <row r="2730">
          <cell r="B2730" t="str">
            <v>EMANUELLY VITORIA DE MELO SANTOS</v>
          </cell>
          <cell r="D2730" t="str">
            <v>APRENDIZ</v>
          </cell>
        </row>
        <row r="2731">
          <cell r="B2731" t="str">
            <v>LUIZ FERNANDO MAGALHAES SILVA</v>
          </cell>
          <cell r="D2731" t="str">
            <v>APRENDIZ</v>
          </cell>
        </row>
        <row r="2732">
          <cell r="B2732" t="str">
            <v>HENRIQUE AMERICO DOS SANTOS</v>
          </cell>
          <cell r="D2732" t="str">
            <v>APRENDIZ</v>
          </cell>
        </row>
        <row r="2733">
          <cell r="B2733" t="str">
            <v>RAPHAEL RODRIGUES SILVA</v>
          </cell>
          <cell r="D2733" t="str">
            <v>FARMACEUTICO</v>
          </cell>
        </row>
        <row r="2734">
          <cell r="B2734" t="str">
            <v>SIMONE CRISTINA PEREIRA</v>
          </cell>
          <cell r="D2734" t="str">
            <v>TEC ENFERMAGEM</v>
          </cell>
        </row>
        <row r="2735">
          <cell r="B2735" t="str">
            <v>MARCIA PEREIRA DA SILVA DAIKUHARA</v>
          </cell>
          <cell r="D2735" t="str">
            <v>TEC ENFERMAGEM</v>
          </cell>
        </row>
        <row r="2736">
          <cell r="B2736" t="str">
            <v>ABIMAEL ALVES DE OLIVEIRA NETO</v>
          </cell>
          <cell r="D2736" t="str">
            <v>DESENVOLVEDOR FULL STACK SR</v>
          </cell>
        </row>
        <row r="2737">
          <cell r="B2737" t="str">
            <v>VICTOR JESUS RIVAS SEIJAS</v>
          </cell>
          <cell r="D2737" t="str">
            <v>DESENVOLVEDOR FULL STACK PL</v>
          </cell>
        </row>
        <row r="2738">
          <cell r="B2738" t="str">
            <v>BRENO EDUARDO FERREIRA DE PADUA</v>
          </cell>
          <cell r="D2738" t="str">
            <v>AST MONITORAMENTO CFTV</v>
          </cell>
        </row>
        <row r="2739">
          <cell r="B2739" t="str">
            <v>GUSTAVO HENRIQUE DA PAIXAO DE CAMPOS</v>
          </cell>
          <cell r="D2739" t="str">
            <v>OPERADOR TELEATENDIMENTO</v>
          </cell>
        </row>
        <row r="2740">
          <cell r="B2740" t="str">
            <v>ROBSON RENAN SILVA</v>
          </cell>
          <cell r="D2740" t="str">
            <v>ESP SOLUCOES TI</v>
          </cell>
        </row>
        <row r="2741">
          <cell r="B2741" t="str">
            <v>SILIANE MAIARA DA LUZ PEREIRA</v>
          </cell>
          <cell r="D2741" t="str">
            <v>ANL TRANSFORMACAO PROCESSOS SR</v>
          </cell>
        </row>
        <row r="2742">
          <cell r="B2742" t="str">
            <v>GABRIEL RIBEIRO DA SILVA</v>
          </cell>
          <cell r="D2742" t="str">
            <v>OPERADOR TELEATENDIMENTO</v>
          </cell>
        </row>
        <row r="2743">
          <cell r="B2743" t="str">
            <v>DAYANY ELIAS DA SILVA FERREIRA</v>
          </cell>
          <cell r="D2743" t="str">
            <v>OPERADOR TELEATENDIMENTO</v>
          </cell>
        </row>
        <row r="2744">
          <cell r="B2744" t="str">
            <v>DANIELLE COSTA ALVES DA SILVA</v>
          </cell>
          <cell r="D2744" t="str">
            <v>AST ATENDIMENTO</v>
          </cell>
        </row>
        <row r="2745">
          <cell r="B2745" t="str">
            <v>GABRIEL HENRIQUE PERIN VIEIRA</v>
          </cell>
          <cell r="D2745" t="str">
            <v>ANL QUALIDADE TI PL</v>
          </cell>
        </row>
        <row r="2746">
          <cell r="B2746" t="str">
            <v>CARLA ADRIANI DA SILVA DANTAS</v>
          </cell>
          <cell r="D2746" t="str">
            <v>AST ATENDIMENTO</v>
          </cell>
        </row>
        <row r="2747">
          <cell r="B2747" t="str">
            <v>VINICIUS GUILHERME BORGES DALLABONA</v>
          </cell>
          <cell r="D2747" t="str">
            <v>OPERADOR TELEATENDIMENTO</v>
          </cell>
        </row>
        <row r="2748">
          <cell r="B2748" t="str">
            <v>RAFAEL FERNANDO GONCALVES DE LIMA</v>
          </cell>
          <cell r="D2748" t="str">
            <v>TEC LABORATORIO I (S/ AD-INS)</v>
          </cell>
        </row>
        <row r="2749">
          <cell r="B2749" t="str">
            <v>ENZO FRANCO DALLALANA</v>
          </cell>
          <cell r="D2749" t="str">
            <v>OPERADOR TELEATENDIMENTO</v>
          </cell>
        </row>
        <row r="2750">
          <cell r="B2750" t="str">
            <v>MANOEL PEREIRA CIDREIRA NETO</v>
          </cell>
          <cell r="D2750" t="str">
            <v>AST ATENDIMENTO</v>
          </cell>
        </row>
        <row r="2751">
          <cell r="B2751" t="str">
            <v>ANA LUIZA TULIO DE CARVALHO</v>
          </cell>
          <cell r="D2751" t="str">
            <v>OPERADOR TELEATENDIMENTO</v>
          </cell>
        </row>
        <row r="2752">
          <cell r="B2752" t="str">
            <v>EVELIN GONCALVES GODAR</v>
          </cell>
          <cell r="D2752" t="str">
            <v>TEC SEGURANCA TRABALHO</v>
          </cell>
        </row>
        <row r="2753">
          <cell r="B2753" t="str">
            <v>LUISA DA SILVA REZENDE</v>
          </cell>
          <cell r="D2753" t="str">
            <v>OPERADOR TELEATENDIMENTO</v>
          </cell>
        </row>
        <row r="2754">
          <cell r="B2754" t="str">
            <v>LUANA SKOREK BUENO DOS SANTOS</v>
          </cell>
          <cell r="D2754" t="str">
            <v>OPERADOR TELEATENDIMENTO</v>
          </cell>
        </row>
        <row r="2755">
          <cell r="B2755" t="str">
            <v>MATHEUS DA SILVA SCHELEIDER</v>
          </cell>
          <cell r="D2755" t="str">
            <v>OPERADOR TELEATENDIMENTO</v>
          </cell>
        </row>
        <row r="2756">
          <cell r="B2756" t="str">
            <v>MICHELLE RIBEIRO ANTUNES</v>
          </cell>
          <cell r="D2756" t="str">
            <v>OPERADOR TELEATENDIMENTO</v>
          </cell>
        </row>
        <row r="2757">
          <cell r="B2757" t="str">
            <v>ELOISA HELEN DE SOUZA HELVIG</v>
          </cell>
          <cell r="D2757" t="str">
            <v>ANL GESTAO ACADEMICA JR</v>
          </cell>
        </row>
        <row r="2758">
          <cell r="B2758" t="str">
            <v>JULIANO HALMENSCHLAGER</v>
          </cell>
          <cell r="D2758" t="str">
            <v>GTE PROJETOS</v>
          </cell>
        </row>
        <row r="2759">
          <cell r="B2759" t="str">
            <v>ANA CAROLINE DE PAULA</v>
          </cell>
          <cell r="D2759" t="str">
            <v>PROFESSOR AUXILIAR</v>
          </cell>
        </row>
        <row r="2760">
          <cell r="B2760" t="str">
            <v>CATHARINA LITZINGER GOMES LEFFERS</v>
          </cell>
          <cell r="D2760" t="str">
            <v>ESTAGIARIO</v>
          </cell>
        </row>
        <row r="2761">
          <cell r="B2761" t="str">
            <v>ANA CAROLINA DA CRUZ DE SOUZA</v>
          </cell>
          <cell r="D2761" t="str">
            <v>ESTAGIARIO</v>
          </cell>
        </row>
        <row r="2762">
          <cell r="B2762" t="str">
            <v>KWAN WESLEY GOETTEMS</v>
          </cell>
          <cell r="D2762" t="str">
            <v>ESTAGIARIO</v>
          </cell>
        </row>
        <row r="2763">
          <cell r="B2763" t="str">
            <v>GABRIELA VIEIRA LEITE DE OLIVEIRA</v>
          </cell>
          <cell r="D2763" t="str">
            <v>ANL OPERACOES ACADEMICAS JR</v>
          </cell>
        </row>
        <row r="2764">
          <cell r="B2764" t="str">
            <v>ALYNE PIMENTA SOARES</v>
          </cell>
          <cell r="D2764" t="str">
            <v>AST ATENDIMENTO</v>
          </cell>
        </row>
        <row r="2765">
          <cell r="B2765" t="str">
            <v>KEURY ROSSA DE LIMA</v>
          </cell>
          <cell r="D2765" t="str">
            <v>BOMBEIRO CIVIL</v>
          </cell>
        </row>
        <row r="2766">
          <cell r="B2766" t="str">
            <v>SOFIA THOMSEN</v>
          </cell>
          <cell r="D2766" t="str">
            <v>ESTAGIARIO</v>
          </cell>
        </row>
        <row r="2767">
          <cell r="B2767" t="str">
            <v>RICARDO HEY</v>
          </cell>
          <cell r="D2767" t="str">
            <v>ESTAGIARIO</v>
          </cell>
        </row>
        <row r="2768">
          <cell r="B2768" t="str">
            <v>DANIELE ANDRADE SILVA</v>
          </cell>
          <cell r="D2768" t="str">
            <v>ANL ADMINISTRATIVO JR</v>
          </cell>
        </row>
        <row r="2769">
          <cell r="B2769" t="str">
            <v>MARCOS EDUARDO BOBATO</v>
          </cell>
          <cell r="D2769" t="str">
            <v>ANL CONVENIOS PL</v>
          </cell>
        </row>
        <row r="2770">
          <cell r="B2770" t="str">
            <v>THIAGO ESQUERDO OLIVEIRA</v>
          </cell>
          <cell r="D2770" t="str">
            <v>EXECUTIVO NEGOCIOS PL</v>
          </cell>
        </row>
        <row r="2771">
          <cell r="B2771" t="str">
            <v>JOANA EDUARDA SANTOS ZEFERINO</v>
          </cell>
          <cell r="D2771" t="str">
            <v>APRENDIZ</v>
          </cell>
        </row>
        <row r="2772">
          <cell r="B2772" t="str">
            <v>CRISLEI DOS SANTOS NALEVAICO</v>
          </cell>
          <cell r="D2772" t="str">
            <v>ANL ADMINISTRATIVO JR</v>
          </cell>
        </row>
        <row r="2773">
          <cell r="B2773" t="str">
            <v>DANIEL DAGOSTIM MUNHOZ</v>
          </cell>
          <cell r="D2773" t="str">
            <v>ESTAGIARIO</v>
          </cell>
        </row>
        <row r="2774">
          <cell r="B2774" t="str">
            <v>ALLEXIA DE LIMA CHAVES</v>
          </cell>
          <cell r="D2774" t="str">
            <v>EXECUTIVO NEGOCIOS PL</v>
          </cell>
        </row>
        <row r="2775">
          <cell r="B2775" t="str">
            <v>RODRIGO WARMELING</v>
          </cell>
          <cell r="D2775" t="str">
            <v>AST MONITORAMENTO CFTV</v>
          </cell>
        </row>
        <row r="2776">
          <cell r="B2776" t="str">
            <v>EDUARDO BAYER</v>
          </cell>
          <cell r="D2776" t="str">
            <v>EXECUTIVO NEGOCIOS PL</v>
          </cell>
        </row>
        <row r="2777">
          <cell r="B2777" t="str">
            <v>MARIA CRISTINA CHAVES</v>
          </cell>
          <cell r="D2777" t="str">
            <v>ANL COMERCIAL JR</v>
          </cell>
        </row>
        <row r="2778">
          <cell r="B2778" t="str">
            <v>JAQUELINE COELHO VISENTIN</v>
          </cell>
          <cell r="D2778" t="str">
            <v>PROFESSOR AUXILIAR</v>
          </cell>
        </row>
        <row r="2779">
          <cell r="B2779" t="str">
            <v>IVAN CANDIDO DA SILVA ZEFERINO</v>
          </cell>
          <cell r="D2779" t="str">
            <v>ANL PROJETOS SR</v>
          </cell>
        </row>
        <row r="2780">
          <cell r="B2780" t="str">
            <v>RHILTON SHUDY MATUMOTO</v>
          </cell>
          <cell r="D2780" t="str">
            <v>GTE COMERCIAL</v>
          </cell>
        </row>
        <row r="2781">
          <cell r="B2781" t="str">
            <v>RICARDO PEGORARO SANTELLO</v>
          </cell>
          <cell r="D2781" t="str">
            <v>AUX AGROPECUARIA</v>
          </cell>
        </row>
        <row r="2782">
          <cell r="B2782" t="str">
            <v>ISABELA MALDONADO DE LIMA</v>
          </cell>
          <cell r="D2782" t="str">
            <v>AST MARKETING</v>
          </cell>
        </row>
        <row r="2783">
          <cell r="B2783" t="str">
            <v>LIGIA ZIEGLER SAMUEL</v>
          </cell>
          <cell r="D2783" t="str">
            <v>PROFESSOR AUXILIAR</v>
          </cell>
        </row>
        <row r="2784">
          <cell r="B2784" t="str">
            <v>VITOR MARCELO HONORIO</v>
          </cell>
          <cell r="D2784" t="str">
            <v>GTE DESENVOLVIMENTO SISTEMAS</v>
          </cell>
        </row>
        <row r="2785">
          <cell r="B2785" t="str">
            <v>NATHALIA SKAFI BRAGA</v>
          </cell>
          <cell r="D2785" t="str">
            <v>PROFESSOR LINGUA ESTRANGEIRA</v>
          </cell>
        </row>
        <row r="2786">
          <cell r="B2786" t="str">
            <v>LUCIANA HONORATO DA SILVA</v>
          </cell>
          <cell r="D2786" t="str">
            <v>AST ATENDIMENTO</v>
          </cell>
        </row>
        <row r="2787">
          <cell r="B2787" t="str">
            <v>AMANDA CRISTINE GALLINA</v>
          </cell>
          <cell r="D2787" t="str">
            <v>ANL CRM SR</v>
          </cell>
        </row>
        <row r="2788">
          <cell r="B2788" t="str">
            <v>MARIANA PIOLI SCHNEKENBERG</v>
          </cell>
          <cell r="D2788" t="str">
            <v>ANL ATRACAO E INCLUSAO PL</v>
          </cell>
        </row>
        <row r="2789">
          <cell r="B2789" t="str">
            <v>MANUELA DE LIMA ANTOL</v>
          </cell>
          <cell r="D2789" t="str">
            <v>ESTAGIARIO</v>
          </cell>
        </row>
        <row r="2790">
          <cell r="B2790" t="str">
            <v>MARLON GIAN BARONI</v>
          </cell>
          <cell r="D2790" t="str">
            <v>ANL ADMINISTRATIVO JR</v>
          </cell>
        </row>
        <row r="2791">
          <cell r="B2791" t="str">
            <v>CAMILE REBECA DA SILVA AZEVEDO</v>
          </cell>
          <cell r="D2791" t="str">
            <v>TEC LABORATORIO I (C/ AD-INS)</v>
          </cell>
        </row>
        <row r="2792">
          <cell r="B2792" t="str">
            <v>GABRIELA KARMAZEM HOFFMANN PINTO</v>
          </cell>
          <cell r="D2792" t="str">
            <v>PROFESSOR LINGUA ESTRANGEIRA</v>
          </cell>
        </row>
        <row r="2793">
          <cell r="B2793" t="str">
            <v>EDUARDO HIDEO ITINOSEKE OGASSAWARA</v>
          </cell>
          <cell r="D2793" t="str">
            <v>ESTAGIARIO</v>
          </cell>
        </row>
        <row r="2794">
          <cell r="B2794" t="str">
            <v>MARIA EDUARDA DAMASIO LEONEL</v>
          </cell>
          <cell r="D2794" t="str">
            <v>APRENDIZ</v>
          </cell>
        </row>
        <row r="2795">
          <cell r="B2795" t="str">
            <v>ISABELLA LISSONI GOULART</v>
          </cell>
          <cell r="D2795" t="str">
            <v>DESIGNER SR</v>
          </cell>
        </row>
        <row r="2796">
          <cell r="B2796" t="str">
            <v>ROBSON APARECIDO RIBEIRO</v>
          </cell>
          <cell r="D2796" t="str">
            <v>AUX MANUTENCAO</v>
          </cell>
        </row>
        <row r="2797">
          <cell r="B2797" t="str">
            <v>JOAO PEDRO SILVA DE SOUZA</v>
          </cell>
          <cell r="D2797" t="str">
            <v>APRENDIZ</v>
          </cell>
        </row>
        <row r="2798">
          <cell r="B2798" t="str">
            <v>ANDRE ROGERIO BERTO</v>
          </cell>
          <cell r="D2798" t="str">
            <v>PROFESSOR AUXILIAR</v>
          </cell>
        </row>
        <row r="2799">
          <cell r="B2799" t="str">
            <v>JOAO ANTONIO DE FREITAS COELHO</v>
          </cell>
          <cell r="D2799" t="str">
            <v>PROFESSOR AUXILIAR</v>
          </cell>
        </row>
        <row r="2800">
          <cell r="B2800" t="str">
            <v>ANA PAULA SAKR HUBIE</v>
          </cell>
          <cell r="D2800" t="str">
            <v>PROFESSOR AUXILIAR</v>
          </cell>
        </row>
        <row r="2801">
          <cell r="B2801" t="str">
            <v>PAULA HITOMI SAKIYAMA LUCONI</v>
          </cell>
          <cell r="D2801" t="str">
            <v>PROFESSOR AUXILIAR</v>
          </cell>
        </row>
        <row r="2802">
          <cell r="B2802" t="str">
            <v>ANDRE LUIZ BATISTA</v>
          </cell>
          <cell r="D2802" t="str">
            <v>COORD CURSO</v>
          </cell>
        </row>
        <row r="2803">
          <cell r="B2803" t="str">
            <v>EDUARDO ZORZO SARTORETTO</v>
          </cell>
          <cell r="D2803" t="str">
            <v>PROFESSOR AUXILIAR</v>
          </cell>
        </row>
        <row r="2804">
          <cell r="B2804" t="str">
            <v>JAMESON BORGES DA SILVA</v>
          </cell>
          <cell r="D2804" t="str">
            <v>COORD FAZENDA</v>
          </cell>
        </row>
        <row r="2805">
          <cell r="B2805" t="str">
            <v>ANA CARLA CAMPOS HIDALGO DE ALMEIDA</v>
          </cell>
          <cell r="D2805" t="str">
            <v>PROFESSOR AUXILIAR</v>
          </cell>
        </row>
        <row r="2806">
          <cell r="B2806" t="str">
            <v>MATEUS JUSTI LUVIZOTTO</v>
          </cell>
          <cell r="D2806" t="str">
            <v>PROFESSOR AUXILIAR</v>
          </cell>
        </row>
        <row r="2807">
          <cell r="B2807" t="str">
            <v>JULIO CESAR FERREIRA</v>
          </cell>
          <cell r="D2807" t="str">
            <v>PROFESSOR AUXILIAR</v>
          </cell>
        </row>
        <row r="2808">
          <cell r="B2808" t="str">
            <v>MARCOS FELIPE IPARRAGUIRRE NUNOVERO</v>
          </cell>
          <cell r="D2808" t="str">
            <v>PROFESSOR AUXILIAR</v>
          </cell>
        </row>
        <row r="2809">
          <cell r="B2809" t="str">
            <v>THIAGO HENRIQUE ROZA</v>
          </cell>
          <cell r="D2809" t="str">
            <v>PROFESSOR AUXILIAR</v>
          </cell>
        </row>
        <row r="2810">
          <cell r="B2810" t="str">
            <v>FERNANDA MATTIAS SARTORI</v>
          </cell>
          <cell r="D2810" t="str">
            <v>PROFESSOR AUXILIAR</v>
          </cell>
        </row>
        <row r="2811">
          <cell r="B2811" t="str">
            <v>GRACIANA LUCIA GRESPAN VICTOR</v>
          </cell>
          <cell r="D2811" t="str">
            <v>PROFESSOR AUXILIAR</v>
          </cell>
        </row>
        <row r="2812">
          <cell r="B2812" t="str">
            <v>DAYANE MOZ</v>
          </cell>
          <cell r="D2812" t="str">
            <v>PROFESSOR AUXILIAR</v>
          </cell>
        </row>
        <row r="2813">
          <cell r="B2813" t="str">
            <v>WILSON ANICESIO MACHADO NETO</v>
          </cell>
          <cell r="D2813" t="str">
            <v>TEC LABORATORIO I (C/ AD-INS)</v>
          </cell>
        </row>
        <row r="2814">
          <cell r="B2814" t="str">
            <v>FERNANDA CRISTINA BARROS NEVES</v>
          </cell>
          <cell r="D2814" t="str">
            <v>PROFESSOR AUXILIAR</v>
          </cell>
        </row>
        <row r="2815">
          <cell r="B2815" t="str">
            <v>LETICIA KRAFT</v>
          </cell>
          <cell r="D2815" t="str">
            <v>PROFESSOR AUXILIAR</v>
          </cell>
        </row>
        <row r="2816">
          <cell r="B2816" t="str">
            <v>GUSTAVO YUHO ENDO</v>
          </cell>
          <cell r="D2816" t="str">
            <v>PROFESSOR AUXILIAR</v>
          </cell>
        </row>
        <row r="2817">
          <cell r="B2817" t="str">
            <v>GUSTAVO AUGUSTO LUZIA VIZZOTTO</v>
          </cell>
          <cell r="D2817" t="str">
            <v>PROFESSOR AUXILIAR</v>
          </cell>
        </row>
        <row r="2818">
          <cell r="B2818" t="str">
            <v>AIRTON OLIVEIRA SILVA TRENTO</v>
          </cell>
          <cell r="D2818" t="str">
            <v>PROFESSOR AUXILIAR</v>
          </cell>
        </row>
        <row r="2819">
          <cell r="B2819" t="str">
            <v>BRUNA LUIZA DO NASCIMENTO GONCHOROSKY</v>
          </cell>
          <cell r="D2819" t="str">
            <v>PROFESSOR AUXILIAR</v>
          </cell>
        </row>
        <row r="2820">
          <cell r="B2820" t="str">
            <v>KELLY CRISTINA BORDIGNON GOMES</v>
          </cell>
          <cell r="D2820" t="str">
            <v>PROFESSOR AUXILIAR</v>
          </cell>
        </row>
        <row r="2821">
          <cell r="B2821" t="str">
            <v>MAURO BUSS</v>
          </cell>
          <cell r="D2821" t="str">
            <v>PROFESSOR AUXILIAR</v>
          </cell>
        </row>
        <row r="2822">
          <cell r="B2822" t="str">
            <v>AMALIA FERRONATO</v>
          </cell>
          <cell r="D2822" t="str">
            <v>PROFESSOR AUXILIAR</v>
          </cell>
        </row>
        <row r="2823">
          <cell r="B2823" t="str">
            <v>MOZART MARQUES WALZ</v>
          </cell>
          <cell r="D2823" t="str">
            <v>PROFESSOR AUXILIAR</v>
          </cell>
        </row>
        <row r="2824">
          <cell r="B2824" t="str">
            <v>GUILHERME SCHNIRMANN</v>
          </cell>
          <cell r="D2824" t="str">
            <v>PROFESSOR TUTOR ONLINE I</v>
          </cell>
        </row>
        <row r="2825">
          <cell r="B2825" t="str">
            <v>EMMANUEL STESSY AMOA RODRIGUES DA GUIA NYAMIEN</v>
          </cell>
          <cell r="D2825" t="str">
            <v>PROFESSOR AUXILIAR</v>
          </cell>
        </row>
        <row r="2826">
          <cell r="B2826" t="str">
            <v>FABIANO DE LIMA TYKALOWITZ</v>
          </cell>
          <cell r="D2826" t="str">
            <v>PROFESSOR AUXILIAR</v>
          </cell>
        </row>
        <row r="2827">
          <cell r="B2827" t="str">
            <v>PATRICIA MINATOVICZ FERREIRA DOBLINSKI</v>
          </cell>
          <cell r="D2827" t="str">
            <v>COORD CURSO</v>
          </cell>
        </row>
        <row r="2828">
          <cell r="B2828" t="str">
            <v>WILLIAM CESAR BISPO BARRETO</v>
          </cell>
          <cell r="D2828" t="str">
            <v>PROFESSOR AUXILIAR</v>
          </cell>
        </row>
        <row r="2829">
          <cell r="B2829" t="str">
            <v>LUCAS MOREIRA MACIEL</v>
          </cell>
          <cell r="D2829" t="str">
            <v>ESTAGIARIO</v>
          </cell>
        </row>
        <row r="2830">
          <cell r="B2830" t="str">
            <v>DENISE MARIA COTOMAN</v>
          </cell>
          <cell r="D2830" t="str">
            <v>COORD CURSO</v>
          </cell>
        </row>
        <row r="2831">
          <cell r="B2831" t="str">
            <v>RENATA RODRIGUES LAWDER</v>
          </cell>
          <cell r="D2831" t="str">
            <v>COORD CURSO</v>
          </cell>
        </row>
        <row r="2832">
          <cell r="B2832" t="str">
            <v>LIGIA NEIDE DE SOUZA FREITAS</v>
          </cell>
          <cell r="D2832" t="str">
            <v>ANL GESTAO ACADEMICA PL</v>
          </cell>
        </row>
        <row r="2833">
          <cell r="B2833" t="str">
            <v>CLEYSON MATHIAS MORAIS DELVOSS</v>
          </cell>
          <cell r="D2833" t="str">
            <v>PROFESSOR AUXILIAR</v>
          </cell>
        </row>
        <row r="2834">
          <cell r="B2834" t="str">
            <v>CLAUDIA VELOSO MUELLER</v>
          </cell>
          <cell r="D2834" t="str">
            <v>PROFESSOR AUXILIAR</v>
          </cell>
        </row>
        <row r="2835">
          <cell r="B2835" t="str">
            <v>LETYCIA BOECHAT FERREIRA GOMES</v>
          </cell>
          <cell r="D2835" t="str">
            <v>PROFESSOR AUXILIAR</v>
          </cell>
        </row>
        <row r="2836">
          <cell r="B2836" t="str">
            <v>FERNANDA GABRIELLY AMARO DE OLIVEIRA</v>
          </cell>
          <cell r="D2836" t="str">
            <v>ESTAGIARIO(A)</v>
          </cell>
        </row>
        <row r="2837">
          <cell r="B2837" t="str">
            <v>LUCELIA MARIA GONCALVES</v>
          </cell>
          <cell r="D2837" t="str">
            <v>PROFESSOR AUXILIAR</v>
          </cell>
        </row>
        <row r="2838">
          <cell r="B2838" t="str">
            <v>MARIANA MUZZOLON</v>
          </cell>
          <cell r="D2838" t="str">
            <v>PROFESSOR AUXILIAR</v>
          </cell>
        </row>
        <row r="2839">
          <cell r="B2839" t="str">
            <v>GABRIELA CORREA DE ARAUJO</v>
          </cell>
          <cell r="D2839" t="str">
            <v>ANL ADMINISTRATIVO JR</v>
          </cell>
        </row>
        <row r="2840">
          <cell r="B2840" t="str">
            <v>MATHEUS TAKEMI MUCHON NAKATANI</v>
          </cell>
          <cell r="D2840" t="str">
            <v>PROFESSOR AUXILIAR</v>
          </cell>
        </row>
        <row r="2841">
          <cell r="B2841" t="str">
            <v>RAFAELA APARECIDA DE ALMEIDA</v>
          </cell>
          <cell r="D2841" t="str">
            <v>PROFESSOR AUXILIAR</v>
          </cell>
        </row>
        <row r="2842">
          <cell r="B2842" t="str">
            <v>BEATRIZ MOREIRA BEZERRA VIEIRA</v>
          </cell>
          <cell r="D2842" t="str">
            <v>PROFESSOR AUXILIAR</v>
          </cell>
        </row>
        <row r="2843">
          <cell r="B2843" t="str">
            <v>YAN PEDRO LAZAROTTO GONCALVES</v>
          </cell>
          <cell r="D2843" t="str">
            <v>PROFESSOR AUXILIAR</v>
          </cell>
        </row>
        <row r="2844">
          <cell r="B2844" t="str">
            <v>NATALI LAISE ZAMBONI HOFF</v>
          </cell>
          <cell r="D2844" t="str">
            <v>PROFESSOR AUXILIAR</v>
          </cell>
        </row>
        <row r="2845">
          <cell r="B2845" t="str">
            <v>JAVAN ATAIDE DE OLIVEIRA JUNIOR</v>
          </cell>
          <cell r="D2845" t="str">
            <v>PROFESSOR AUXILIAR</v>
          </cell>
        </row>
        <row r="2846">
          <cell r="B2846" t="str">
            <v>DIEGO LUIZ KRAUSE</v>
          </cell>
          <cell r="D2846" t="str">
            <v>PROFESSOR AUXILIAR</v>
          </cell>
        </row>
        <row r="2847">
          <cell r="B2847" t="str">
            <v>SIDNEI RINALDO PRIOLO FILHO</v>
          </cell>
          <cell r="D2847" t="str">
            <v>PROFESSOR AUXILIAR</v>
          </cell>
        </row>
        <row r="2848">
          <cell r="B2848" t="str">
            <v>FELIPE AUGUSTO PRZYSIADA</v>
          </cell>
          <cell r="D2848" t="str">
            <v>PROFESSOR AUXILIAR</v>
          </cell>
        </row>
        <row r="2849">
          <cell r="B2849" t="str">
            <v>FERNANDO CAVALHEIRO KRAUZER</v>
          </cell>
          <cell r="D2849" t="str">
            <v>PROFESSOR AUXILIAR</v>
          </cell>
        </row>
        <row r="2850">
          <cell r="B2850" t="str">
            <v>MARCELO AUGUSTO GONCALVES BARDI</v>
          </cell>
          <cell r="D2850" t="str">
            <v>PROFESSOR AUXILIAR</v>
          </cell>
        </row>
        <row r="2851">
          <cell r="B2851" t="str">
            <v>LUKAS PFEIFFER</v>
          </cell>
          <cell r="D2851" t="str">
            <v>AUX AGROPECUARIA</v>
          </cell>
        </row>
        <row r="2852">
          <cell r="B2852" t="str">
            <v>MILENA DA SILVA LORENCETE</v>
          </cell>
          <cell r="D2852" t="str">
            <v>PROFESSOR AUXILIAR</v>
          </cell>
        </row>
        <row r="2853">
          <cell r="B2853" t="str">
            <v>EMMYLE OLIVEIRA DO NASCIMENTO</v>
          </cell>
          <cell r="D2853" t="str">
            <v>ANL ADMINISTRATIVO JR</v>
          </cell>
        </row>
        <row r="2854">
          <cell r="B2854" t="str">
            <v>DEOCLECIO JUNIOR CARDOSO DA SILVA</v>
          </cell>
          <cell r="D2854" t="str">
            <v>PROFESSOR ADJUNTO</v>
          </cell>
        </row>
        <row r="2855">
          <cell r="B2855" t="str">
            <v>LEILA SCUCATO MARCAL</v>
          </cell>
          <cell r="D2855" t="str">
            <v>PROFESSOR AUXILIAR</v>
          </cell>
        </row>
        <row r="2856">
          <cell r="B2856" t="str">
            <v>ANA LUIZA CHALUSNHAK</v>
          </cell>
          <cell r="D2856" t="str">
            <v>PROFESSOR AUXILIAR</v>
          </cell>
        </row>
        <row r="2857">
          <cell r="B2857" t="str">
            <v>JULIANE MARIA POLETTO</v>
          </cell>
          <cell r="D2857" t="str">
            <v>ANL EDUCACIONAL PL</v>
          </cell>
        </row>
        <row r="2858">
          <cell r="B2858" t="str">
            <v>LUIZ OSORIO MORAES PANZA</v>
          </cell>
          <cell r="D2858" t="str">
            <v>PROFESSOR AUXILIAR</v>
          </cell>
        </row>
        <row r="2859">
          <cell r="B2859" t="str">
            <v>DEBORA NORMANTON SOMBRIO</v>
          </cell>
          <cell r="D2859" t="str">
            <v>PROFESSOR AUXILIAR</v>
          </cell>
        </row>
        <row r="2860">
          <cell r="B2860" t="str">
            <v>BIANCA MARTINS CAMPOS</v>
          </cell>
          <cell r="D2860" t="str">
            <v>ESTAGIARIO</v>
          </cell>
        </row>
        <row r="2861">
          <cell r="B2861" t="str">
            <v>RENATO DE ALENCAR SARMENTO</v>
          </cell>
          <cell r="D2861" t="str">
            <v>ESP PROJETOS</v>
          </cell>
        </row>
        <row r="2862">
          <cell r="B2862" t="str">
            <v>MARIANA XAVIER DE LIMA</v>
          </cell>
          <cell r="D2862" t="str">
            <v>PROFESSOR AUXILIAR</v>
          </cell>
        </row>
        <row r="2863">
          <cell r="B2863" t="str">
            <v>ANDREZA CRISTINA BAGGIO</v>
          </cell>
          <cell r="D2863" t="str">
            <v>PROFESSOR AUXILIAR</v>
          </cell>
        </row>
        <row r="2864">
          <cell r="B2864" t="str">
            <v>ADRIANO YOSHIO SHIMBO</v>
          </cell>
          <cell r="D2864" t="str">
            <v>PROFESSOR AUXILIAR</v>
          </cell>
        </row>
        <row r="2865">
          <cell r="B2865" t="str">
            <v>FERNANDA MEDEIROS ASSEF</v>
          </cell>
          <cell r="D2865" t="str">
            <v>PROFESSOR ADJUNTO</v>
          </cell>
        </row>
        <row r="2866">
          <cell r="B2866" t="str">
            <v>YOHANNA VIEIRA JUK</v>
          </cell>
          <cell r="D2866" t="str">
            <v>PROFESSOR AUXILIAR</v>
          </cell>
        </row>
        <row r="2867">
          <cell r="B2867" t="str">
            <v>ARTUR DE ALMEIDA FELTRIN</v>
          </cell>
          <cell r="D2867" t="str">
            <v>ESTAGIARIO</v>
          </cell>
        </row>
        <row r="2868">
          <cell r="B2868" t="str">
            <v>MARIA ISABEL LOVO MARTINS BUSCH PEREIRA</v>
          </cell>
          <cell r="D2868" t="str">
            <v>PROFESSOR AUXILIAR</v>
          </cell>
        </row>
        <row r="2869">
          <cell r="B2869" t="str">
            <v>EMILLY VIEIRA SANTOS COSTA</v>
          </cell>
          <cell r="D2869" t="str">
            <v>ESTAGIARIO</v>
          </cell>
        </row>
        <row r="2870">
          <cell r="B2870" t="str">
            <v>VANESSA DE FATIMA PINHEIRO WITKOWSKI</v>
          </cell>
          <cell r="D2870" t="str">
            <v>ESTAGIARIO</v>
          </cell>
        </row>
        <row r="2871">
          <cell r="B2871" t="str">
            <v>GUSTAVO HENRIQUE DE OLIVEIRA</v>
          </cell>
          <cell r="D2871" t="str">
            <v>AST ATENDIMENTO</v>
          </cell>
        </row>
        <row r="2872">
          <cell r="B2872" t="str">
            <v>FABIO MATOSO PEREIRA</v>
          </cell>
          <cell r="D2872" t="str">
            <v>OPERADOR TELEATENDIMENTO</v>
          </cell>
        </row>
        <row r="2873">
          <cell r="B2873" t="str">
            <v>BRUNO BOGLER</v>
          </cell>
          <cell r="D2873" t="str">
            <v>TEC LABORATORIO II (C/ AD-INS)</v>
          </cell>
        </row>
        <row r="2874">
          <cell r="B2874" t="str">
            <v>ERIK JURGENS PODOLAN</v>
          </cell>
          <cell r="D2874" t="str">
            <v>AUX JARDINAGEM</v>
          </cell>
        </row>
        <row r="2875">
          <cell r="B2875" t="str">
            <v>GABRIEL JUAN RIBEIRO</v>
          </cell>
          <cell r="D2875" t="str">
            <v>OPERADOR TELEATENDIMENTO</v>
          </cell>
        </row>
        <row r="2876">
          <cell r="B2876" t="str">
            <v>SUELLEN CRISTIANE DOS SANTOS SILVA</v>
          </cell>
          <cell r="D2876" t="str">
            <v>AUX LABORATORIO</v>
          </cell>
        </row>
        <row r="2877">
          <cell r="B2877" t="str">
            <v>GABRIELA CAVALCANTE MOLINARI</v>
          </cell>
          <cell r="D2877" t="str">
            <v>ESTAGIARIO</v>
          </cell>
        </row>
        <row r="2878">
          <cell r="B2878" t="str">
            <v>ALEXANDRE RUIZ DA ROSA</v>
          </cell>
          <cell r="D2878" t="str">
            <v>PROFESSOR AUXILIAR</v>
          </cell>
        </row>
        <row r="2879">
          <cell r="B2879" t="str">
            <v>IZABELLA ROMANETTO GONCALVES</v>
          </cell>
          <cell r="D2879" t="str">
            <v>GTE COMERCIAL</v>
          </cell>
        </row>
        <row r="2880">
          <cell r="B2880" t="str">
            <v>ALESSANDRA PAIVA FRARESSO</v>
          </cell>
          <cell r="D2880" t="str">
            <v>GTE COMERCIAL</v>
          </cell>
        </row>
        <row r="2881">
          <cell r="B2881" t="str">
            <v>ANDRIELI CAROLINE MEHL</v>
          </cell>
          <cell r="D2881" t="str">
            <v>PROFESSOR AUXILIAR</v>
          </cell>
        </row>
        <row r="2882">
          <cell r="B2882" t="str">
            <v>FERNANDA RODRIGUES KUHNEN</v>
          </cell>
          <cell r="D2882" t="str">
            <v>ANL CULTURA CELULAR JR</v>
          </cell>
        </row>
        <row r="2883">
          <cell r="B2883" t="str">
            <v>ELIANE BOGO CABECA</v>
          </cell>
          <cell r="D2883" t="str">
            <v>PROFESSOR AUXILIAR</v>
          </cell>
        </row>
        <row r="2884">
          <cell r="B2884" t="str">
            <v>GABRIEL ALEXANDRE BOZZA</v>
          </cell>
          <cell r="D2884" t="str">
            <v>PROFESSOR AUXILIAR</v>
          </cell>
        </row>
        <row r="2885">
          <cell r="B2885" t="str">
            <v>THALITA DE SOUZA BONFIM</v>
          </cell>
          <cell r="D2885" t="str">
            <v>OPERADOR TELEATENDIMENTO</v>
          </cell>
        </row>
        <row r="2886">
          <cell r="B2886" t="str">
            <v>SABRINA BORBA DE BOMFIM</v>
          </cell>
          <cell r="D2886" t="str">
            <v>AST ATENDIMENTO</v>
          </cell>
        </row>
        <row r="2887">
          <cell r="B2887" t="str">
            <v>JACKSON LUIS SCHIRIGATTI</v>
          </cell>
          <cell r="D2887" t="str">
            <v>PROFESSOR AUXILIAR</v>
          </cell>
        </row>
        <row r="2888">
          <cell r="B2888" t="str">
            <v>FABIO HENRIQUE FARIA</v>
          </cell>
          <cell r="D2888" t="str">
            <v>PROFESSOR AUXILIAR</v>
          </cell>
        </row>
        <row r="2889">
          <cell r="B2889" t="str">
            <v>THIAGO ALGUSTO SANTOS MATSUNAGA</v>
          </cell>
          <cell r="D2889" t="str">
            <v>AUX JARDINAGEM</v>
          </cell>
        </row>
        <row r="2890">
          <cell r="B2890" t="str">
            <v>RHAQUEL TESSELE</v>
          </cell>
          <cell r="D2890" t="str">
            <v>PROFESSOR AUXILIAR</v>
          </cell>
        </row>
        <row r="2891">
          <cell r="B2891" t="str">
            <v>FERNANDA MARQUES DE OLIVEIRA</v>
          </cell>
          <cell r="D2891" t="str">
            <v>AUX LABORATORIO</v>
          </cell>
        </row>
        <row r="2892">
          <cell r="B2892" t="str">
            <v>GABRIEL GIRARDI</v>
          </cell>
          <cell r="D2892" t="str">
            <v>PROFESSOR AUXILIAR</v>
          </cell>
        </row>
        <row r="2893">
          <cell r="B2893" t="str">
            <v>RODRIGO ORTIZ</v>
          </cell>
          <cell r="D2893" t="str">
            <v>ANL FACILITIES SR</v>
          </cell>
        </row>
        <row r="2894">
          <cell r="B2894" t="str">
            <v>CARLOS HENRIQUE KURETZKI</v>
          </cell>
          <cell r="D2894" t="str">
            <v>PROFESSOR AUXILIAR</v>
          </cell>
        </row>
        <row r="2895">
          <cell r="B2895" t="str">
            <v>BRUNO HENRIQUE DO ROSARIO XAVIER</v>
          </cell>
          <cell r="D2895" t="str">
            <v>PROFESSOR AUXILIAR</v>
          </cell>
        </row>
        <row r="2896">
          <cell r="B2896" t="str">
            <v>DENIS MASSATSUGU UEDA</v>
          </cell>
          <cell r="D2896" t="str">
            <v>PROFESSOR AUXILIAR</v>
          </cell>
        </row>
        <row r="2897">
          <cell r="B2897" t="str">
            <v>NILTON CESAR MONASTIER KLEINA</v>
          </cell>
          <cell r="D2897" t="str">
            <v>PROFESSOR AUXILIAR</v>
          </cell>
        </row>
        <row r="2898">
          <cell r="B2898" t="str">
            <v>JEAN GABRIEL VIEIRA COUTINHO</v>
          </cell>
          <cell r="D2898" t="str">
            <v>PROFESSOR AUXILIAR</v>
          </cell>
        </row>
        <row r="2899">
          <cell r="B2899" t="str">
            <v>ARYEL MARLUS REPULA DE OLIVEIRA</v>
          </cell>
          <cell r="D2899" t="str">
            <v>PROFESSOR AUXILIAR</v>
          </cell>
        </row>
        <row r="2900">
          <cell r="B2900" t="str">
            <v>LUCAS BARBOSA RODRIGUES</v>
          </cell>
          <cell r="D2900" t="str">
            <v>DESENVOLVEDOR FULL STACK SR</v>
          </cell>
        </row>
        <row r="2901">
          <cell r="B2901" t="str">
            <v>MILENA LEAL DE FREITAS LOURENCO</v>
          </cell>
          <cell r="D2901" t="str">
            <v>PROFESSOR LINGUA ESTRANGEIRA</v>
          </cell>
        </row>
        <row r="2902">
          <cell r="B2902" t="str">
            <v>JACO LUIZ CHANDESKI</v>
          </cell>
          <cell r="D2902" t="str">
            <v>ANL QUALIDADE TI PL</v>
          </cell>
        </row>
        <row r="2903">
          <cell r="B2903" t="str">
            <v>ELOIZA FARION</v>
          </cell>
          <cell r="D2903" t="str">
            <v>AST ATENDIMENTO</v>
          </cell>
        </row>
        <row r="2904">
          <cell r="B2904" t="str">
            <v>WENDEL CAIO MORO</v>
          </cell>
          <cell r="D2904" t="str">
            <v>DESENVOLVEDOR FULL STACK PL</v>
          </cell>
        </row>
        <row r="2905">
          <cell r="B2905" t="str">
            <v>EMILE FERNANDES SPINASSI TEIXEIRA</v>
          </cell>
          <cell r="D2905" t="str">
            <v>PROFESSOR AUXILIAR</v>
          </cell>
        </row>
        <row r="2906">
          <cell r="B2906" t="str">
            <v>IGOR RANGEL DA SILVA</v>
          </cell>
          <cell r="D2906" t="str">
            <v>OPERADOR BOVINOCULTURA II</v>
          </cell>
        </row>
        <row r="2907">
          <cell r="B2907" t="str">
            <v>ALEXANDRA FERREIRA MARTINS RIBEIRO</v>
          </cell>
          <cell r="D2907" t="str">
            <v>PROFESSOR ADJUNTO</v>
          </cell>
        </row>
        <row r="2908">
          <cell r="B2908" t="str">
            <v>JEFERSON DA COSTA VAZ</v>
          </cell>
          <cell r="D2908" t="str">
            <v>PROFESSOR AUXILIAR</v>
          </cell>
        </row>
        <row r="2909">
          <cell r="B2909" t="str">
            <v>ALANNA SILVA HUK FARIAS</v>
          </cell>
          <cell r="D2909" t="str">
            <v>PROFESSOR AUXILIAR</v>
          </cell>
        </row>
        <row r="2910">
          <cell r="B2910" t="str">
            <v>DIAMAR CORDEIRO BRITES</v>
          </cell>
          <cell r="D2910" t="str">
            <v>AST ATENDIMENTO</v>
          </cell>
        </row>
        <row r="2911">
          <cell r="B2911" t="str">
            <v>THAIS DA ROCHA</v>
          </cell>
          <cell r="D2911" t="str">
            <v>ANL ADMINISTRATIVO PL</v>
          </cell>
        </row>
        <row r="2912">
          <cell r="B2912" t="str">
            <v>KAUANE ALVES STELLA</v>
          </cell>
          <cell r="D2912" t="str">
            <v>ANL COMERCIAL JR</v>
          </cell>
        </row>
        <row r="2913">
          <cell r="B2913" t="str">
            <v>RAFAELA CLARO DE FARIAS</v>
          </cell>
          <cell r="D2913" t="str">
            <v>ANL CARREIRAS PL</v>
          </cell>
        </row>
        <row r="2914">
          <cell r="B2914" t="str">
            <v>SANDRA SABINO FALCAO MARIA</v>
          </cell>
          <cell r="D2914" t="str">
            <v>ANL OPERACOES ACADEMICAS JR</v>
          </cell>
        </row>
        <row r="2915">
          <cell r="B2915" t="str">
            <v>NATALIA FIGUEIREDO MARTINS</v>
          </cell>
          <cell r="D2915" t="str">
            <v>ANL ADMINISTRATIVO SR</v>
          </cell>
        </row>
        <row r="2916">
          <cell r="B2916" t="str">
            <v>GABRIEL LUIZ CUNHA</v>
          </cell>
          <cell r="D2916" t="str">
            <v>ANL ADMINISTRATIVO PL</v>
          </cell>
        </row>
        <row r="2917">
          <cell r="B2917" t="str">
            <v>PAULO RICARDO AMORIM ESTEVAO</v>
          </cell>
          <cell r="D2917" t="str">
            <v>AST ATENDIMENTO</v>
          </cell>
        </row>
        <row r="2918">
          <cell r="B2918" t="str">
            <v>VINICIUS EDUARDO GOMES MURRAY</v>
          </cell>
          <cell r="D2918" t="str">
            <v>ANL COMERCIAL JR</v>
          </cell>
        </row>
        <row r="2919">
          <cell r="B2919" t="str">
            <v>KAREN ELIZABETH MERICO TOSKAN BRANCO MONTEIRO</v>
          </cell>
          <cell r="D2919" t="str">
            <v>PROFESSOR ENSINO TECNICO</v>
          </cell>
        </row>
        <row r="2920">
          <cell r="B2920" t="str">
            <v>RONALD PEIXOTO</v>
          </cell>
          <cell r="D2920" t="str">
            <v>PROFESSOR ENSINO TECNICO</v>
          </cell>
        </row>
        <row r="2921">
          <cell r="B2921" t="str">
            <v>THIAGO DELATTRE WYZYKOWSKI</v>
          </cell>
          <cell r="D2921" t="str">
            <v>PROFESSOR ENSINO TECNICO</v>
          </cell>
        </row>
        <row r="2922">
          <cell r="B2922" t="str">
            <v>HELOISA HANG DA ROCHA</v>
          </cell>
          <cell r="D2922" t="str">
            <v>ESTAGIARIO</v>
          </cell>
        </row>
        <row r="2923">
          <cell r="B2923" t="str">
            <v>KAUAN FELIPE CIQUELERO OLIVEIRA</v>
          </cell>
          <cell r="D2923" t="str">
            <v>ESTAGIARIO</v>
          </cell>
        </row>
        <row r="2924">
          <cell r="B2924" t="str">
            <v>EVANDRO PAZDA DE OLIVEIRA</v>
          </cell>
          <cell r="D2924" t="str">
            <v>INSTRUTOR</v>
          </cell>
        </row>
        <row r="2925">
          <cell r="B2925" t="str">
            <v>IGOR ANDRADE SALES</v>
          </cell>
          <cell r="D2925" t="str">
            <v>GTE INTELIGENCIA MERCADO</v>
          </cell>
        </row>
        <row r="2926">
          <cell r="B2926" t="str">
            <v>ALEXIA ADRAYANE NASCIMENTO DOS SANTOS ALVES</v>
          </cell>
          <cell r="D2926" t="str">
            <v>BOMBEIRO CIVIL</v>
          </cell>
        </row>
        <row r="2927">
          <cell r="B2927" t="str">
            <v>GABRIEL GOMES DE SOUZA</v>
          </cell>
          <cell r="D2927" t="str">
            <v>AST ATENDIMENTO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STAO_CONTRATO"/>
      <sheetName val="DICIONÁRIO DE DADOS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ª semana"/>
      <sheetName val="2ª semana"/>
      <sheetName val="3ª semana"/>
      <sheetName val="4ª semana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61">
  <autoFilter ref="A1:J61" xr:uid="{00000000-0009-0000-0100-000001000000}"/>
  <tableColumns count="10">
    <tableColumn id="1" xr3:uid="{00000000-0010-0000-0000-000001000000}" name="Matricula"/>
    <tableColumn id="2" xr3:uid="{00000000-0010-0000-0000-000002000000}" name="Nome docente"/>
    <tableColumn id="7" xr3:uid="{A95A638F-529A-4989-9681-F999995480F6}" name="CH de contrato " dataDxfId="40"/>
    <tableColumn id="3" xr3:uid="{00000000-0010-0000-0000-000003000000}" name="Horas a alocar" dataDxfId="39"/>
    <tableColumn id="4" xr3:uid="{00000000-0010-0000-0000-000004000000}" name="Campus"/>
    <tableColumn id="5" xr3:uid="{00000000-0010-0000-0000-000005000000}" name="Curso"/>
    <tableColumn id="6" xr3:uid="{ED3D5457-682B-4ADE-8968-7A994E28B20A}" name="Gera agenda "/>
    <tableColumn id="8" xr3:uid="{A755CF77-F9D3-4A52-9307-2A1DBC74DC16}" name="Status 01/04" dataDxfId="38"/>
    <tableColumn id="15" xr3:uid="{F98F85FF-788B-44BB-8946-509642B8A192}" name="Resultado Agenda" dataDxfId="37">
      <calculatedColumnFormula>IF(AND(G2="SIM",D2&gt;0),"Pendência de Agenda",IF(AND(G2="NÃO",D2=0),"Sem Pendência",""))</calculatedColumnFormula>
    </tableColumn>
    <tableColumn id="16" xr3:uid="{E6EBC7F6-F74E-45CF-9608-A98144E2C145}" name="Resultado TACH" dataDxfId="36">
      <calculatedColumnFormula>IF(AND(C2&gt;0,H2="FINALIZADO"),"Pendência de TACH",IF(AND(C2&gt;0,H2="Não Criado"),"Pendência de TACH",IF(AND(C2&gt;0,H2="Rascunho"),"Pendência de TACH",IF(AND(C2&gt;0,H2="NECESSÁRIO AJUSTAR"),"Pendência de TACH",IF(AND(C2&gt;0,H2="Aguardando Aprovação"),"Pendência de TACH",IF(AND(C2&gt;0,H2="Aprovado"),"Sem Pendência de TACH"))))))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BE335C-94C8-4197-980B-F77B556B49C6}" name="Table143" displayName="Table143" ref="A1:N80">
  <autoFilter ref="A1:N80" xr:uid="{625CDB6A-9338-48EA-9D8F-8479A04C0F04}"/>
  <tableColumns count="14">
    <tableColumn id="1" xr3:uid="{47AB1ACA-CFCF-4FE6-B3B6-F45044E03375}" name="Matricula"/>
    <tableColumn id="2" xr3:uid="{AB88E76F-FB8E-4B84-BC02-4001F39A5221}" name="Nome docente"/>
    <tableColumn id="6" xr3:uid="{89094152-ABF4-4095-A3E9-00D8F18BC7B6}" name="CH total de contrato" dataDxfId="35">
      <calculatedColumnFormula>_xlfn.XLOOKUP(Table143[[#This Row],[Nome docente]],[1]GESTAO_CONTRATO!$B:$B,[1]GESTAO_CONTRATO!$AI:$AI,1,0)</calculatedColumnFormula>
    </tableColumn>
    <tableColumn id="3" xr3:uid="{88561103-03F9-4818-B294-F10A241C5610}" name="Horas a alocar" dataDxfId="34"/>
    <tableColumn id="4" xr3:uid="{6FD385E2-1780-482C-9A7A-938B09876F22}" name="Campus"/>
    <tableColumn id="5" xr3:uid="{34212AC6-9466-4BEE-A092-1B726CD03D4E}" name="Curso"/>
    <tableColumn id="12" xr3:uid="{B9A83B4A-D703-4EBA-92F4-76F9DF7800ED}" name="Gera agenda"/>
    <tableColumn id="7" xr3:uid="{007DA969-2C4D-4AF2-9934-661428DED593}" name="Status 06/04" dataDxfId="33"/>
    <tableColumn id="8" xr3:uid="{908E4851-47D9-47DE-8226-B6CD35F97FC5}" name="Status 07/04" dataDxfId="32"/>
    <tableColumn id="9" xr3:uid="{90164015-16ED-4AD3-B805-8FD7ABD4D9A3}" name="Status 08/04" dataDxfId="31"/>
    <tableColumn id="10" xr3:uid="{BCA146C7-B54B-412A-819B-16B59D6C9DF8}" name="Status 09/04" dataDxfId="30"/>
    <tableColumn id="11" xr3:uid="{EBDD8611-BB19-403F-B481-3410D86C54A1}" name="Status 10/04" dataDxfId="29"/>
    <tableColumn id="13" xr3:uid="{CE66082C-D286-45EE-98BE-37214CB6638F}" name="Resultado Agenda" dataDxfId="28">
      <calculatedColumnFormula>IF(AND(G2="SIM",D2&gt;0),"Pendência de Agenda",IF(AND(G2="NÃO",D2=0),"Sem Pendência",""))</calculatedColumnFormula>
    </tableColumn>
    <tableColumn id="14" xr3:uid="{93C9647E-947D-4350-A687-B676C640B4A8}" name="Resultado TACH" dataDxfId="27">
      <calculatedColumnFormula>IF(AND(C2&gt;0,I2="Finalizado"),"Pendência de TACH",IF(AND(C2&gt;0,I2="Não Criado"),"Pendência de TACH",IF(AND(C2&gt;0,I2="Rascunho"),"Pendência de TACH",IF(AND(C2&gt;0,I2="NECESSÁRIO AJUSTAR"),"Pendência de TACH",IF(AND(C2&gt;0,I2="Aguardando Aprovação"),"Pendência de TACH",IF(AND(C2&gt;0,I2="Aprovado"),"Sem Pendência de TACH",IF(AND(C2&gt;0,J2="Finalizado"),"Pendência de TACH",IF(AND(C2&gt;0,J2="Não Criado"),"Pendência de TACH",IF(AND(C2&gt;0,J2="Rascunho"),"Pendência de TACH",IF(AND(C2&gt;0,J2="NECESSÁRIO AJUSTAR"),"Pendência de TACH",IF(AND(C2&gt;0,J2="Aguardando Aprovação"),"Pendência de TACH",IF(AND(C2&gt;0,J2="Aprovado"),"Sem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Aprovação"),"Pendência de TACH",IF(AND(C2&gt;0,K2="Aprovado"),"Sem Pendência de TACH"))))))))))))))))))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5CDB6A-9338-48EA-9D8F-8479A04C0F04}" name="Table14" displayName="Table14" ref="A1:N93">
  <autoFilter ref="A1:N93" xr:uid="{625CDB6A-9338-48EA-9D8F-8479A04C0F04}"/>
  <tableColumns count="14">
    <tableColumn id="1" xr3:uid="{C5FFE1EE-9784-4E82-831E-218B4555164C}" name="Matricula"/>
    <tableColumn id="2" xr3:uid="{35240179-8267-40ED-B20B-67485E015311}" name="Nome docente"/>
    <tableColumn id="6" xr3:uid="{166B6DE0-2303-4C97-8EB3-638AC58A4054}" name="CH total de contrato" dataDxfId="26">
      <calculatedColumnFormula>_xlfn.XLOOKUP(Table14[[#This Row],[Nome docente]],[6]GESTAO_CONTRATO!$B:$B,[6]GESTAO_CONTRATO!$AI:$AI,1,0)</calculatedColumnFormula>
    </tableColumn>
    <tableColumn id="3" xr3:uid="{9934BC2B-008F-436B-AFD0-205B36CDE42D}" name="Horas a alocar" dataDxfId="25"/>
    <tableColumn id="4" xr3:uid="{34E79AA7-7C49-4F4F-B328-0B3A0C558E38}" name="Campus"/>
    <tableColumn id="5" xr3:uid="{E540C364-EF4B-478F-9E5F-98D9B3A209C0}" name="Curso"/>
    <tableColumn id="12" xr3:uid="{8D2DCA7E-89E3-444A-A58B-43AF99894E7A}" name="Gera agenda" dataDxfId="24">
      <calculatedColumnFormula>_xlfn.XLOOKUP(Table14[[#This Row],[Nome docente]],[6]GESTAO_CONTRATO!$B:$B,[6]GESTAO_CONTRATO!$AG:$AG,1,0)</calculatedColumnFormula>
    </tableColumn>
    <tableColumn id="7" xr3:uid="{721BCB76-5010-4E38-831E-16CD2AEBDCDB}" name="Status 13/04" dataDxfId="23">
      <calculatedColumnFormula>_xlfn.XLOOKUP(Table14[[#This Row],[Nome docente]],'[7]3ª semana'!$B:$B,'[7]3ª semana'!$E:$E,1,0)</calculatedColumnFormula>
    </tableColumn>
    <tableColumn id="8" xr3:uid="{6D4484D3-601F-4496-9FEB-8812AEE91261}" name="Status 14/04" dataDxfId="22">
      <calculatedColumnFormula>_xlfn.XLOOKUP(Table14[[#This Row],[Nome docente]],'[7]3ª semana'!$B:$B,'[7]3ª semana'!$F:$F,1,0)</calculatedColumnFormula>
    </tableColumn>
    <tableColumn id="9" xr3:uid="{81D19D65-CE69-4855-B291-623371AA2C6E}" name="Status 15/04" dataDxfId="21">
      <calculatedColumnFormula>_xlfn.XLOOKUP(Table14[[#This Row],[Nome docente]],'[7]3ª semana'!$B:$B,'[7]3ª semana'!$G:$G,1,0)</calculatedColumnFormula>
    </tableColumn>
    <tableColumn id="10" xr3:uid="{3BDD82EE-5AAA-43E6-B1E1-BD5A36864C6B}" name="Status 16/04" dataDxfId="20">
      <calculatedColumnFormula>_xlfn.XLOOKUP(Table14[[#This Row],[Nome docente]],'[7]3ª semana'!$B:$B,'[7]3ª semana'!$H:$H,1,0)</calculatedColumnFormula>
    </tableColumn>
    <tableColumn id="11" xr3:uid="{19CAB6CB-BF75-4F10-964B-397AF2587782}" name="Status 17/04" dataDxfId="19">
      <calculatedColumnFormula>_xlfn.XLOOKUP(Table14[[#This Row],[Nome docente]],'[7]3ª semana'!$B:$B,'[7]3ª semana'!$I:$I,1,0)</calculatedColumnFormula>
    </tableColumn>
    <tableColumn id="13" xr3:uid="{9F2EC808-B014-4F8D-97A2-127A22E25EC6}" name="Resultado Agenda" dataDxfId="18">
      <calculatedColumnFormula>IF(AND(G2="SIM",D2&gt;0),"Pendência de Agenda",IF(AND(G2="NÃO",D2=0),"Sem Pendência",IF(AND(G2="Sim",D2=0),"Sem Pendência","")))</calculatedColumnFormula>
    </tableColumn>
    <tableColumn id="14" xr3:uid="{64F0A704-BBAD-4685-9ED3-7AEFABE37BED}" name="Resultado TACH" dataDxfId="17">
      <calculatedColumnFormula array="1">IF(AND(C2&gt;0,I2="Finalizado"),"Pendência de TACH",IF(AND(C2&gt;0,I2="Não Criado"),"Pendência de TACH",IF(AND(C2&gt;0,I2="Rascunho"),"Pendência de TACH",IF(AND(C2&gt;0,I2="NECESSÁRIO AJUSTAR"),"Pendência de TACH",IF(AND(C2&gt;0,I2="Aguardando Aprovação"),"Pendência de TACH",IF(AND(C2&gt;0,I2="Aprovado"),"Sem Pendência de TACH",IF(AND(C2&gt;0,J2="Finalizado"),"Pendência de TACH",IF(AND(C2&gt;0,J2="Não Criado"),"Pendência de TACH",IF(AND(C2&gt;0,J2="Rascunho"),"Pendência de TACH",IF(AND(C2&gt;0,J2="NECESSÁRIO AJUSTAR"),"Pendência de TACH",IF(AND(C2&gt;0,J2="Aguardando Aprovação"),"Pendência de TACH",IF(AND(C2&gt;0,J2="Aprovado"),"Sem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Aprovação"),"Pendência de TACH",IF(AND(C2&gt;0,K2="Aprovado"),"Sem Pendência de TACH",IF(AND(C2&gt;0,KL="Finalizado"),"Pendência de TACH",IF(AND(C2&gt;0,KL="Não Criado"),"Pendência de TACH",IF(AND(C2&gt;0,KL="Rascunho"),"Pendência de TACH",IF(AND(C2&gt;0,L2="NECESSÁRIO AJUSTAR"),"Pendência de TACH",IF(AND(C2&gt;0,L2="Aguardando Aprovação"),"Pendência de TACH",IF(AND(C2&gt;0,L2="Aprovado"),"Sem Pendência de TACH"))))))))))))))))))))))))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888F24-5861-44D1-8C1B-8D497031AF75}" name="Table145" displayName="Table145" ref="A1:N85">
  <autoFilter ref="A1:N85" xr:uid="{625CDB6A-9338-48EA-9D8F-8479A04C0F04}"/>
  <tableColumns count="14">
    <tableColumn id="1" xr3:uid="{F52608CC-081A-4ADE-A16D-24D51DDA77B9}" name="Matricula"/>
    <tableColumn id="2" xr3:uid="{F961FE29-9B4C-4A9B-AEF9-A760CB7CDE7C}" name="Nome docente"/>
    <tableColumn id="6" xr3:uid="{16F13AC2-0A9B-4EA1-A2FA-8DA8AA3C1EAF}" name="CH total de contrato" dataDxfId="16">
      <calculatedColumnFormula>_xlfn.XLOOKUP(Table145[[#This Row],[Nome docente]],[2]GESTAO_CONTRATO!$B:$B,[2]GESTAO_CONTRATO!$AI:$AI,1,0)</calculatedColumnFormula>
    </tableColumn>
    <tableColumn id="3" xr3:uid="{D8220B0F-567F-42CA-8C31-DD98B35E016D}" name="Horas a alocar" dataDxfId="15"/>
    <tableColumn id="4" xr3:uid="{A593562A-E940-4D1F-AEEB-84605DE624BB}" name="Campus"/>
    <tableColumn id="5" xr3:uid="{B1E14E8F-65E8-4EDA-9516-65CE7257DF74}" name="Curso"/>
    <tableColumn id="12" xr3:uid="{5A7C7D62-A581-4701-9EB6-B7493454A2EB}" name="Gera agenda"/>
    <tableColumn id="7" xr3:uid="{2FD83434-F268-43F5-9977-1E2E6D31AA6C}" name="Status 20/04" dataDxfId="14">
      <calculatedColumnFormula>_xlfn.XLOOKUP(Table145[[#This Row],[Nome docente]],'[4]4ª semana'!$B:$B,'[4]4ª semana'!$E:$E,1,0)</calculatedColumnFormula>
    </tableColumn>
    <tableColumn id="8" xr3:uid="{5CC80138-2BD7-4B7E-B8CD-1B9C23DE2E02}" name="Status 21/04 FERIADO" dataDxfId="13"/>
    <tableColumn id="9" xr3:uid="{AE928A81-D2AC-4A21-8D84-28EA76BE0A50}" name="Status 22/04" dataDxfId="12">
      <calculatedColumnFormula>_xlfn.XLOOKUP(Table145[[#This Row],[Nome docente]],'[4]4ª semana'!$B:$B,'[4]4ª semana'!$F:$F,1,0)</calculatedColumnFormula>
    </tableColumn>
    <tableColumn id="10" xr3:uid="{533703C6-6680-466F-A968-A4267464133D}" name="Status 23/04" dataDxfId="11">
      <calculatedColumnFormula>_xlfn.XLOOKUP(Table145[[#This Row],[Nome docente]],'[4]4ª semana'!$B:$B,'[4]4ª semana'!$G:$G,1,0)</calculatedColumnFormula>
    </tableColumn>
    <tableColumn id="11" xr3:uid="{61135C3C-5AA8-4D73-B63A-7277C1235F82}" name="Status 24/04" dataDxfId="10">
      <calculatedColumnFormula>_xlfn.XLOOKUP(Table145[[#This Row],[Nome docente]],'[4]4ª semana'!$B:$B,'[4]4ª semana'!$H:$H,1,0)</calculatedColumnFormula>
    </tableColumn>
    <tableColumn id="13" xr3:uid="{EFA490F7-85B1-458B-AAB3-3243C6F4BCA4}" name="Resultado Agenda" dataDxfId="9">
      <calculatedColumnFormula>IF(AND(G2="SIM",D2&gt;0),"Pendência de Agenda",IF(AND(G2="NÃO",D2=0),"Sem Pendência",IF(AND(G2="Sim",D2=0),"Sem Pendência","")))</calculatedColumnFormula>
    </tableColumn>
    <tableColumn id="14" xr3:uid="{B94799C0-99FE-4178-A998-D4BFE223639A}" name="Resultado TACH" dataDxfId="8">
      <calculatedColumnFormula array="1">IF(AND(C2&gt;0,I2="Finalizado"),"Pendência de TACH",IF(AND(C2&gt;0,I2="Não Criado"),"Pendência de TACH",IF(AND(C2&gt;0,I2="Rascunho"),"Pendência de TACH",IF(AND(C2&gt;0,I2="NECESSÁRIO AJUSTAR"),"Pendência de TACH",IF(AND(C2&gt;0,I2="Aguardando Aprovação"),"Pendência de TACH",IF(AND(C2&gt;0,I2="Aprovado"),"Sem Pendência de TACH",IF(AND(C2&gt;0,J2="Finalizado"),"Pendência de TACH",IF(AND(C2&gt;0,J2="Não Criado"),"Pendência de TACH",IF(AND(C2&gt;0,J2="Rascunho"),"Pendência de TACH",IF(AND(C2&gt;0,J2="NECESSÁRIO AJUSTAR"),"Pendência de TACH",IF(AND(C2&gt;0,J2="Aguardando Aprovação"),"Pendência de TACH",IF(AND(C2&gt;0,J2="Aprovado"),"Sem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Aprovação"),"Pendência de TACH",IF(AND(C2&gt;0,K2="Aprovado"),"Sem Pendência de TACH",IF(AND(C2&gt;0,KL="Finalizado"),"Pendência de TACH",IF(AND(C2&gt;0,KL="Não Criado"),"Pendência de TACH",IF(AND(C2&gt;0,KL="Rascunho"),"Pendência de TACH",IF(AND(C2&gt;0,L2="NECESSÁRIO AJUSTAR"),"Pendência de TACH",IF(AND(C2&gt;0,L2="Aguardando Aprovação"),"Pendência de TACH",IF(AND(C2&gt;0,L2="Aprovado"),"Sem Pendência de TACH"))))))))))))))))))))))))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718299-56FB-46E3-965E-3C20D2EA16E7}" name="Table1456" displayName="Table1456" ref="A1:M72">
  <autoFilter ref="A1:M72" xr:uid="{625CDB6A-9338-48EA-9D8F-8479A04C0F04}"/>
  <tableColumns count="13">
    <tableColumn id="1" xr3:uid="{A5626C5D-7B41-4FFB-8276-842E198F4BAF}" name="Matricula"/>
    <tableColumn id="2" xr3:uid="{1B3A4B87-CE48-43A0-9BD2-2FFB184C1F72}" name="Nome docente"/>
    <tableColumn id="6" xr3:uid="{93D26904-4470-4667-8962-0AD307C06775}" name="CH total de contrato" dataDxfId="7">
      <calculatedColumnFormula>_xlfn.XLOOKUP(Table1456[[#This Row],[Nome docente]],[3]GESTAO_CONTRATO!$B:$B,[3]GESTAO_CONTRATO!$AI:$AI,1,0)</calculatedColumnFormula>
    </tableColumn>
    <tableColumn id="3" xr3:uid="{305802F4-4311-4E45-9746-B2C74EC78C2C}" name="Horas a alocar" dataDxfId="6"/>
    <tableColumn id="4" xr3:uid="{8C0C55C1-8A1C-48FF-A506-A7067B6422C8}" name="Campus"/>
    <tableColumn id="5" xr3:uid="{815090A7-5850-492E-AACA-3A75E22F913C}" name="Curso"/>
    <tableColumn id="12" xr3:uid="{26C7B498-FF7C-4DD6-902B-714B9AA1CD2D}" name="Gera agenda"/>
    <tableColumn id="7" xr3:uid="{24F50988-1FA1-4C74-813A-2FD747CE128E}" name="Status 27/04" dataDxfId="5">
      <calculatedColumnFormula>_xlfn.XLOOKUP(Table1456[[#This Row],[Nome docente]],'[4]5ª semana'!$B:$B,'[4]5ª semana'!$E:$E,1,0)</calculatedColumnFormula>
    </tableColumn>
    <tableColumn id="8" xr3:uid="{69D30F63-8B81-4894-ADDC-4702271DA5EF}" name="Status 28/04" dataDxfId="4">
      <calculatedColumnFormula>_xlfn.XLOOKUP(Table1456[[#This Row],[Nome docente]],'[4]5ª semana'!$B:$B,'[4]5ª semana'!$F:$F,1,0)</calculatedColumnFormula>
    </tableColumn>
    <tableColumn id="9" xr3:uid="{A26B8E01-FA38-458F-8A4E-F5CDD2A08DA4}" name="Status 29/04" dataDxfId="3">
      <calculatedColumnFormula>_xlfn.XLOOKUP(Table1456[[#This Row],[Nome docente]],'[4]5ª semana'!$B:$B,'[4]5ª semana'!$G:$G,1,0)</calculatedColumnFormula>
    </tableColumn>
    <tableColumn id="10" xr3:uid="{3632300F-D7BC-4351-B951-A9C791DA99AC}" name="Status 30/04" dataDxfId="2">
      <calculatedColumnFormula>_xlfn.XLOOKUP(Table1456[[#This Row],[Nome docente]],'[4]5ª semana'!$B:$B,'[4]5ª semana'!$H:$H,1,0)</calculatedColumnFormula>
    </tableColumn>
    <tableColumn id="13" xr3:uid="{BFD59F3D-9E3E-4361-A79A-8D44A3EE2251}" name="Resultado Agenda" dataDxfId="1">
      <calculatedColumnFormula>IF(AND(G2="SIM",D2&gt;0),"Pendência de Agenda",IF(AND(G2="NÃO",D2=0),"Sem Pendência",IF(AND(G2="Sim",D2=0),"Sem Pendência","")))</calculatedColumnFormula>
    </tableColumn>
    <tableColumn id="14" xr3:uid="{98518E44-C86C-422E-9AF6-46F93C18335C}" name="Resultado TACH" dataDxfId="0">
      <calculatedColumnFormula>IF(AND(C2&gt;0,I2="Finalizado"),"Pendência de TACH",IF(AND(C2&gt;0,I2="Não Criado"),"Pendência de TACH",IF(AND(C2&gt;0,I2="Rascunho"),"Pendência de TACH",IF(AND(C2&gt;0,I2="NECESSÁRIO AJUSTAR"),"Pendência de TACH",IF(AND(C2&gt;0,I2="Aguardando Aprovação"),"Pendência de TACH",IF(AND(C2&gt;0,I2="Aprovado"),"Sem Pendência de TACH",IF(AND(C2&gt;0,J2="Finalizado"),"Pendência de TACH",IF(AND(C2&gt;0,J2="Não Criado"),"Pendência de TACH",IF(AND(C2&gt;0,J2="Rascunho"),"Pendência de TACH",IF(AND(C2&gt;0,J2="NECESSÁRIO AJUSTAR"),"Pendência de TACH",IF(AND(C2&gt;0,J2="Aguardando Aprovação"),"Pendência de TACH",IF(AND(C2&gt;0,J2="Aprovado"),"Sem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Aprovação"),"Pendência de TACH",IF(AND(C2&gt;0,K2="Aprovado"),"Sem Pendência de TACH"))))))))))))))))))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zoomScale="70" zoomScaleNormal="70" workbookViewId="0">
      <selection activeCell="C66" sqref="A66:C73"/>
    </sheetView>
  </sheetViews>
  <sheetFormatPr defaultRowHeight="15"/>
  <cols>
    <col min="1" max="1" width="11.7109375" bestFit="1" customWidth="1"/>
    <col min="2" max="2" width="52.5703125" bestFit="1" customWidth="1"/>
    <col min="3" max="3" width="16.85546875" bestFit="1" customWidth="1"/>
    <col min="4" max="4" width="21.5703125" bestFit="1" customWidth="1"/>
    <col min="5" max="5" width="21.42578125" bestFit="1" customWidth="1"/>
    <col min="6" max="6" width="71.5703125" bestFit="1" customWidth="1"/>
    <col min="7" max="7" width="14.7109375" customWidth="1"/>
    <col min="8" max="8" width="30.140625" bestFit="1" customWidth="1"/>
    <col min="9" max="9" width="26.28515625" bestFit="1" customWidth="1"/>
    <col min="10" max="10" width="25.7109375" bestFit="1" customWidth="1"/>
  </cols>
  <sheetData>
    <row r="1" spans="1:10">
      <c r="A1" t="s">
        <v>0</v>
      </c>
      <c r="B1" t="s">
        <v>1</v>
      </c>
      <c r="C1" t="s">
        <v>68</v>
      </c>
      <c r="D1" t="s">
        <v>2</v>
      </c>
      <c r="E1" t="s">
        <v>3</v>
      </c>
      <c r="F1" t="s">
        <v>4</v>
      </c>
      <c r="G1" t="s">
        <v>69</v>
      </c>
      <c r="H1" t="s">
        <v>110</v>
      </c>
      <c r="I1" t="s">
        <v>75</v>
      </c>
      <c r="J1" t="s">
        <v>76</v>
      </c>
    </row>
    <row r="2" spans="1:10">
      <c r="A2" s="4">
        <v>8306</v>
      </c>
      <c r="B2" s="3" t="s">
        <v>7</v>
      </c>
      <c r="C2" s="2">
        <v>2</v>
      </c>
      <c r="D2" s="5" t="s">
        <v>8</v>
      </c>
      <c r="E2" s="3" t="s">
        <v>6</v>
      </c>
      <c r="F2" s="3" t="s">
        <v>9</v>
      </c>
      <c r="G2" t="s">
        <v>70</v>
      </c>
      <c r="H2" t="s">
        <v>132</v>
      </c>
      <c r="I2" t="str">
        <f t="shared" ref="I2:I32" si="0">IF(AND(G2="SIM",D2&gt;0),"Pendência de Agenda",IF(AND(G2="NÃO",D2=0),"Sem Pendência",""))</f>
        <v>Pendência de Agenda</v>
      </c>
      <c r="J2" t="str">
        <f t="shared" ref="J2:J32" si="1">IF(AND(C2&gt;0,H2="FINALIZADO"),"Pendência de TACH",IF(AND(C2&gt;0,H2="Não Criado"),"Pendência de TACH",IF(AND(C2&gt;0,H2="Rascunho"),"Pendência de TACH",IF(AND(C2&gt;0,H2="NECESSÁRIO AJUSTAR"),"Pendência de TACH",IF(AND(C2&gt;0,H2="Aguardando Aprovação"),"Pendência de TACH",IF(AND(C2&gt;0,H2="Aprovado"),"Sem Pendência de TACH"))))))</f>
        <v>Pendência de TACH</v>
      </c>
    </row>
    <row r="3" spans="1:10">
      <c r="A3" s="4">
        <v>90004225</v>
      </c>
      <c r="B3" s="3" t="s">
        <v>79</v>
      </c>
      <c r="C3" s="2">
        <v>16</v>
      </c>
      <c r="D3" s="5" t="s">
        <v>37</v>
      </c>
      <c r="E3" s="3" t="s">
        <v>6</v>
      </c>
      <c r="F3" s="3" t="s">
        <v>10</v>
      </c>
      <c r="G3" t="s">
        <v>70</v>
      </c>
      <c r="H3" t="s">
        <v>133</v>
      </c>
      <c r="I3" t="str">
        <f t="shared" si="0"/>
        <v>Pendência de Agenda</v>
      </c>
      <c r="J3" t="str">
        <f t="shared" si="1"/>
        <v>Sem Pendência de TACH</v>
      </c>
    </row>
    <row r="4" spans="1:10">
      <c r="A4" s="4">
        <v>7850</v>
      </c>
      <c r="B4" s="3" t="s">
        <v>11</v>
      </c>
      <c r="C4" s="2">
        <v>8</v>
      </c>
      <c r="D4" s="5" t="s">
        <v>12</v>
      </c>
      <c r="E4" s="3" t="s">
        <v>6</v>
      </c>
      <c r="F4" s="3" t="s">
        <v>13</v>
      </c>
      <c r="G4" t="s">
        <v>70</v>
      </c>
      <c r="H4" t="s">
        <v>133</v>
      </c>
      <c r="I4" t="str">
        <f t="shared" si="0"/>
        <v>Pendência de Agenda</v>
      </c>
      <c r="J4" t="str">
        <f t="shared" si="1"/>
        <v>Sem Pendência de TACH</v>
      </c>
    </row>
    <row r="5" spans="1:10">
      <c r="A5" s="4">
        <v>90013961</v>
      </c>
      <c r="B5" s="3" t="s">
        <v>87</v>
      </c>
      <c r="C5" s="2">
        <v>8</v>
      </c>
      <c r="D5" s="5" t="s">
        <v>29</v>
      </c>
      <c r="E5" s="3" t="s">
        <v>22</v>
      </c>
      <c r="F5" s="3" t="s">
        <v>23</v>
      </c>
      <c r="G5" t="s">
        <v>70</v>
      </c>
      <c r="H5" t="s">
        <v>132</v>
      </c>
      <c r="I5" t="str">
        <f t="shared" si="0"/>
        <v>Pendência de Agenda</v>
      </c>
      <c r="J5" t="str">
        <f t="shared" si="1"/>
        <v>Pendência de TACH</v>
      </c>
    </row>
    <row r="6" spans="1:10">
      <c r="A6" s="4">
        <v>23952</v>
      </c>
      <c r="B6" s="3" t="s">
        <v>16</v>
      </c>
      <c r="C6" s="2">
        <v>10</v>
      </c>
      <c r="D6" s="5" t="s">
        <v>21</v>
      </c>
      <c r="E6" s="3" t="s">
        <v>15</v>
      </c>
      <c r="F6" s="3" t="s">
        <v>18</v>
      </c>
      <c r="G6" t="s">
        <v>70</v>
      </c>
      <c r="H6" t="s">
        <v>130</v>
      </c>
      <c r="I6" t="str">
        <f t="shared" si="0"/>
        <v>Pendência de Agenda</v>
      </c>
      <c r="J6" t="str">
        <f t="shared" si="1"/>
        <v>Pendência de TACH</v>
      </c>
    </row>
    <row r="7" spans="1:10">
      <c r="A7" s="4">
        <v>90003158</v>
      </c>
      <c r="B7" s="3" t="s">
        <v>19</v>
      </c>
      <c r="C7" s="2">
        <v>1</v>
      </c>
      <c r="D7" s="5" t="s">
        <v>20</v>
      </c>
      <c r="E7" s="3" t="s">
        <v>6</v>
      </c>
      <c r="F7" s="3" t="s">
        <v>10</v>
      </c>
      <c r="G7" t="s">
        <v>70</v>
      </c>
      <c r="H7" t="s">
        <v>133</v>
      </c>
      <c r="I7" t="str">
        <f t="shared" si="0"/>
        <v>Pendência de Agenda</v>
      </c>
      <c r="J7" t="str">
        <f t="shared" si="1"/>
        <v>Sem Pendência de TACH</v>
      </c>
    </row>
    <row r="8" spans="1:10">
      <c r="A8" s="4">
        <v>90009703</v>
      </c>
      <c r="B8" s="3" t="s">
        <v>24</v>
      </c>
      <c r="C8" s="2">
        <v>18</v>
      </c>
      <c r="D8" s="5" t="s">
        <v>25</v>
      </c>
      <c r="E8" s="3" t="s">
        <v>6</v>
      </c>
      <c r="F8" s="3" t="s">
        <v>10</v>
      </c>
      <c r="G8" t="s">
        <v>70</v>
      </c>
      <c r="H8" t="s">
        <v>134</v>
      </c>
      <c r="I8" t="str">
        <f t="shared" si="0"/>
        <v>Pendência de Agenda</v>
      </c>
      <c r="J8" t="str">
        <f t="shared" si="1"/>
        <v>Pendência de TACH</v>
      </c>
    </row>
    <row r="9" spans="1:10">
      <c r="A9" s="4">
        <v>28841</v>
      </c>
      <c r="B9" s="3" t="s">
        <v>99</v>
      </c>
      <c r="C9" s="2">
        <v>14</v>
      </c>
      <c r="D9" s="5" t="s">
        <v>17</v>
      </c>
      <c r="E9" s="3" t="s">
        <v>6</v>
      </c>
      <c r="F9" s="3" t="s">
        <v>73</v>
      </c>
      <c r="G9" t="s">
        <v>70</v>
      </c>
      <c r="H9" t="s">
        <v>133</v>
      </c>
      <c r="I9" t="str">
        <f t="shared" si="0"/>
        <v>Pendência de Agenda</v>
      </c>
      <c r="J9" t="str">
        <f t="shared" si="1"/>
        <v>Sem Pendência de TACH</v>
      </c>
    </row>
    <row r="10" spans="1:10">
      <c r="A10" s="4">
        <v>90014031</v>
      </c>
      <c r="B10" s="3" t="s">
        <v>100</v>
      </c>
      <c r="C10" s="2">
        <v>3</v>
      </c>
      <c r="D10" s="5" t="s">
        <v>51</v>
      </c>
      <c r="E10" s="3" t="s">
        <v>15</v>
      </c>
      <c r="F10" s="3" t="s">
        <v>74</v>
      </c>
      <c r="G10" t="s">
        <v>70</v>
      </c>
      <c r="H10" t="s">
        <v>131</v>
      </c>
      <c r="I10" t="str">
        <f t="shared" si="0"/>
        <v>Pendência de Agenda</v>
      </c>
      <c r="J10" t="str">
        <f t="shared" si="1"/>
        <v>Pendência de TACH</v>
      </c>
    </row>
    <row r="11" spans="1:10">
      <c r="A11" s="4">
        <v>90005226</v>
      </c>
      <c r="B11" s="3" t="s">
        <v>31</v>
      </c>
      <c r="C11" s="2">
        <v>14</v>
      </c>
      <c r="D11" s="5" t="s">
        <v>46</v>
      </c>
      <c r="E11" s="3" t="s">
        <v>22</v>
      </c>
      <c r="F11" s="3" t="s">
        <v>23</v>
      </c>
      <c r="G11" t="s">
        <v>70</v>
      </c>
      <c r="H11" t="s">
        <v>132</v>
      </c>
      <c r="I11" t="str">
        <f t="shared" si="0"/>
        <v>Pendência de Agenda</v>
      </c>
      <c r="J11" t="str">
        <f t="shared" si="1"/>
        <v>Pendência de TACH</v>
      </c>
    </row>
    <row r="12" spans="1:10">
      <c r="A12" s="4">
        <v>90005023</v>
      </c>
      <c r="B12" s="3" t="s">
        <v>32</v>
      </c>
      <c r="C12" s="2">
        <v>10</v>
      </c>
      <c r="D12" s="5" t="s">
        <v>21</v>
      </c>
      <c r="E12" s="3" t="s">
        <v>6</v>
      </c>
      <c r="F12" s="3" t="s">
        <v>33</v>
      </c>
      <c r="G12" t="s">
        <v>70</v>
      </c>
      <c r="H12" t="s">
        <v>133</v>
      </c>
      <c r="I12" t="str">
        <f t="shared" si="0"/>
        <v>Pendência de Agenda</v>
      </c>
      <c r="J12" t="str">
        <f t="shared" si="1"/>
        <v>Sem Pendência de TACH</v>
      </c>
    </row>
    <row r="13" spans="1:10">
      <c r="A13" s="4">
        <v>34033</v>
      </c>
      <c r="B13" s="3" t="s">
        <v>35</v>
      </c>
      <c r="C13" s="2">
        <v>2</v>
      </c>
      <c r="D13" s="5" t="s">
        <v>8</v>
      </c>
      <c r="E13" s="3" t="s">
        <v>6</v>
      </c>
      <c r="F13" s="3" t="s">
        <v>36</v>
      </c>
      <c r="G13" t="s">
        <v>70</v>
      </c>
      <c r="H13" t="s">
        <v>133</v>
      </c>
      <c r="I13" t="str">
        <f t="shared" si="0"/>
        <v>Pendência de Agenda</v>
      </c>
      <c r="J13" t="str">
        <f t="shared" si="1"/>
        <v>Sem Pendência de TACH</v>
      </c>
    </row>
    <row r="14" spans="1:10">
      <c r="A14" s="4">
        <v>9506</v>
      </c>
      <c r="B14" s="3" t="s">
        <v>101</v>
      </c>
      <c r="C14" s="2">
        <v>1</v>
      </c>
      <c r="D14" s="5" t="s">
        <v>20</v>
      </c>
      <c r="E14" s="3" t="s">
        <v>6</v>
      </c>
      <c r="F14" s="3" t="s">
        <v>9</v>
      </c>
      <c r="G14" t="s">
        <v>70</v>
      </c>
      <c r="H14" t="s">
        <v>133</v>
      </c>
      <c r="I14" t="str">
        <f t="shared" si="0"/>
        <v>Pendência de Agenda</v>
      </c>
      <c r="J14" t="str">
        <f t="shared" si="1"/>
        <v>Sem Pendência de TACH</v>
      </c>
    </row>
    <row r="15" spans="1:10">
      <c r="A15" s="4">
        <v>90012464</v>
      </c>
      <c r="B15" s="3" t="s">
        <v>102</v>
      </c>
      <c r="C15" s="2">
        <v>4</v>
      </c>
      <c r="D15" s="5" t="s">
        <v>51</v>
      </c>
      <c r="E15" s="3" t="s">
        <v>6</v>
      </c>
      <c r="F15" s="3" t="s">
        <v>13</v>
      </c>
      <c r="G15" t="s">
        <v>70</v>
      </c>
      <c r="H15" t="s">
        <v>133</v>
      </c>
      <c r="I15" t="str">
        <f t="shared" si="0"/>
        <v>Pendência de Agenda</v>
      </c>
      <c r="J15" t="str">
        <f t="shared" si="1"/>
        <v>Sem Pendência de TACH</v>
      </c>
    </row>
    <row r="16" spans="1:10">
      <c r="A16" s="4">
        <v>90013955</v>
      </c>
      <c r="B16" s="3" t="s">
        <v>89</v>
      </c>
      <c r="C16" s="2">
        <v>3</v>
      </c>
      <c r="D16" s="5" t="s">
        <v>51</v>
      </c>
      <c r="E16" s="3" t="s">
        <v>6</v>
      </c>
      <c r="F16" s="3" t="s">
        <v>10</v>
      </c>
      <c r="G16" t="s">
        <v>70</v>
      </c>
      <c r="H16" t="s">
        <v>132</v>
      </c>
      <c r="I16" t="str">
        <f t="shared" si="0"/>
        <v>Pendência de Agenda</v>
      </c>
      <c r="J16" t="str">
        <f t="shared" si="1"/>
        <v>Pendência de TACH</v>
      </c>
    </row>
    <row r="17" spans="1:10">
      <c r="A17" s="4">
        <v>90002842</v>
      </c>
      <c r="B17" s="3" t="s">
        <v>38</v>
      </c>
      <c r="C17" s="2">
        <v>22</v>
      </c>
      <c r="D17" s="5" t="s">
        <v>83</v>
      </c>
      <c r="E17" s="3" t="s">
        <v>6</v>
      </c>
      <c r="F17" s="3" t="s">
        <v>10</v>
      </c>
      <c r="G17" t="s">
        <v>70</v>
      </c>
      <c r="H17" t="s">
        <v>130</v>
      </c>
      <c r="I17" t="str">
        <f t="shared" si="0"/>
        <v>Pendência de Agenda</v>
      </c>
      <c r="J17" t="str">
        <f t="shared" si="1"/>
        <v>Pendência de TACH</v>
      </c>
    </row>
    <row r="18" spans="1:10">
      <c r="A18" s="4">
        <v>23773</v>
      </c>
      <c r="B18" s="3" t="s">
        <v>40</v>
      </c>
      <c r="C18" s="2">
        <v>7</v>
      </c>
      <c r="D18" s="5" t="s">
        <v>26</v>
      </c>
      <c r="E18" s="3" t="s">
        <v>6</v>
      </c>
      <c r="F18" s="3" t="s">
        <v>10</v>
      </c>
      <c r="G18" t="s">
        <v>70</v>
      </c>
      <c r="H18" t="s">
        <v>133</v>
      </c>
      <c r="I18" t="str">
        <f t="shared" si="0"/>
        <v>Pendência de Agenda</v>
      </c>
      <c r="J18" t="str">
        <f t="shared" si="1"/>
        <v>Sem Pendência de TACH</v>
      </c>
    </row>
    <row r="19" spans="1:10">
      <c r="A19" s="4">
        <v>90012407</v>
      </c>
      <c r="B19" s="3" t="s">
        <v>103</v>
      </c>
      <c r="C19" s="2">
        <v>9</v>
      </c>
      <c r="D19" s="5" t="s">
        <v>96</v>
      </c>
      <c r="E19" s="3" t="s">
        <v>15</v>
      </c>
      <c r="F19" s="3" t="s">
        <v>74</v>
      </c>
      <c r="G19" t="s">
        <v>70</v>
      </c>
      <c r="H19" t="s">
        <v>133</v>
      </c>
      <c r="I19" t="str">
        <f t="shared" si="0"/>
        <v>Pendência de Agenda</v>
      </c>
      <c r="J19" t="str">
        <f t="shared" si="1"/>
        <v>Sem Pendência de TACH</v>
      </c>
    </row>
    <row r="20" spans="1:10">
      <c r="A20" s="4">
        <v>90005014</v>
      </c>
      <c r="B20" s="3" t="s">
        <v>80</v>
      </c>
      <c r="C20" s="2">
        <v>2</v>
      </c>
      <c r="D20" s="5" t="s">
        <v>8</v>
      </c>
      <c r="E20" s="3" t="s">
        <v>6</v>
      </c>
      <c r="F20" s="3" t="s">
        <v>10</v>
      </c>
      <c r="G20" t="s">
        <v>70</v>
      </c>
      <c r="H20" t="s">
        <v>132</v>
      </c>
      <c r="I20" t="str">
        <f t="shared" si="0"/>
        <v>Pendência de Agenda</v>
      </c>
      <c r="J20" t="str">
        <f t="shared" si="1"/>
        <v>Pendência de TACH</v>
      </c>
    </row>
    <row r="21" spans="1:10">
      <c r="A21" s="4">
        <v>90011183</v>
      </c>
      <c r="B21" s="3" t="s">
        <v>42</v>
      </c>
      <c r="C21" s="2">
        <v>4</v>
      </c>
      <c r="D21" s="5" t="s">
        <v>5</v>
      </c>
      <c r="E21" s="3" t="s">
        <v>6</v>
      </c>
      <c r="F21" s="3" t="s">
        <v>39</v>
      </c>
      <c r="G21" t="s">
        <v>70</v>
      </c>
      <c r="H21" t="s">
        <v>132</v>
      </c>
      <c r="I21" t="str">
        <f t="shared" si="0"/>
        <v>Pendência de Agenda</v>
      </c>
      <c r="J21" t="str">
        <f t="shared" si="1"/>
        <v>Pendência de TACH</v>
      </c>
    </row>
    <row r="22" spans="1:10">
      <c r="A22" s="4">
        <v>90003306</v>
      </c>
      <c r="B22" s="3" t="s">
        <v>43</v>
      </c>
      <c r="C22" s="2">
        <v>8</v>
      </c>
      <c r="D22" s="5" t="s">
        <v>29</v>
      </c>
      <c r="E22" s="3" t="s">
        <v>22</v>
      </c>
      <c r="F22" s="3" t="s">
        <v>23</v>
      </c>
      <c r="G22" t="s">
        <v>70</v>
      </c>
      <c r="H22" t="s">
        <v>132</v>
      </c>
      <c r="I22" t="str">
        <f t="shared" si="0"/>
        <v>Pendência de Agenda</v>
      </c>
      <c r="J22" t="str">
        <f t="shared" si="1"/>
        <v>Pendência de TACH</v>
      </c>
    </row>
    <row r="23" spans="1:10">
      <c r="A23" s="4">
        <v>90003308</v>
      </c>
      <c r="B23" s="3" t="s">
        <v>105</v>
      </c>
      <c r="C23" s="2">
        <v>34</v>
      </c>
      <c r="D23" s="5" t="s">
        <v>83</v>
      </c>
      <c r="E23" s="3" t="s">
        <v>22</v>
      </c>
      <c r="F23" s="3" t="s">
        <v>23</v>
      </c>
      <c r="G23" t="s">
        <v>70</v>
      </c>
      <c r="H23" t="s">
        <v>131</v>
      </c>
      <c r="I23" t="str">
        <f t="shared" si="0"/>
        <v>Pendência de Agenda</v>
      </c>
      <c r="J23" t="str">
        <f t="shared" si="1"/>
        <v>Pendência de TACH</v>
      </c>
    </row>
    <row r="24" spans="1:10">
      <c r="A24" s="4">
        <v>90013946</v>
      </c>
      <c r="B24" s="3" t="s">
        <v>81</v>
      </c>
      <c r="C24" s="2">
        <v>15</v>
      </c>
      <c r="D24" s="5" t="s">
        <v>48</v>
      </c>
      <c r="E24" s="3" t="s">
        <v>22</v>
      </c>
      <c r="F24" s="3" t="s">
        <v>23</v>
      </c>
      <c r="G24" t="s">
        <v>70</v>
      </c>
      <c r="H24" t="s">
        <v>133</v>
      </c>
      <c r="I24" t="str">
        <f t="shared" si="0"/>
        <v>Pendência de Agenda</v>
      </c>
      <c r="J24" t="str">
        <f t="shared" si="1"/>
        <v>Sem Pendência de TACH</v>
      </c>
    </row>
    <row r="25" spans="1:10">
      <c r="A25" s="4">
        <v>90010235</v>
      </c>
      <c r="B25" s="3" t="s">
        <v>95</v>
      </c>
      <c r="C25" s="2">
        <v>22</v>
      </c>
      <c r="D25" s="5" t="s">
        <v>21</v>
      </c>
      <c r="E25" s="3" t="s">
        <v>6</v>
      </c>
      <c r="F25" s="3" t="s">
        <v>93</v>
      </c>
      <c r="G25" t="s">
        <v>70</v>
      </c>
      <c r="H25" t="s">
        <v>133</v>
      </c>
      <c r="I25" t="str">
        <f t="shared" si="0"/>
        <v>Pendência de Agenda</v>
      </c>
      <c r="J25" t="str">
        <f t="shared" si="1"/>
        <v>Sem Pendência de TACH</v>
      </c>
    </row>
    <row r="26" spans="1:10">
      <c r="A26" s="4">
        <v>90013958</v>
      </c>
      <c r="B26" s="3" t="s">
        <v>90</v>
      </c>
      <c r="C26" s="2">
        <v>2</v>
      </c>
      <c r="D26" s="5" t="s">
        <v>8</v>
      </c>
      <c r="E26" s="3" t="s">
        <v>6</v>
      </c>
      <c r="F26" s="3" t="s">
        <v>41</v>
      </c>
      <c r="G26" t="s">
        <v>70</v>
      </c>
      <c r="H26" t="s">
        <v>132</v>
      </c>
      <c r="I26" t="str">
        <f t="shared" si="0"/>
        <v>Pendência de Agenda</v>
      </c>
      <c r="J26" t="str">
        <f t="shared" si="1"/>
        <v>Pendência de TACH</v>
      </c>
    </row>
    <row r="27" spans="1:10">
      <c r="A27" s="4">
        <v>90002614</v>
      </c>
      <c r="B27" s="3" t="s">
        <v>44</v>
      </c>
      <c r="C27" s="2">
        <v>2</v>
      </c>
      <c r="D27" s="5" t="s">
        <v>8</v>
      </c>
      <c r="E27" s="3" t="s">
        <v>6</v>
      </c>
      <c r="F27" s="3" t="s">
        <v>45</v>
      </c>
      <c r="G27" t="s">
        <v>70</v>
      </c>
      <c r="H27" t="s">
        <v>133</v>
      </c>
      <c r="I27" t="str">
        <f t="shared" si="0"/>
        <v>Pendência de Agenda</v>
      </c>
      <c r="J27" t="str">
        <f t="shared" si="1"/>
        <v>Sem Pendência de TACH</v>
      </c>
    </row>
    <row r="28" spans="1:10">
      <c r="A28" s="4">
        <v>90006746</v>
      </c>
      <c r="B28" s="3" t="s">
        <v>47</v>
      </c>
      <c r="C28" s="2">
        <v>8</v>
      </c>
      <c r="D28" s="5" t="s">
        <v>29</v>
      </c>
      <c r="E28" s="3" t="s">
        <v>6</v>
      </c>
      <c r="F28" s="3" t="s">
        <v>10</v>
      </c>
      <c r="G28" t="s">
        <v>70</v>
      </c>
      <c r="H28" t="s">
        <v>135</v>
      </c>
      <c r="I28" t="str">
        <f t="shared" si="0"/>
        <v>Pendência de Agenda</v>
      </c>
      <c r="J28" t="str">
        <f t="shared" si="1"/>
        <v>Pendência de TACH</v>
      </c>
    </row>
    <row r="29" spans="1:10">
      <c r="A29" s="4">
        <v>90013721</v>
      </c>
      <c r="B29" s="3" t="s">
        <v>50</v>
      </c>
      <c r="C29" s="2">
        <v>9</v>
      </c>
      <c r="D29" s="5" t="s">
        <v>96</v>
      </c>
      <c r="E29" s="3" t="s">
        <v>15</v>
      </c>
      <c r="F29" s="3" t="s">
        <v>74</v>
      </c>
      <c r="G29" t="s">
        <v>70</v>
      </c>
      <c r="H29" t="s">
        <v>130</v>
      </c>
      <c r="I29" t="str">
        <f t="shared" si="0"/>
        <v>Pendência de Agenda</v>
      </c>
      <c r="J29" t="str">
        <f t="shared" si="1"/>
        <v>Pendência de TACH</v>
      </c>
    </row>
    <row r="30" spans="1:10">
      <c r="A30" s="4">
        <v>90013834</v>
      </c>
      <c r="B30" s="3" t="s">
        <v>52</v>
      </c>
      <c r="C30" s="2">
        <v>1</v>
      </c>
      <c r="D30" s="5" t="s">
        <v>20</v>
      </c>
      <c r="E30" s="3" t="s">
        <v>6</v>
      </c>
      <c r="F30" s="3" t="s">
        <v>28</v>
      </c>
      <c r="G30" t="s">
        <v>70</v>
      </c>
      <c r="H30" t="s">
        <v>133</v>
      </c>
      <c r="I30" t="str">
        <f t="shared" si="0"/>
        <v>Pendência de Agenda</v>
      </c>
      <c r="J30" t="str">
        <f t="shared" si="1"/>
        <v>Sem Pendência de TACH</v>
      </c>
    </row>
    <row r="31" spans="1:10">
      <c r="A31" s="4">
        <v>90013639</v>
      </c>
      <c r="B31" s="3" t="s">
        <v>53</v>
      </c>
      <c r="C31" s="2">
        <v>14</v>
      </c>
      <c r="D31" s="5" t="s">
        <v>46</v>
      </c>
      <c r="E31" s="3" t="s">
        <v>6</v>
      </c>
      <c r="F31" s="3" t="s">
        <v>27</v>
      </c>
      <c r="G31" t="s">
        <v>70</v>
      </c>
      <c r="H31" t="s">
        <v>133</v>
      </c>
      <c r="I31" t="str">
        <f t="shared" si="0"/>
        <v>Pendência de Agenda</v>
      </c>
      <c r="J31" t="str">
        <f t="shared" si="1"/>
        <v>Sem Pendência de TACH</v>
      </c>
    </row>
    <row r="32" spans="1:10">
      <c r="A32" s="4">
        <v>5291</v>
      </c>
      <c r="B32" s="3" t="s">
        <v>54</v>
      </c>
      <c r="C32" s="2">
        <v>14</v>
      </c>
      <c r="D32" s="5" t="s">
        <v>8</v>
      </c>
      <c r="E32" s="3" t="s">
        <v>6</v>
      </c>
      <c r="F32" s="3" t="s">
        <v>9</v>
      </c>
      <c r="G32" t="s">
        <v>70</v>
      </c>
      <c r="H32" t="s">
        <v>133</v>
      </c>
      <c r="I32" t="str">
        <f t="shared" si="0"/>
        <v>Pendência de Agenda</v>
      </c>
      <c r="J32" t="str">
        <f t="shared" si="1"/>
        <v>Sem Pendência de TACH</v>
      </c>
    </row>
    <row r="33" spans="1:10">
      <c r="A33" s="4">
        <v>90001409</v>
      </c>
      <c r="B33" s="3" t="s">
        <v>82</v>
      </c>
      <c r="C33" s="2">
        <v>20</v>
      </c>
      <c r="D33" s="5" t="s">
        <v>59</v>
      </c>
      <c r="E33" s="3" t="s">
        <v>22</v>
      </c>
      <c r="F33" s="3" t="s">
        <v>23</v>
      </c>
      <c r="G33" t="s">
        <v>70</v>
      </c>
      <c r="H33" t="s">
        <v>132</v>
      </c>
      <c r="I33" t="str">
        <f t="shared" ref="I33:I61" si="2">IF(AND(G33="SIM",D33&gt;0),"Pendência de Agenda",IF(AND(G33="NÃO",D33=0),"Sem Pendência",""))</f>
        <v>Pendência de Agenda</v>
      </c>
      <c r="J33" t="str">
        <f t="shared" ref="J33:J61" si="3">IF(AND(C33&gt;0,H33="FINALIZADO"),"Pendência de TACH",IF(AND(C33&gt;0,H33="Não Criado"),"Pendência de TACH",IF(AND(C33&gt;0,H33="Rascunho"),"Pendência de TACH",IF(AND(C33&gt;0,H33="NECESSÁRIO AJUSTAR"),"Pendência de TACH",IF(AND(C33&gt;0,H33="Aguardando Aprovação"),"Pendência de TACH",IF(AND(C33&gt;0,H33="Aprovado"),"Sem Pendência de TACH"))))))</f>
        <v>Pendência de TACH</v>
      </c>
    </row>
    <row r="34" spans="1:10">
      <c r="A34" s="4">
        <v>32572</v>
      </c>
      <c r="B34" s="3" t="s">
        <v>106</v>
      </c>
      <c r="C34" s="2">
        <v>31</v>
      </c>
      <c r="D34" s="5" t="s">
        <v>59</v>
      </c>
      <c r="E34" s="3" t="s">
        <v>22</v>
      </c>
      <c r="F34" s="3" t="s">
        <v>23</v>
      </c>
      <c r="G34" t="s">
        <v>70</v>
      </c>
      <c r="H34" t="s">
        <v>133</v>
      </c>
      <c r="I34" t="str">
        <f t="shared" si="2"/>
        <v>Pendência de Agenda</v>
      </c>
      <c r="J34" t="str">
        <f t="shared" si="3"/>
        <v>Sem Pendência de TACH</v>
      </c>
    </row>
    <row r="35" spans="1:10">
      <c r="A35" s="4">
        <v>23775</v>
      </c>
      <c r="B35" s="3" t="s">
        <v>107</v>
      </c>
      <c r="C35" s="2">
        <v>12</v>
      </c>
      <c r="D35" s="5" t="s">
        <v>17</v>
      </c>
      <c r="E35" s="3" t="s">
        <v>22</v>
      </c>
      <c r="F35" s="3" t="s">
        <v>71</v>
      </c>
      <c r="G35" t="s">
        <v>70</v>
      </c>
      <c r="H35" t="s">
        <v>133</v>
      </c>
      <c r="I35" t="str">
        <f t="shared" si="2"/>
        <v>Pendência de Agenda</v>
      </c>
      <c r="J35" t="str">
        <f t="shared" si="3"/>
        <v>Sem Pendência de TACH</v>
      </c>
    </row>
    <row r="36" spans="1:10">
      <c r="A36" s="4">
        <v>6792</v>
      </c>
      <c r="B36" s="3" t="s">
        <v>56</v>
      </c>
      <c r="C36" s="2">
        <v>4</v>
      </c>
      <c r="D36" s="5" t="s">
        <v>5</v>
      </c>
      <c r="E36" s="3" t="s">
        <v>6</v>
      </c>
      <c r="F36" s="3" t="s">
        <v>9</v>
      </c>
      <c r="G36" t="s">
        <v>70</v>
      </c>
      <c r="H36" t="s">
        <v>133</v>
      </c>
      <c r="I36" t="str">
        <f t="shared" si="2"/>
        <v>Pendência de Agenda</v>
      </c>
      <c r="J36" t="str">
        <f t="shared" si="3"/>
        <v>Sem Pendência de TACH</v>
      </c>
    </row>
    <row r="37" spans="1:10">
      <c r="A37" s="4">
        <v>90004950</v>
      </c>
      <c r="B37" s="3" t="s">
        <v>57</v>
      </c>
      <c r="C37" s="2">
        <v>5</v>
      </c>
      <c r="D37" s="5" t="s">
        <v>14</v>
      </c>
      <c r="E37" s="3" t="s">
        <v>6</v>
      </c>
      <c r="F37" s="3" t="s">
        <v>10</v>
      </c>
      <c r="G37" t="s">
        <v>70</v>
      </c>
      <c r="H37" t="s">
        <v>134</v>
      </c>
      <c r="I37" t="str">
        <f t="shared" si="2"/>
        <v>Pendência de Agenda</v>
      </c>
      <c r="J37" t="str">
        <f t="shared" si="3"/>
        <v>Pendência de TACH</v>
      </c>
    </row>
    <row r="38" spans="1:10">
      <c r="A38" s="4">
        <v>90001535</v>
      </c>
      <c r="B38" s="3" t="s">
        <v>58</v>
      </c>
      <c r="C38" s="2">
        <v>8</v>
      </c>
      <c r="D38" s="5" t="s">
        <v>29</v>
      </c>
      <c r="E38" s="3" t="s">
        <v>6</v>
      </c>
      <c r="F38" s="3" t="s">
        <v>10</v>
      </c>
      <c r="G38" t="s">
        <v>70</v>
      </c>
      <c r="H38" t="s">
        <v>133</v>
      </c>
      <c r="I38" t="str">
        <f t="shared" si="2"/>
        <v>Pendência de Agenda</v>
      </c>
      <c r="J38" t="str">
        <f t="shared" si="3"/>
        <v>Sem Pendência de TACH</v>
      </c>
    </row>
    <row r="39" spans="1:10">
      <c r="A39" s="4">
        <v>3363</v>
      </c>
      <c r="B39" s="3" t="s">
        <v>91</v>
      </c>
      <c r="C39" s="2">
        <v>4</v>
      </c>
      <c r="D39" s="5" t="s">
        <v>5</v>
      </c>
      <c r="E39" s="3" t="s">
        <v>6</v>
      </c>
      <c r="F39" s="3" t="s">
        <v>9</v>
      </c>
      <c r="G39" t="s">
        <v>70</v>
      </c>
      <c r="H39" t="s">
        <v>132</v>
      </c>
      <c r="I39" t="str">
        <f t="shared" si="2"/>
        <v>Pendência de Agenda</v>
      </c>
      <c r="J39" t="str">
        <f t="shared" si="3"/>
        <v>Pendência de TACH</v>
      </c>
    </row>
    <row r="40" spans="1:10">
      <c r="A40" s="4">
        <v>90010953</v>
      </c>
      <c r="B40" s="3" t="s">
        <v>92</v>
      </c>
      <c r="C40" s="2">
        <v>8</v>
      </c>
      <c r="D40" s="5" t="s">
        <v>29</v>
      </c>
      <c r="E40" s="3" t="s">
        <v>6</v>
      </c>
      <c r="F40" s="3" t="s">
        <v>49</v>
      </c>
      <c r="G40" t="s">
        <v>70</v>
      </c>
      <c r="H40" t="s">
        <v>133</v>
      </c>
      <c r="I40" t="str">
        <f t="shared" si="2"/>
        <v>Pendência de Agenda</v>
      </c>
      <c r="J40" t="str">
        <f t="shared" si="3"/>
        <v>Sem Pendência de TACH</v>
      </c>
    </row>
    <row r="41" spans="1:10">
      <c r="A41" s="4">
        <v>90013729</v>
      </c>
      <c r="B41" s="3" t="s">
        <v>60</v>
      </c>
      <c r="C41" s="2">
        <v>7</v>
      </c>
      <c r="D41" s="5" t="s">
        <v>26</v>
      </c>
      <c r="E41" s="3" t="s">
        <v>15</v>
      </c>
      <c r="F41" s="3" t="s">
        <v>74</v>
      </c>
      <c r="G41" t="s">
        <v>70</v>
      </c>
      <c r="H41" t="s">
        <v>133</v>
      </c>
      <c r="I41" t="str">
        <f t="shared" si="2"/>
        <v>Pendência de Agenda</v>
      </c>
      <c r="J41" t="str">
        <f t="shared" si="3"/>
        <v>Sem Pendência de TACH</v>
      </c>
    </row>
    <row r="42" spans="1:10">
      <c r="A42" s="4">
        <v>90010292</v>
      </c>
      <c r="B42" s="3" t="s">
        <v>61</v>
      </c>
      <c r="C42" s="2">
        <v>8</v>
      </c>
      <c r="D42" s="5" t="s">
        <v>29</v>
      </c>
      <c r="E42" s="3" t="s">
        <v>22</v>
      </c>
      <c r="F42" s="3" t="s">
        <v>23</v>
      </c>
      <c r="G42" t="s">
        <v>70</v>
      </c>
      <c r="H42" t="s">
        <v>132</v>
      </c>
      <c r="I42" t="str">
        <f t="shared" si="2"/>
        <v>Pendência de Agenda</v>
      </c>
      <c r="J42" t="str">
        <f t="shared" si="3"/>
        <v>Pendência de TACH</v>
      </c>
    </row>
    <row r="43" spans="1:10">
      <c r="A43" s="4">
        <v>29939</v>
      </c>
      <c r="B43" s="3" t="s">
        <v>108</v>
      </c>
      <c r="C43" s="2">
        <v>8</v>
      </c>
      <c r="D43" s="5" t="s">
        <v>29</v>
      </c>
      <c r="E43" s="3" t="s">
        <v>22</v>
      </c>
      <c r="F43" s="3" t="s">
        <v>34</v>
      </c>
      <c r="G43" t="s">
        <v>70</v>
      </c>
      <c r="H43" t="s">
        <v>133</v>
      </c>
      <c r="I43" t="str">
        <f t="shared" si="2"/>
        <v>Pendência de Agenda</v>
      </c>
      <c r="J43" t="str">
        <f t="shared" si="3"/>
        <v>Sem Pendência de TACH</v>
      </c>
    </row>
    <row r="44" spans="1:10">
      <c r="A44" s="4">
        <v>26660</v>
      </c>
      <c r="B44" s="3" t="s">
        <v>62</v>
      </c>
      <c r="C44" s="2">
        <v>12</v>
      </c>
      <c r="D44" s="5" t="s">
        <v>17</v>
      </c>
      <c r="E44" s="3" t="s">
        <v>6</v>
      </c>
      <c r="F44" s="3" t="s">
        <v>49</v>
      </c>
      <c r="G44" t="s">
        <v>70</v>
      </c>
      <c r="H44" t="s">
        <v>132</v>
      </c>
      <c r="I44" t="str">
        <f t="shared" si="2"/>
        <v>Pendência de Agenda</v>
      </c>
      <c r="J44" t="str">
        <f t="shared" si="3"/>
        <v>Pendência de TACH</v>
      </c>
    </row>
    <row r="45" spans="1:10">
      <c r="A45" s="4">
        <v>90013912</v>
      </c>
      <c r="B45" s="3" t="s">
        <v>84</v>
      </c>
      <c r="C45" s="2">
        <v>4</v>
      </c>
      <c r="D45" s="5" t="s">
        <v>5</v>
      </c>
      <c r="E45" s="3" t="s">
        <v>15</v>
      </c>
      <c r="F45" s="3" t="s">
        <v>88</v>
      </c>
      <c r="G45" t="s">
        <v>70</v>
      </c>
      <c r="H45" t="s">
        <v>133</v>
      </c>
      <c r="I45" t="str">
        <f t="shared" si="2"/>
        <v>Pendência de Agenda</v>
      </c>
      <c r="J45" t="str">
        <f t="shared" si="3"/>
        <v>Sem Pendência de TACH</v>
      </c>
    </row>
    <row r="46" spans="1:10">
      <c r="A46" s="4">
        <v>31303</v>
      </c>
      <c r="B46" s="3" t="s">
        <v>63</v>
      </c>
      <c r="C46" s="2">
        <v>28</v>
      </c>
      <c r="D46" s="5" t="s">
        <v>64</v>
      </c>
      <c r="E46" s="3" t="s">
        <v>22</v>
      </c>
      <c r="F46" s="3" t="s">
        <v>23</v>
      </c>
      <c r="G46" t="s">
        <v>70</v>
      </c>
      <c r="H46" t="s">
        <v>132</v>
      </c>
      <c r="I46" t="str">
        <f t="shared" si="2"/>
        <v>Pendência de Agenda</v>
      </c>
      <c r="J46" t="str">
        <f t="shared" si="3"/>
        <v>Pendência de TACH</v>
      </c>
    </row>
    <row r="47" spans="1:10">
      <c r="A47" s="4">
        <v>4178</v>
      </c>
      <c r="B47" s="3" t="s">
        <v>85</v>
      </c>
      <c r="C47" s="2">
        <v>4</v>
      </c>
      <c r="D47" s="5" t="s">
        <v>8</v>
      </c>
      <c r="E47" s="3" t="s">
        <v>6</v>
      </c>
      <c r="F47" s="3" t="s">
        <v>9</v>
      </c>
      <c r="G47" t="s">
        <v>70</v>
      </c>
      <c r="H47" t="s">
        <v>133</v>
      </c>
      <c r="I47" t="str">
        <f t="shared" si="2"/>
        <v>Pendência de Agenda</v>
      </c>
      <c r="J47" t="str">
        <f t="shared" si="3"/>
        <v>Sem Pendência de TACH</v>
      </c>
    </row>
    <row r="48" spans="1:10">
      <c r="A48" s="4">
        <v>31582</v>
      </c>
      <c r="B48" s="3" t="s">
        <v>65</v>
      </c>
      <c r="C48" s="2">
        <v>10</v>
      </c>
      <c r="D48" s="5" t="s">
        <v>21</v>
      </c>
      <c r="E48" s="3" t="s">
        <v>22</v>
      </c>
      <c r="F48" s="3" t="s">
        <v>23</v>
      </c>
      <c r="G48" t="s">
        <v>70</v>
      </c>
      <c r="H48" t="s">
        <v>133</v>
      </c>
      <c r="I48" t="str">
        <f t="shared" si="2"/>
        <v>Pendência de Agenda</v>
      </c>
      <c r="J48" t="str">
        <f t="shared" si="3"/>
        <v>Sem Pendência de TACH</v>
      </c>
    </row>
    <row r="49" spans="1:10">
      <c r="A49" s="4">
        <v>26297</v>
      </c>
      <c r="B49" s="3" t="s">
        <v>109</v>
      </c>
      <c r="C49" s="2">
        <v>3</v>
      </c>
      <c r="D49" s="5" t="s">
        <v>20</v>
      </c>
      <c r="E49" s="3" t="s">
        <v>6</v>
      </c>
      <c r="F49" s="3" t="s">
        <v>72</v>
      </c>
      <c r="G49" t="s">
        <v>70</v>
      </c>
      <c r="H49" t="s">
        <v>131</v>
      </c>
      <c r="I49" t="str">
        <f t="shared" si="2"/>
        <v>Pendência de Agenda</v>
      </c>
      <c r="J49" t="str">
        <f t="shared" si="3"/>
        <v>Pendência de TACH</v>
      </c>
    </row>
    <row r="50" spans="1:10">
      <c r="A50" s="4">
        <v>90012539</v>
      </c>
      <c r="B50" s="3" t="s">
        <v>66</v>
      </c>
      <c r="C50" s="2">
        <v>8</v>
      </c>
      <c r="D50" s="5" t="s">
        <v>29</v>
      </c>
      <c r="E50" s="3" t="s">
        <v>22</v>
      </c>
      <c r="F50" s="3" t="s">
        <v>23</v>
      </c>
      <c r="G50" t="s">
        <v>70</v>
      </c>
      <c r="H50" t="s">
        <v>133</v>
      </c>
      <c r="I50" t="str">
        <f t="shared" si="2"/>
        <v>Pendência de Agenda</v>
      </c>
      <c r="J50" t="str">
        <f t="shared" si="3"/>
        <v>Sem Pendência de TACH</v>
      </c>
    </row>
    <row r="51" spans="1:10">
      <c r="A51" s="4">
        <v>90012493</v>
      </c>
      <c r="B51" s="3" t="s">
        <v>67</v>
      </c>
      <c r="C51" s="2">
        <v>8</v>
      </c>
      <c r="D51" s="5" t="s">
        <v>29</v>
      </c>
      <c r="E51" s="3" t="s">
        <v>6</v>
      </c>
      <c r="F51" s="3" t="s">
        <v>10</v>
      </c>
      <c r="G51" t="s">
        <v>70</v>
      </c>
      <c r="H51" t="s">
        <v>133</v>
      </c>
      <c r="I51" t="str">
        <f t="shared" si="2"/>
        <v>Pendência de Agenda</v>
      </c>
      <c r="J51" t="str">
        <f t="shared" si="3"/>
        <v>Sem Pendência de TACH</v>
      </c>
    </row>
    <row r="52" spans="1:10">
      <c r="A52" s="4">
        <v>90013875</v>
      </c>
      <c r="B52" s="3" t="s">
        <v>86</v>
      </c>
      <c r="C52" s="2">
        <v>4</v>
      </c>
      <c r="D52" s="5" t="s">
        <v>20</v>
      </c>
      <c r="E52" s="3" t="s">
        <v>6</v>
      </c>
      <c r="F52" s="3" t="s">
        <v>30</v>
      </c>
      <c r="G52" t="s">
        <v>70</v>
      </c>
      <c r="H52" t="s">
        <v>133</v>
      </c>
      <c r="I52" t="str">
        <f t="shared" si="2"/>
        <v>Pendência de Agenda</v>
      </c>
      <c r="J52" t="str">
        <f t="shared" si="3"/>
        <v>Sem Pendência de TACH</v>
      </c>
    </row>
    <row r="53" spans="1:10">
      <c r="A53">
        <v>503</v>
      </c>
      <c r="B53" t="s">
        <v>111</v>
      </c>
      <c r="C53" s="2">
        <v>32</v>
      </c>
      <c r="D53" s="2">
        <v>0</v>
      </c>
      <c r="E53" t="s">
        <v>6</v>
      </c>
      <c r="F53" t="s">
        <v>121</v>
      </c>
      <c r="G53" t="s">
        <v>120</v>
      </c>
      <c r="H53" t="s">
        <v>131</v>
      </c>
      <c r="I53" t="str">
        <f t="shared" si="2"/>
        <v>Sem Pendência</v>
      </c>
      <c r="J53" t="str">
        <f t="shared" si="3"/>
        <v>Pendência de TACH</v>
      </c>
    </row>
    <row r="54" spans="1:10">
      <c r="A54">
        <v>32130</v>
      </c>
      <c r="B54" t="s">
        <v>112</v>
      </c>
      <c r="C54" s="2">
        <v>30</v>
      </c>
      <c r="D54" s="2">
        <v>0</v>
      </c>
      <c r="E54" t="s">
        <v>6</v>
      </c>
      <c r="F54" t="s">
        <v>122</v>
      </c>
      <c r="G54" t="s">
        <v>120</v>
      </c>
      <c r="H54" t="s">
        <v>131</v>
      </c>
      <c r="I54" t="str">
        <f t="shared" si="2"/>
        <v>Sem Pendência</v>
      </c>
      <c r="J54" t="str">
        <f t="shared" si="3"/>
        <v>Pendência de TACH</v>
      </c>
    </row>
    <row r="55" spans="1:10">
      <c r="A55">
        <v>20244</v>
      </c>
      <c r="B55" t="s">
        <v>113</v>
      </c>
      <c r="C55" s="2">
        <v>36</v>
      </c>
      <c r="D55" s="2">
        <v>0</v>
      </c>
      <c r="E55" t="s">
        <v>6</v>
      </c>
      <c r="F55" t="s">
        <v>123</v>
      </c>
      <c r="G55" t="s">
        <v>120</v>
      </c>
      <c r="H55" t="s">
        <v>131</v>
      </c>
      <c r="I55" t="str">
        <f t="shared" si="2"/>
        <v>Sem Pendência</v>
      </c>
      <c r="J55" t="str">
        <f t="shared" si="3"/>
        <v>Pendência de TACH</v>
      </c>
    </row>
    <row r="56" spans="1:10">
      <c r="A56">
        <v>20857</v>
      </c>
      <c r="B56" t="s">
        <v>114</v>
      </c>
      <c r="C56" s="2">
        <v>34</v>
      </c>
      <c r="D56" s="2">
        <v>0</v>
      </c>
      <c r="E56" t="s">
        <v>6</v>
      </c>
      <c r="F56" t="s">
        <v>124</v>
      </c>
      <c r="G56" t="s">
        <v>120</v>
      </c>
      <c r="H56" t="s">
        <v>131</v>
      </c>
      <c r="I56" t="str">
        <f t="shared" si="2"/>
        <v>Sem Pendência</v>
      </c>
      <c r="J56" t="str">
        <f t="shared" si="3"/>
        <v>Pendência de TACH</v>
      </c>
    </row>
    <row r="57" spans="1:10">
      <c r="A57">
        <v>23850</v>
      </c>
      <c r="B57" t="s">
        <v>115</v>
      </c>
      <c r="C57" s="2">
        <v>40</v>
      </c>
      <c r="D57" s="2">
        <v>0</v>
      </c>
      <c r="E57" t="s">
        <v>6</v>
      </c>
      <c r="F57" t="s">
        <v>125</v>
      </c>
      <c r="G57" t="s">
        <v>120</v>
      </c>
      <c r="H57" t="s">
        <v>130</v>
      </c>
      <c r="I57" t="str">
        <f t="shared" si="2"/>
        <v>Sem Pendência</v>
      </c>
      <c r="J57" t="str">
        <f t="shared" si="3"/>
        <v>Pendência de TACH</v>
      </c>
    </row>
    <row r="58" spans="1:10">
      <c r="A58">
        <v>90011017</v>
      </c>
      <c r="B58" t="s">
        <v>116</v>
      </c>
      <c r="C58" s="2">
        <v>26</v>
      </c>
      <c r="D58" s="2">
        <v>0</v>
      </c>
      <c r="E58" t="s">
        <v>6</v>
      </c>
      <c r="F58" t="s">
        <v>126</v>
      </c>
      <c r="G58" t="s">
        <v>120</v>
      </c>
      <c r="H58" t="s">
        <v>131</v>
      </c>
      <c r="I58" t="str">
        <f t="shared" si="2"/>
        <v>Sem Pendência</v>
      </c>
      <c r="J58" t="str">
        <f t="shared" si="3"/>
        <v>Pendência de TACH</v>
      </c>
    </row>
    <row r="59" spans="1:10">
      <c r="A59">
        <v>22466</v>
      </c>
      <c r="B59" t="s">
        <v>117</v>
      </c>
      <c r="C59" s="2">
        <v>40</v>
      </c>
      <c r="D59" s="2">
        <v>0</v>
      </c>
      <c r="E59" t="s">
        <v>6</v>
      </c>
      <c r="F59" t="s">
        <v>127</v>
      </c>
      <c r="G59" t="s">
        <v>120</v>
      </c>
      <c r="H59" t="s">
        <v>131</v>
      </c>
      <c r="I59" t="str">
        <f t="shared" si="2"/>
        <v>Sem Pendência</v>
      </c>
      <c r="J59" t="str">
        <f t="shared" si="3"/>
        <v>Pendência de TACH</v>
      </c>
    </row>
    <row r="60" spans="1:10">
      <c r="A60">
        <v>34006</v>
      </c>
      <c r="B60" t="s">
        <v>118</v>
      </c>
      <c r="C60" s="2">
        <v>40</v>
      </c>
      <c r="D60" s="2">
        <v>0</v>
      </c>
      <c r="E60" t="s">
        <v>6</v>
      </c>
      <c r="F60" t="s">
        <v>128</v>
      </c>
      <c r="G60" t="s">
        <v>120</v>
      </c>
      <c r="H60" t="s">
        <v>131</v>
      </c>
      <c r="I60" t="str">
        <f t="shared" si="2"/>
        <v>Sem Pendência</v>
      </c>
      <c r="J60" t="str">
        <f t="shared" si="3"/>
        <v>Pendência de TACH</v>
      </c>
    </row>
    <row r="61" spans="1:10">
      <c r="A61">
        <v>90009732</v>
      </c>
      <c r="B61" t="s">
        <v>119</v>
      </c>
      <c r="C61" s="2">
        <v>22</v>
      </c>
      <c r="D61" s="2">
        <v>0</v>
      </c>
      <c r="E61" t="s">
        <v>6</v>
      </c>
      <c r="F61" t="s">
        <v>129</v>
      </c>
      <c r="G61" t="s">
        <v>120</v>
      </c>
      <c r="H61" t="s">
        <v>131</v>
      </c>
      <c r="I61" t="str">
        <f t="shared" si="2"/>
        <v>Sem Pendência</v>
      </c>
      <c r="J61" t="str">
        <f t="shared" si="3"/>
        <v>Pendência de TACH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2EA63-0129-4996-92FB-43E6D6925171}">
  <dimension ref="A1:N80"/>
  <sheetViews>
    <sheetView zoomScale="85" zoomScaleNormal="85" workbookViewId="0">
      <selection activeCell="C83" sqref="C83"/>
    </sheetView>
  </sheetViews>
  <sheetFormatPr defaultRowHeight="15"/>
  <cols>
    <col min="1" max="1" width="11.85546875" bestFit="1" customWidth="1"/>
    <col min="2" max="2" width="47.5703125" bestFit="1" customWidth="1"/>
    <col min="3" max="3" width="25.5703125" customWidth="1"/>
    <col min="4" max="4" width="10" customWidth="1"/>
    <col min="5" max="5" width="18.7109375" bestFit="1" customWidth="1"/>
    <col min="6" max="6" width="71.5703125" bestFit="1" customWidth="1"/>
    <col min="7" max="7" width="10.7109375" customWidth="1"/>
    <col min="8" max="8" width="17.140625" customWidth="1"/>
    <col min="9" max="9" width="16.5703125" customWidth="1"/>
    <col min="10" max="10" width="15.28515625" customWidth="1"/>
    <col min="11" max="11" width="14.42578125" customWidth="1"/>
    <col min="12" max="12" width="14.7109375" customWidth="1"/>
    <col min="13" max="13" width="19.5703125" bestFit="1" customWidth="1"/>
    <col min="14" max="14" width="17.42578125" bestFit="1" customWidth="1"/>
  </cols>
  <sheetData>
    <row r="1" spans="1:14">
      <c r="A1" t="s">
        <v>0</v>
      </c>
      <c r="B1" t="s">
        <v>1</v>
      </c>
      <c r="C1" t="s">
        <v>77</v>
      </c>
      <c r="D1" t="s">
        <v>2</v>
      </c>
      <c r="E1" t="s">
        <v>3</v>
      </c>
      <c r="F1" t="s">
        <v>4</v>
      </c>
      <c r="G1" t="s">
        <v>78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75</v>
      </c>
      <c r="N1" t="s">
        <v>76</v>
      </c>
    </row>
    <row r="2" spans="1:14">
      <c r="A2" s="1">
        <v>8306</v>
      </c>
      <c r="B2" t="s">
        <v>7</v>
      </c>
      <c r="C2" s="2">
        <v>2</v>
      </c>
      <c r="D2" s="2" t="s">
        <v>8</v>
      </c>
      <c r="E2" t="s">
        <v>6</v>
      </c>
      <c r="F2" t="s">
        <v>9</v>
      </c>
      <c r="G2" t="s">
        <v>163</v>
      </c>
      <c r="H2" t="s">
        <v>132</v>
      </c>
      <c r="I2" t="s">
        <v>132</v>
      </c>
      <c r="J2" t="s">
        <v>132</v>
      </c>
      <c r="K2" t="s">
        <v>132</v>
      </c>
      <c r="L2" t="s">
        <v>132</v>
      </c>
      <c r="M2" t="str">
        <f t="shared" ref="M2:M50" si="0">IF(AND(G2="SIM",D2&gt;0),"Pendência de Agenda",IF(AND(G2="NÃO",D2=0),"Sem Pendência",IF(AND(G2="Sim",D2=0),"Sem Pendência","")))</f>
        <v>Pendência de Agenda</v>
      </c>
      <c r="N2" t="str" cm="1">
        <f t="array" ref="N2">IF(AND(C2&gt;0,I2="Finalizado"),"Pendência de TACH",IF(AND(C2&gt;0,I2="Não Criado"),"Pendência de TACH",IF(AND(C2&gt;0,I2="Rascunho"),"Pendência de TACH",IF(AND(C2&gt;0,I2="NECESSÁRIO AJUSTAR"),"Pendência de TACH",IF(AND(C2&gt;0,I2="Aguardando Aprovação"),"Pendência de TACH",IF(AND(C2&gt;0,I2="Aprovado"),"Sem Pendência de TACH",IF(AND(C2&gt;0,J2="Finalizado"),"Pendência de TACH",IF(AND(C2&gt;0,J2="Não Criado"),"Pendência de TACH",IF(AND(C2&gt;0,J2="Rascunho"),"Pendência de TACH",IF(AND(C2&gt;0,J2="NECESSÁRIO AJUSTAR"),"Pendência de TACH",IF(AND(C2&gt;0,J2="Aguardando Aprovação"),"Pendência de TACH",IF(AND(C2&gt;0,J2="Aprovado"),"Sem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Aprovação"),"Pendência de TACH",IF(AND(C2&gt;0,K2="Aprovado"),"Sem Pendência de TACH",IF(AND(C2&gt;0,KL="Finalizado"),"Pendência de TACH",IF(AND(C2&gt;0,KL="Não Criado"),"Pendência de TACH",IF(AND(C2&gt;0,KL="Rascunho"),"Pendência de TACH",IF(AND(C2&gt;0,L2="NECESSÁRIO AJUSTAR"),"Pendência de TACH",IF(AND(C2&gt;0,L2="Aguardando Aprovação"),"Pendência de TACH",IF(AND(C2&gt;0,L2="Aprovado"),"Sem Pendência de TACH"))))))))))))))))))))))))</f>
        <v>Pendência de TACH</v>
      </c>
    </row>
    <row r="3" spans="1:14">
      <c r="A3" s="1">
        <v>90013961</v>
      </c>
      <c r="B3" t="s">
        <v>87</v>
      </c>
      <c r="C3" s="2">
        <v>8</v>
      </c>
      <c r="D3" s="2" t="s">
        <v>29</v>
      </c>
      <c r="E3" t="s">
        <v>22</v>
      </c>
      <c r="F3" t="s">
        <v>23</v>
      </c>
      <c r="G3" t="s">
        <v>163</v>
      </c>
      <c r="H3" t="s">
        <v>132</v>
      </c>
      <c r="I3" t="s">
        <v>132</v>
      </c>
      <c r="J3" t="s">
        <v>132</v>
      </c>
      <c r="K3" t="s">
        <v>134</v>
      </c>
      <c r="L3" t="s">
        <v>134</v>
      </c>
      <c r="M3" t="str">
        <f t="shared" si="0"/>
        <v>Pendência de Agenda</v>
      </c>
      <c r="N3" t="str">
        <f t="shared" ref="N3:N48" si="1">IF(AND(C3&gt;0,I3="Finalizado"),"Pendência de TACH",IF(AND(C3&gt;0,I3="Não Criado"),"Pendência de TACH",IF(AND(C3&gt;0,I3="Rascunho"),"Pendência de TACH",IF(AND(C3&gt;0,I3="NECESSÁRIO AJUSTAR"),"Pendência de TACH",IF(AND(C3&gt;0,I3="Aguardando Aprovação"),"Pendência de TACH",IF(AND(C3&gt;0,I3="Aprovado"),"Sem Pendência de TACH",IF(AND(C3&gt;0,J3="Finalizado"),"Pendência de TACH",IF(AND(C3&gt;0,J3="Não Criado"),"Pendência de TACH",IF(AND(C3&gt;0,J3="Rascunho"),"Pendência de TACH",IF(AND(C3&gt;0,J3="NECESSÁRIO AJUSTAR"),"Pendência de TACH",IF(AND(C3&gt;0,J3="Aguardando Aprovação"),"Pendência de TACH",IF(AND(C3&gt;0,J3="Aprovado"),"Sem Pendência de TACH",IF(AND(C3&gt;0,K3="Finalizado"),"Pendência de TACH",IF(AND(C3&gt;0,K3="Não Criado"),"Pendência de TACH",IF(AND(C3&gt;0,K3="Rascunho"),"Pendência de TACH",IF(AND(C3&gt;0,K3="NECESSÁRIO AJUSTAR"),"Pendência de TACH",IF(AND(C3&gt;0,K3="Aguardando Aprovação"),"Pendência de TACH",IF(AND(C3&gt;0,K3="Aprovado"),"Sem Pendência de TACH"))))))))))))))))))</f>
        <v>Pendência de TACH</v>
      </c>
    </row>
    <row r="4" spans="1:14">
      <c r="A4" s="1">
        <v>23952</v>
      </c>
      <c r="B4" t="s">
        <v>16</v>
      </c>
      <c r="C4" s="2">
        <v>10</v>
      </c>
      <c r="D4" s="2" t="s">
        <v>21</v>
      </c>
      <c r="E4" t="s">
        <v>15</v>
      </c>
      <c r="F4" t="s">
        <v>18</v>
      </c>
      <c r="G4" t="s">
        <v>163</v>
      </c>
      <c r="H4" t="s">
        <v>130</v>
      </c>
      <c r="I4" t="s">
        <v>130</v>
      </c>
      <c r="J4" t="s">
        <v>131</v>
      </c>
      <c r="K4" t="s">
        <v>131</v>
      </c>
      <c r="L4" t="s">
        <v>131</v>
      </c>
      <c r="M4" t="str">
        <f t="shared" si="0"/>
        <v>Pendência de Agenda</v>
      </c>
      <c r="N4" t="str">
        <f t="shared" si="1"/>
        <v>Pendência de TACH</v>
      </c>
    </row>
    <row r="5" spans="1:14">
      <c r="A5" s="1">
        <v>90009703</v>
      </c>
      <c r="B5" t="s">
        <v>24</v>
      </c>
      <c r="C5" s="2">
        <v>18</v>
      </c>
      <c r="D5" s="2" t="s">
        <v>25</v>
      </c>
      <c r="E5" t="s">
        <v>6</v>
      </c>
      <c r="F5" t="s">
        <v>10</v>
      </c>
      <c r="G5" t="s">
        <v>163</v>
      </c>
      <c r="H5" t="s">
        <v>134</v>
      </c>
      <c r="I5" t="s">
        <v>134</v>
      </c>
      <c r="J5" t="s">
        <v>134</v>
      </c>
      <c r="K5" t="s">
        <v>134</v>
      </c>
      <c r="L5" t="s">
        <v>134</v>
      </c>
      <c r="M5" t="str">
        <f t="shared" si="0"/>
        <v>Pendência de Agenda</v>
      </c>
      <c r="N5" t="str">
        <f t="shared" si="1"/>
        <v>Pendência de TACH</v>
      </c>
    </row>
    <row r="6" spans="1:14">
      <c r="A6" s="1">
        <v>90012552</v>
      </c>
      <c r="B6" t="s">
        <v>151</v>
      </c>
      <c r="C6" s="2">
        <v>7</v>
      </c>
      <c r="D6" s="2" t="s">
        <v>26</v>
      </c>
      <c r="E6" t="s">
        <v>22</v>
      </c>
      <c r="F6" t="s">
        <v>23</v>
      </c>
      <c r="G6" t="s">
        <v>163</v>
      </c>
      <c r="H6" t="s">
        <v>133</v>
      </c>
      <c r="I6" t="s">
        <v>133</v>
      </c>
      <c r="J6" t="s">
        <v>133</v>
      </c>
      <c r="K6" t="s">
        <v>133</v>
      </c>
      <c r="L6" t="s">
        <v>133</v>
      </c>
      <c r="M6" t="str">
        <f t="shared" si="0"/>
        <v>Pendência de Agenda</v>
      </c>
      <c r="N6" t="str">
        <f t="shared" si="1"/>
        <v>Sem Pendência de TACH</v>
      </c>
    </row>
    <row r="7" spans="1:14">
      <c r="A7" s="1">
        <v>90010230</v>
      </c>
      <c r="B7" t="s">
        <v>152</v>
      </c>
      <c r="C7" s="2">
        <v>22</v>
      </c>
      <c r="D7" s="2" t="s">
        <v>17</v>
      </c>
      <c r="E7" t="s">
        <v>6</v>
      </c>
      <c r="F7" t="s">
        <v>159</v>
      </c>
      <c r="G7" t="s">
        <v>163</v>
      </c>
      <c r="H7" t="s">
        <v>133</v>
      </c>
      <c r="I7" t="s">
        <v>133</v>
      </c>
      <c r="J7" t="s">
        <v>133</v>
      </c>
      <c r="K7" t="s">
        <v>133</v>
      </c>
      <c r="L7" t="s">
        <v>133</v>
      </c>
      <c r="M7" t="str">
        <f t="shared" si="0"/>
        <v>Pendência de Agenda</v>
      </c>
      <c r="N7" t="str">
        <f t="shared" si="1"/>
        <v>Sem Pendência de TACH</v>
      </c>
    </row>
    <row r="8" spans="1:14">
      <c r="A8" s="1">
        <v>90005226</v>
      </c>
      <c r="B8" t="s">
        <v>31</v>
      </c>
      <c r="C8" s="2">
        <v>14</v>
      </c>
      <c r="D8" s="2" t="s">
        <v>46</v>
      </c>
      <c r="E8" t="s">
        <v>22</v>
      </c>
      <c r="F8" t="s">
        <v>23</v>
      </c>
      <c r="G8" t="s">
        <v>163</v>
      </c>
      <c r="H8" t="s">
        <v>132</v>
      </c>
      <c r="I8" t="s">
        <v>132</v>
      </c>
      <c r="J8" t="s">
        <v>132</v>
      </c>
      <c r="K8" t="s">
        <v>132</v>
      </c>
      <c r="L8" t="s">
        <v>132</v>
      </c>
      <c r="M8" t="str">
        <f t="shared" si="0"/>
        <v>Pendência de Agenda</v>
      </c>
      <c r="N8" t="str">
        <f t="shared" si="1"/>
        <v>Pendência de TACH</v>
      </c>
    </row>
    <row r="9" spans="1:14">
      <c r="A9" s="1">
        <v>90005023</v>
      </c>
      <c r="B9" t="s">
        <v>32</v>
      </c>
      <c r="C9" s="2">
        <v>10</v>
      </c>
      <c r="D9" s="2" t="s">
        <v>21</v>
      </c>
      <c r="E9" t="s">
        <v>6</v>
      </c>
      <c r="F9" t="s">
        <v>33</v>
      </c>
      <c r="G9" t="s">
        <v>163</v>
      </c>
      <c r="H9" t="s">
        <v>133</v>
      </c>
      <c r="I9" t="s">
        <v>133</v>
      </c>
      <c r="J9" t="s">
        <v>133</v>
      </c>
      <c r="K9" t="s">
        <v>133</v>
      </c>
      <c r="L9" t="s">
        <v>133</v>
      </c>
      <c r="M9" t="str">
        <f t="shared" si="0"/>
        <v>Pendência de Agenda</v>
      </c>
      <c r="N9" t="str">
        <f t="shared" si="1"/>
        <v>Sem Pendência de TACH</v>
      </c>
    </row>
    <row r="10" spans="1:14">
      <c r="A10" s="1">
        <v>9506</v>
      </c>
      <c r="B10" t="s">
        <v>101</v>
      </c>
      <c r="C10" s="2">
        <v>1</v>
      </c>
      <c r="D10" s="2" t="s">
        <v>20</v>
      </c>
      <c r="E10" t="s">
        <v>6</v>
      </c>
      <c r="F10" t="s">
        <v>9</v>
      </c>
      <c r="G10" t="s">
        <v>163</v>
      </c>
      <c r="H10" t="s">
        <v>133</v>
      </c>
      <c r="I10" t="s">
        <v>133</v>
      </c>
      <c r="J10" t="s">
        <v>133</v>
      </c>
      <c r="K10" t="s">
        <v>133</v>
      </c>
      <c r="L10" t="s">
        <v>133</v>
      </c>
      <c r="M10" t="str">
        <f t="shared" si="0"/>
        <v>Pendência de Agenda</v>
      </c>
      <c r="N10" t="str">
        <f t="shared" si="1"/>
        <v>Sem Pendência de TACH</v>
      </c>
    </row>
    <row r="11" spans="1:14">
      <c r="A11" s="1">
        <v>90013955</v>
      </c>
      <c r="B11" t="s">
        <v>89</v>
      </c>
      <c r="C11" s="2">
        <v>3</v>
      </c>
      <c r="D11" s="2" t="s">
        <v>51</v>
      </c>
      <c r="E11" t="s">
        <v>6</v>
      </c>
      <c r="F11" t="s">
        <v>10</v>
      </c>
      <c r="G11" t="s">
        <v>163</v>
      </c>
      <c r="H11" t="s">
        <v>132</v>
      </c>
      <c r="I11" t="s">
        <v>132</v>
      </c>
      <c r="J11" t="s">
        <v>132</v>
      </c>
      <c r="K11" t="s">
        <v>132</v>
      </c>
      <c r="L11" t="s">
        <v>132</v>
      </c>
      <c r="M11" t="str">
        <f t="shared" si="0"/>
        <v>Pendência de Agenda</v>
      </c>
      <c r="N11" t="str">
        <f t="shared" si="1"/>
        <v>Pendência de TACH</v>
      </c>
    </row>
    <row r="12" spans="1:14">
      <c r="A12" s="1">
        <v>90005014</v>
      </c>
      <c r="B12" t="s">
        <v>80</v>
      </c>
      <c r="C12" s="2">
        <v>2</v>
      </c>
      <c r="D12" s="2" t="s">
        <v>8</v>
      </c>
      <c r="E12" t="s">
        <v>6</v>
      </c>
      <c r="F12" t="s">
        <v>10</v>
      </c>
      <c r="G12" t="s">
        <v>163</v>
      </c>
      <c r="H12" t="s">
        <v>132</v>
      </c>
      <c r="I12" t="s">
        <v>132</v>
      </c>
      <c r="J12" t="s">
        <v>132</v>
      </c>
      <c r="K12" t="s">
        <v>131</v>
      </c>
      <c r="L12" t="s">
        <v>131</v>
      </c>
      <c r="M12" t="str">
        <f t="shared" si="0"/>
        <v>Pendência de Agenda</v>
      </c>
      <c r="N12" t="str">
        <f t="shared" si="1"/>
        <v>Pendência de TACH</v>
      </c>
    </row>
    <row r="13" spans="1:14">
      <c r="A13" s="1">
        <v>90009702</v>
      </c>
      <c r="B13" t="s">
        <v>104</v>
      </c>
      <c r="C13" s="2">
        <v>15</v>
      </c>
      <c r="D13" s="2">
        <v>0</v>
      </c>
      <c r="E13" t="s">
        <v>6</v>
      </c>
      <c r="F13" t="s">
        <v>10</v>
      </c>
      <c r="G13" t="s">
        <v>163</v>
      </c>
      <c r="H13" t="s">
        <v>130</v>
      </c>
      <c r="I13" t="s">
        <v>130</v>
      </c>
      <c r="J13" t="s">
        <v>130</v>
      </c>
      <c r="K13" t="s">
        <v>131</v>
      </c>
      <c r="L13" t="s">
        <v>131</v>
      </c>
      <c r="M13" t="str">
        <f t="shared" si="0"/>
        <v>Sem Pendência</v>
      </c>
      <c r="N13" t="str">
        <f t="shared" si="1"/>
        <v>Pendência de TACH</v>
      </c>
    </row>
    <row r="14" spans="1:14">
      <c r="A14" s="1">
        <v>90011183</v>
      </c>
      <c r="B14" t="s">
        <v>42</v>
      </c>
      <c r="C14" s="2">
        <v>4</v>
      </c>
      <c r="D14" s="2" t="s">
        <v>5</v>
      </c>
      <c r="E14" t="s">
        <v>6</v>
      </c>
      <c r="F14" t="s">
        <v>39</v>
      </c>
      <c r="G14" t="s">
        <v>163</v>
      </c>
      <c r="H14" t="s">
        <v>132</v>
      </c>
      <c r="I14" t="s">
        <v>132</v>
      </c>
      <c r="J14" t="s">
        <v>132</v>
      </c>
      <c r="K14" t="s">
        <v>132</v>
      </c>
      <c r="L14" t="s">
        <v>132</v>
      </c>
      <c r="M14" t="str">
        <f t="shared" si="0"/>
        <v>Pendência de Agenda</v>
      </c>
      <c r="N14" t="str">
        <f t="shared" si="1"/>
        <v>Pendência de TACH</v>
      </c>
    </row>
    <row r="15" spans="1:14">
      <c r="A15" s="1">
        <v>90003306</v>
      </c>
      <c r="B15" t="s">
        <v>43</v>
      </c>
      <c r="C15" s="2">
        <v>8</v>
      </c>
      <c r="D15" s="2" t="s">
        <v>29</v>
      </c>
      <c r="E15" t="s">
        <v>22</v>
      </c>
      <c r="F15" t="s">
        <v>23</v>
      </c>
      <c r="G15" t="s">
        <v>163</v>
      </c>
      <c r="H15" t="s">
        <v>132</v>
      </c>
      <c r="I15" t="s">
        <v>132</v>
      </c>
      <c r="J15" t="s">
        <v>132</v>
      </c>
      <c r="K15" t="s">
        <v>132</v>
      </c>
      <c r="L15" t="s">
        <v>132</v>
      </c>
      <c r="M15" t="str">
        <f t="shared" si="0"/>
        <v>Pendência de Agenda</v>
      </c>
      <c r="N15" t="str">
        <f t="shared" si="1"/>
        <v>Pendência de TACH</v>
      </c>
    </row>
    <row r="16" spans="1:14">
      <c r="A16" s="1">
        <v>32442</v>
      </c>
      <c r="B16" t="s">
        <v>153</v>
      </c>
      <c r="C16" s="2">
        <v>2</v>
      </c>
      <c r="D16" s="2" t="s">
        <v>8</v>
      </c>
      <c r="E16" t="s">
        <v>6</v>
      </c>
      <c r="F16" t="s">
        <v>33</v>
      </c>
      <c r="G16" t="s">
        <v>163</v>
      </c>
      <c r="H16" t="s">
        <v>133</v>
      </c>
      <c r="I16" t="s">
        <v>133</v>
      </c>
      <c r="J16" t="s">
        <v>133</v>
      </c>
      <c r="K16" t="s">
        <v>133</v>
      </c>
      <c r="L16" t="s">
        <v>133</v>
      </c>
      <c r="M16" t="str">
        <f t="shared" si="0"/>
        <v>Pendência de Agenda</v>
      </c>
      <c r="N16" t="str">
        <f t="shared" si="1"/>
        <v>Sem Pendência de TACH</v>
      </c>
    </row>
    <row r="17" spans="1:14">
      <c r="A17" s="1">
        <v>90013958</v>
      </c>
      <c r="B17" t="s">
        <v>90</v>
      </c>
      <c r="C17" s="2">
        <v>2</v>
      </c>
      <c r="D17" s="2" t="s">
        <v>8</v>
      </c>
      <c r="E17" t="s">
        <v>6</v>
      </c>
      <c r="F17" t="s">
        <v>41</v>
      </c>
      <c r="G17" t="s">
        <v>163</v>
      </c>
      <c r="H17" t="s">
        <v>132</v>
      </c>
      <c r="I17" t="s">
        <v>132</v>
      </c>
      <c r="J17" t="s">
        <v>132</v>
      </c>
      <c r="K17" t="s">
        <v>132</v>
      </c>
      <c r="L17" t="s">
        <v>132</v>
      </c>
      <c r="M17" t="str">
        <f t="shared" si="0"/>
        <v>Pendência de Agenda</v>
      </c>
      <c r="N17" t="str">
        <f t="shared" si="1"/>
        <v>Pendência de TACH</v>
      </c>
    </row>
    <row r="18" spans="1:14">
      <c r="A18" s="1">
        <v>90002614</v>
      </c>
      <c r="B18" t="s">
        <v>44</v>
      </c>
      <c r="C18" s="2">
        <v>2</v>
      </c>
      <c r="D18" s="2" t="s">
        <v>8</v>
      </c>
      <c r="E18" t="s">
        <v>6</v>
      </c>
      <c r="F18" t="s">
        <v>45</v>
      </c>
      <c r="G18" t="s">
        <v>163</v>
      </c>
      <c r="H18" t="s">
        <v>133</v>
      </c>
      <c r="I18" t="s">
        <v>133</v>
      </c>
      <c r="J18" t="s">
        <v>133</v>
      </c>
      <c r="K18" t="s">
        <v>133</v>
      </c>
      <c r="L18" t="s">
        <v>133</v>
      </c>
      <c r="M18" t="str">
        <f t="shared" si="0"/>
        <v>Pendência de Agenda</v>
      </c>
      <c r="N18" t="str">
        <f t="shared" si="1"/>
        <v>Sem Pendência de TACH</v>
      </c>
    </row>
    <row r="19" spans="1:14">
      <c r="A19" s="1">
        <v>90006746</v>
      </c>
      <c r="B19" t="s">
        <v>47</v>
      </c>
      <c r="C19" s="2">
        <v>8</v>
      </c>
      <c r="D19" s="2" t="s">
        <v>29</v>
      </c>
      <c r="E19" t="s">
        <v>6</v>
      </c>
      <c r="F19" t="s">
        <v>10</v>
      </c>
      <c r="G19" t="s">
        <v>163</v>
      </c>
      <c r="H19" t="s">
        <v>135</v>
      </c>
      <c r="I19" t="s">
        <v>135</v>
      </c>
      <c r="J19" t="s">
        <v>135</v>
      </c>
      <c r="K19" t="s">
        <v>135</v>
      </c>
      <c r="L19" t="s">
        <v>135</v>
      </c>
      <c r="M19" t="str">
        <f t="shared" si="0"/>
        <v>Pendência de Agenda</v>
      </c>
      <c r="N19" t="str">
        <f t="shared" si="1"/>
        <v>Pendência de TACH</v>
      </c>
    </row>
    <row r="20" spans="1:14">
      <c r="A20" s="1">
        <v>90013639</v>
      </c>
      <c r="B20" t="s">
        <v>53</v>
      </c>
      <c r="C20" s="2">
        <v>14</v>
      </c>
      <c r="D20" s="2" t="s">
        <v>46</v>
      </c>
      <c r="E20" t="s">
        <v>6</v>
      </c>
      <c r="F20" t="s">
        <v>27</v>
      </c>
      <c r="G20" t="s">
        <v>163</v>
      </c>
      <c r="H20" t="s">
        <v>133</v>
      </c>
      <c r="I20" t="s">
        <v>133</v>
      </c>
      <c r="J20" t="s">
        <v>133</v>
      </c>
      <c r="K20" t="s">
        <v>133</v>
      </c>
      <c r="L20" t="s">
        <v>133</v>
      </c>
      <c r="M20" t="str">
        <f t="shared" si="0"/>
        <v>Pendência de Agenda</v>
      </c>
      <c r="N20" t="str">
        <f t="shared" si="1"/>
        <v>Sem Pendência de TACH</v>
      </c>
    </row>
    <row r="21" spans="1:14">
      <c r="A21" s="1">
        <v>90013147</v>
      </c>
      <c r="B21" t="s">
        <v>154</v>
      </c>
      <c r="C21" s="2">
        <v>15</v>
      </c>
      <c r="D21" s="2" t="s">
        <v>157</v>
      </c>
      <c r="E21" t="s">
        <v>6</v>
      </c>
      <c r="F21" t="s">
        <v>10</v>
      </c>
      <c r="G21" t="s">
        <v>163</v>
      </c>
      <c r="H21" t="s">
        <v>130</v>
      </c>
      <c r="I21" t="s">
        <v>130</v>
      </c>
      <c r="J21" t="s">
        <v>133</v>
      </c>
      <c r="K21" t="s">
        <v>133</v>
      </c>
      <c r="L21" t="s">
        <v>133</v>
      </c>
      <c r="M21" t="str">
        <f t="shared" si="0"/>
        <v>Pendência de Agenda</v>
      </c>
      <c r="N21" t="str">
        <f t="shared" si="1"/>
        <v>Pendência de TACH</v>
      </c>
    </row>
    <row r="22" spans="1:14">
      <c r="A22" s="1">
        <v>90001409</v>
      </c>
      <c r="B22" t="s">
        <v>82</v>
      </c>
      <c r="C22" s="2">
        <v>20</v>
      </c>
      <c r="D22" s="2" t="s">
        <v>59</v>
      </c>
      <c r="E22" t="s">
        <v>22</v>
      </c>
      <c r="F22" t="s">
        <v>23</v>
      </c>
      <c r="G22" t="s">
        <v>163</v>
      </c>
      <c r="H22" t="s">
        <v>132</v>
      </c>
      <c r="I22" t="s">
        <v>132</v>
      </c>
      <c r="J22" t="s">
        <v>132</v>
      </c>
      <c r="K22" t="s">
        <v>132</v>
      </c>
      <c r="L22" t="s">
        <v>132</v>
      </c>
      <c r="M22" t="str">
        <f t="shared" si="0"/>
        <v>Pendência de Agenda</v>
      </c>
      <c r="N22" t="str">
        <f t="shared" si="1"/>
        <v>Pendência de TACH</v>
      </c>
    </row>
    <row r="23" spans="1:14">
      <c r="A23" s="1">
        <v>32572</v>
      </c>
      <c r="B23" t="s">
        <v>106</v>
      </c>
      <c r="C23" s="2">
        <v>31</v>
      </c>
      <c r="D23" s="2" t="s">
        <v>158</v>
      </c>
      <c r="E23" t="s">
        <v>22</v>
      </c>
      <c r="F23" t="s">
        <v>23</v>
      </c>
      <c r="G23" t="s">
        <v>163</v>
      </c>
      <c r="H23" t="s">
        <v>133</v>
      </c>
      <c r="I23" t="s">
        <v>133</v>
      </c>
      <c r="J23" t="s">
        <v>133</v>
      </c>
      <c r="K23" t="s">
        <v>133</v>
      </c>
      <c r="L23" t="s">
        <v>133</v>
      </c>
      <c r="M23" t="str">
        <f t="shared" si="0"/>
        <v>Pendência de Agenda</v>
      </c>
      <c r="N23" t="str">
        <f t="shared" si="1"/>
        <v>Sem Pendência de TACH</v>
      </c>
    </row>
    <row r="24" spans="1:14">
      <c r="A24" s="1">
        <v>6792</v>
      </c>
      <c r="B24" t="s">
        <v>56</v>
      </c>
      <c r="C24" s="2">
        <v>4</v>
      </c>
      <c r="D24" s="2" t="s">
        <v>5</v>
      </c>
      <c r="E24" t="s">
        <v>6</v>
      </c>
      <c r="F24" t="s">
        <v>9</v>
      </c>
      <c r="G24" t="s">
        <v>163</v>
      </c>
      <c r="H24" t="s">
        <v>133</v>
      </c>
      <c r="I24" t="s">
        <v>133</v>
      </c>
      <c r="J24" t="s">
        <v>133</v>
      </c>
      <c r="K24" t="s">
        <v>133</v>
      </c>
      <c r="L24" t="s">
        <v>133</v>
      </c>
      <c r="M24" t="str">
        <f t="shared" si="0"/>
        <v>Pendência de Agenda</v>
      </c>
      <c r="N24" t="str">
        <f t="shared" si="1"/>
        <v>Sem Pendência de TACH</v>
      </c>
    </row>
    <row r="25" spans="1:14">
      <c r="A25" s="1">
        <v>90004950</v>
      </c>
      <c r="B25" t="s">
        <v>57</v>
      </c>
      <c r="C25" s="2">
        <v>5</v>
      </c>
      <c r="D25" s="2" t="s">
        <v>14</v>
      </c>
      <c r="E25" t="s">
        <v>6</v>
      </c>
      <c r="F25" t="s">
        <v>10</v>
      </c>
      <c r="G25" t="s">
        <v>163</v>
      </c>
      <c r="H25" t="s">
        <v>134</v>
      </c>
      <c r="I25" t="s">
        <v>134</v>
      </c>
      <c r="J25" t="s">
        <v>134</v>
      </c>
      <c r="K25" t="s">
        <v>134</v>
      </c>
      <c r="L25" t="s">
        <v>134</v>
      </c>
      <c r="M25" t="str">
        <f t="shared" si="0"/>
        <v>Pendência de Agenda</v>
      </c>
      <c r="N25" t="str">
        <f t="shared" si="1"/>
        <v>Pendência de TACH</v>
      </c>
    </row>
    <row r="26" spans="1:14">
      <c r="A26" s="1">
        <v>90010258</v>
      </c>
      <c r="B26" t="s">
        <v>155</v>
      </c>
      <c r="C26" s="2">
        <v>12</v>
      </c>
      <c r="D26" s="2" t="s">
        <v>17</v>
      </c>
      <c r="E26" t="s">
        <v>6</v>
      </c>
      <c r="F26" t="s">
        <v>28</v>
      </c>
      <c r="G26" t="s">
        <v>163</v>
      </c>
      <c r="H26" t="s">
        <v>132</v>
      </c>
      <c r="I26" t="s">
        <v>132</v>
      </c>
      <c r="J26" t="s">
        <v>132</v>
      </c>
      <c r="K26" t="s">
        <v>132</v>
      </c>
      <c r="L26" t="s">
        <v>132</v>
      </c>
      <c r="M26" t="str">
        <f t="shared" si="0"/>
        <v>Pendência de Agenda</v>
      </c>
      <c r="N26" t="str">
        <f t="shared" si="1"/>
        <v>Pendência de TACH</v>
      </c>
    </row>
    <row r="27" spans="1:14">
      <c r="A27" s="1">
        <v>90001535</v>
      </c>
      <c r="B27" t="s">
        <v>58</v>
      </c>
      <c r="C27" s="2">
        <v>8</v>
      </c>
      <c r="D27" s="2" t="s">
        <v>29</v>
      </c>
      <c r="E27" t="s">
        <v>6</v>
      </c>
      <c r="F27" t="s">
        <v>10</v>
      </c>
      <c r="G27" t="s">
        <v>163</v>
      </c>
      <c r="H27" t="s">
        <v>133</v>
      </c>
      <c r="I27" t="s">
        <v>133</v>
      </c>
      <c r="J27" t="s">
        <v>133</v>
      </c>
      <c r="K27" t="s">
        <v>133</v>
      </c>
      <c r="L27" t="s">
        <v>133</v>
      </c>
      <c r="M27" t="str">
        <f t="shared" si="0"/>
        <v>Pendência de Agenda</v>
      </c>
      <c r="N27" t="str">
        <f t="shared" si="1"/>
        <v>Sem Pendência de TACH</v>
      </c>
    </row>
    <row r="28" spans="1:14">
      <c r="A28" s="1">
        <v>3363</v>
      </c>
      <c r="B28" t="s">
        <v>91</v>
      </c>
      <c r="C28" s="2">
        <v>4</v>
      </c>
      <c r="D28" s="2" t="s">
        <v>5</v>
      </c>
      <c r="E28" t="s">
        <v>6</v>
      </c>
      <c r="F28" t="s">
        <v>9</v>
      </c>
      <c r="G28" t="s">
        <v>163</v>
      </c>
      <c r="H28" t="s">
        <v>132</v>
      </c>
      <c r="I28" t="s">
        <v>132</v>
      </c>
      <c r="J28" t="s">
        <v>132</v>
      </c>
      <c r="K28" t="s">
        <v>132</v>
      </c>
      <c r="L28" t="s">
        <v>132</v>
      </c>
      <c r="M28" t="str">
        <f t="shared" si="0"/>
        <v>Pendência de Agenda</v>
      </c>
      <c r="N28" t="str">
        <f t="shared" si="1"/>
        <v>Pendência de TACH</v>
      </c>
    </row>
    <row r="29" spans="1:14">
      <c r="A29" s="1">
        <v>90010238</v>
      </c>
      <c r="B29" t="s">
        <v>156</v>
      </c>
      <c r="C29" s="2">
        <v>6</v>
      </c>
      <c r="D29" s="2" t="s">
        <v>12</v>
      </c>
      <c r="E29" t="s">
        <v>6</v>
      </c>
      <c r="F29" t="s">
        <v>160</v>
      </c>
      <c r="G29" t="s">
        <v>163</v>
      </c>
      <c r="H29" t="s">
        <v>133</v>
      </c>
      <c r="I29" t="s">
        <v>133</v>
      </c>
      <c r="J29" t="s">
        <v>133</v>
      </c>
      <c r="K29" t="s">
        <v>133</v>
      </c>
      <c r="L29" t="s">
        <v>133</v>
      </c>
      <c r="M29" t="str">
        <f t="shared" si="0"/>
        <v>Pendência de Agenda</v>
      </c>
      <c r="N29" t="str">
        <f t="shared" si="1"/>
        <v>Sem Pendência de TACH</v>
      </c>
    </row>
    <row r="30" spans="1:14">
      <c r="A30" s="1">
        <v>90013729</v>
      </c>
      <c r="B30" t="s">
        <v>60</v>
      </c>
      <c r="C30" s="2">
        <v>7</v>
      </c>
      <c r="D30" s="2" t="s">
        <v>26</v>
      </c>
      <c r="E30" t="s">
        <v>15</v>
      </c>
      <c r="F30" t="s">
        <v>161</v>
      </c>
      <c r="G30" t="s">
        <v>163</v>
      </c>
      <c r="H30" t="s">
        <v>133</v>
      </c>
      <c r="I30" t="s">
        <v>133</v>
      </c>
      <c r="J30" t="s">
        <v>133</v>
      </c>
      <c r="K30" t="s">
        <v>133</v>
      </c>
      <c r="L30" t="s">
        <v>133</v>
      </c>
      <c r="M30" t="str">
        <f t="shared" si="0"/>
        <v>Pendência de Agenda</v>
      </c>
      <c r="N30" t="str">
        <f t="shared" si="1"/>
        <v>Sem Pendência de TACH</v>
      </c>
    </row>
    <row r="31" spans="1:14">
      <c r="A31" s="1">
        <v>90010292</v>
      </c>
      <c r="B31" t="s">
        <v>61</v>
      </c>
      <c r="C31" s="2">
        <v>8</v>
      </c>
      <c r="D31" s="2" t="s">
        <v>29</v>
      </c>
      <c r="E31" t="s">
        <v>22</v>
      </c>
      <c r="F31" t="s">
        <v>23</v>
      </c>
      <c r="G31" t="s">
        <v>163</v>
      </c>
      <c r="H31" t="s">
        <v>132</v>
      </c>
      <c r="I31" t="s">
        <v>132</v>
      </c>
      <c r="J31" t="s">
        <v>132</v>
      </c>
      <c r="K31" t="s">
        <v>132</v>
      </c>
      <c r="L31" t="s">
        <v>132</v>
      </c>
      <c r="M31" t="str">
        <f t="shared" si="0"/>
        <v>Pendência de Agenda</v>
      </c>
      <c r="N31" t="str">
        <f t="shared" si="1"/>
        <v>Pendência de TACH</v>
      </c>
    </row>
    <row r="32" spans="1:14">
      <c r="A32" s="1">
        <v>26660</v>
      </c>
      <c r="B32" t="s">
        <v>62</v>
      </c>
      <c r="C32" s="2">
        <v>12</v>
      </c>
      <c r="D32" s="2" t="s">
        <v>17</v>
      </c>
      <c r="E32" t="s">
        <v>6</v>
      </c>
      <c r="F32" t="s">
        <v>49</v>
      </c>
      <c r="G32" t="s">
        <v>163</v>
      </c>
      <c r="H32" t="s">
        <v>132</v>
      </c>
      <c r="I32" t="s">
        <v>132</v>
      </c>
      <c r="J32" t="s">
        <v>132</v>
      </c>
      <c r="K32" t="s">
        <v>132</v>
      </c>
      <c r="L32" t="s">
        <v>132</v>
      </c>
      <c r="M32" t="str">
        <f t="shared" si="0"/>
        <v>Pendência de Agenda</v>
      </c>
      <c r="N32" t="str">
        <f t="shared" si="1"/>
        <v>Pendência de TACH</v>
      </c>
    </row>
    <row r="33" spans="1:14">
      <c r="A33" s="1">
        <v>90013912</v>
      </c>
      <c r="B33" t="s">
        <v>84</v>
      </c>
      <c r="C33" s="2">
        <v>4</v>
      </c>
      <c r="D33" s="2" t="s">
        <v>5</v>
      </c>
      <c r="E33" t="s">
        <v>15</v>
      </c>
      <c r="F33" t="s">
        <v>162</v>
      </c>
      <c r="G33" t="s">
        <v>163</v>
      </c>
      <c r="H33" t="s">
        <v>133</v>
      </c>
      <c r="I33" t="s">
        <v>133</v>
      </c>
      <c r="J33" t="s">
        <v>133</v>
      </c>
      <c r="K33" t="s">
        <v>133</v>
      </c>
      <c r="L33" t="s">
        <v>133</v>
      </c>
      <c r="M33" t="str">
        <f t="shared" si="0"/>
        <v>Pendência de Agenda</v>
      </c>
      <c r="N33" t="str">
        <f t="shared" si="1"/>
        <v>Sem Pendência de TACH</v>
      </c>
    </row>
    <row r="34" spans="1:14">
      <c r="A34" s="1">
        <v>31303</v>
      </c>
      <c r="B34" t="s">
        <v>63</v>
      </c>
      <c r="C34" s="2">
        <v>28</v>
      </c>
      <c r="D34" s="2" t="s">
        <v>64</v>
      </c>
      <c r="E34" t="s">
        <v>22</v>
      </c>
      <c r="F34" t="s">
        <v>23</v>
      </c>
      <c r="G34" t="s">
        <v>163</v>
      </c>
      <c r="H34" t="s">
        <v>132</v>
      </c>
      <c r="I34" t="s">
        <v>132</v>
      </c>
      <c r="J34" t="s">
        <v>132</v>
      </c>
      <c r="K34" t="s">
        <v>132</v>
      </c>
      <c r="L34" t="s">
        <v>132</v>
      </c>
      <c r="M34" t="str">
        <f t="shared" si="0"/>
        <v>Pendência de Agenda</v>
      </c>
      <c r="N34" t="str">
        <f t="shared" si="1"/>
        <v>Pendência de TACH</v>
      </c>
    </row>
    <row r="35" spans="1:14">
      <c r="A35" s="1">
        <v>4178</v>
      </c>
      <c r="B35" t="s">
        <v>85</v>
      </c>
      <c r="C35" s="2">
        <v>4</v>
      </c>
      <c r="D35" s="2" t="s">
        <v>8</v>
      </c>
      <c r="E35" t="s">
        <v>6</v>
      </c>
      <c r="F35" t="s">
        <v>9</v>
      </c>
      <c r="G35" t="s">
        <v>163</v>
      </c>
      <c r="H35" t="s">
        <v>133</v>
      </c>
      <c r="I35" t="s">
        <v>133</v>
      </c>
      <c r="J35" t="s">
        <v>133</v>
      </c>
      <c r="K35" t="s">
        <v>133</v>
      </c>
      <c r="L35" t="s">
        <v>133</v>
      </c>
      <c r="M35" t="str">
        <f t="shared" si="0"/>
        <v>Pendência de Agenda</v>
      </c>
      <c r="N35" t="str">
        <f t="shared" si="1"/>
        <v>Sem Pendência de TACH</v>
      </c>
    </row>
    <row r="36" spans="1:14">
      <c r="A36" s="1">
        <v>90012539</v>
      </c>
      <c r="B36" t="s">
        <v>66</v>
      </c>
      <c r="C36" s="2">
        <v>8</v>
      </c>
      <c r="D36" s="2" t="s">
        <v>29</v>
      </c>
      <c r="E36" t="s">
        <v>22</v>
      </c>
      <c r="F36" t="s">
        <v>23</v>
      </c>
      <c r="G36" t="s">
        <v>163</v>
      </c>
      <c r="H36" t="s">
        <v>133</v>
      </c>
      <c r="I36" t="s">
        <v>133</v>
      </c>
      <c r="J36" t="s">
        <v>133</v>
      </c>
      <c r="K36" t="s">
        <v>133</v>
      </c>
      <c r="L36" t="s">
        <v>133</v>
      </c>
      <c r="M36" t="str">
        <f t="shared" si="0"/>
        <v>Pendência de Agenda</v>
      </c>
      <c r="N36" t="str">
        <f t="shared" si="1"/>
        <v>Sem Pendência de TACH</v>
      </c>
    </row>
    <row r="37" spans="1:14">
      <c r="A37" s="1">
        <v>90013875</v>
      </c>
      <c r="B37" t="s">
        <v>86</v>
      </c>
      <c r="C37" s="2">
        <v>4</v>
      </c>
      <c r="D37" s="2" t="s">
        <v>8</v>
      </c>
      <c r="E37" t="s">
        <v>6</v>
      </c>
      <c r="F37" t="s">
        <v>30</v>
      </c>
      <c r="G37" t="s">
        <v>163</v>
      </c>
      <c r="H37" t="s">
        <v>133</v>
      </c>
      <c r="I37" t="s">
        <v>133</v>
      </c>
      <c r="J37" t="s">
        <v>133</v>
      </c>
      <c r="K37" t="s">
        <v>133</v>
      </c>
      <c r="L37" t="s">
        <v>133</v>
      </c>
      <c r="M37" t="str">
        <f t="shared" si="0"/>
        <v>Pendência de Agenda</v>
      </c>
      <c r="N37" t="str">
        <f t="shared" si="1"/>
        <v>Sem Pendência de TACH</v>
      </c>
    </row>
    <row r="38" spans="1:14">
      <c r="A38" s="1">
        <v>503</v>
      </c>
      <c r="B38" t="s">
        <v>111</v>
      </c>
      <c r="C38" s="2">
        <v>32</v>
      </c>
      <c r="D38" s="2">
        <v>0</v>
      </c>
      <c r="E38" t="s">
        <v>6</v>
      </c>
      <c r="F38" t="s">
        <v>121</v>
      </c>
      <c r="G38" t="s">
        <v>178</v>
      </c>
      <c r="H38" t="s">
        <v>131</v>
      </c>
      <c r="I38" t="s">
        <v>135</v>
      </c>
      <c r="J38" t="s">
        <v>131</v>
      </c>
      <c r="K38" t="s">
        <v>131</v>
      </c>
      <c r="L38" t="s">
        <v>131</v>
      </c>
      <c r="M38" t="str">
        <f t="shared" si="0"/>
        <v>Sem Pendência</v>
      </c>
      <c r="N38" t="str">
        <f t="shared" si="1"/>
        <v>Pendência de TACH</v>
      </c>
    </row>
    <row r="39" spans="1:14">
      <c r="A39" s="1">
        <v>32130</v>
      </c>
      <c r="B39" t="s">
        <v>112</v>
      </c>
      <c r="C39" s="2">
        <v>32</v>
      </c>
      <c r="D39" s="2">
        <v>0</v>
      </c>
      <c r="E39" t="s">
        <v>6</v>
      </c>
      <c r="F39" t="s">
        <v>122</v>
      </c>
      <c r="G39" t="s">
        <v>178</v>
      </c>
      <c r="H39" t="s">
        <v>130</v>
      </c>
      <c r="I39" t="s">
        <v>130</v>
      </c>
      <c r="J39" t="s">
        <v>130</v>
      </c>
      <c r="K39" t="s">
        <v>130</v>
      </c>
      <c r="L39" t="s">
        <v>130</v>
      </c>
      <c r="M39" t="str">
        <f t="shared" si="0"/>
        <v>Sem Pendência</v>
      </c>
      <c r="N39" t="str">
        <f t="shared" si="1"/>
        <v>Pendência de TACH</v>
      </c>
    </row>
    <row r="40" spans="1:14">
      <c r="A40" s="1">
        <v>90013014</v>
      </c>
      <c r="B40" t="s">
        <v>169</v>
      </c>
      <c r="C40" s="2">
        <v>7</v>
      </c>
      <c r="D40" s="2">
        <v>0</v>
      </c>
      <c r="E40" t="s">
        <v>22</v>
      </c>
      <c r="F40" t="s">
        <v>174</v>
      </c>
      <c r="G40" t="s">
        <v>163</v>
      </c>
      <c r="H40" t="s">
        <v>130</v>
      </c>
      <c r="I40" t="s">
        <v>130</v>
      </c>
      <c r="J40" t="s">
        <v>130</v>
      </c>
      <c r="K40" t="s">
        <v>130</v>
      </c>
      <c r="L40" t="s">
        <v>130</v>
      </c>
      <c r="M40" t="str">
        <f t="shared" si="0"/>
        <v>Sem Pendência</v>
      </c>
      <c r="N40" t="str">
        <f t="shared" si="1"/>
        <v>Pendência de TACH</v>
      </c>
    </row>
    <row r="41" spans="1:14">
      <c r="A41" s="1">
        <v>20244</v>
      </c>
      <c r="B41" t="s">
        <v>113</v>
      </c>
      <c r="C41" s="2">
        <v>36</v>
      </c>
      <c r="D41" s="2">
        <v>0</v>
      </c>
      <c r="E41" t="s">
        <v>6</v>
      </c>
      <c r="F41" t="s">
        <v>123</v>
      </c>
      <c r="G41" t="s">
        <v>178</v>
      </c>
      <c r="H41" t="s">
        <v>131</v>
      </c>
      <c r="I41" t="s">
        <v>131</v>
      </c>
      <c r="J41" t="s">
        <v>133</v>
      </c>
      <c r="K41" t="s">
        <v>133</v>
      </c>
      <c r="L41" t="s">
        <v>133</v>
      </c>
      <c r="M41" t="str">
        <f t="shared" si="0"/>
        <v>Sem Pendência</v>
      </c>
      <c r="N41" t="str">
        <f t="shared" si="1"/>
        <v>Pendência de TACH</v>
      </c>
    </row>
    <row r="42" spans="1:14">
      <c r="A42" s="1">
        <v>7892</v>
      </c>
      <c r="B42" t="s">
        <v>170</v>
      </c>
      <c r="C42" s="2">
        <v>24</v>
      </c>
      <c r="D42" s="2">
        <v>0</v>
      </c>
      <c r="E42" t="s">
        <v>6</v>
      </c>
      <c r="F42" t="s">
        <v>175</v>
      </c>
      <c r="G42" t="s">
        <v>178</v>
      </c>
      <c r="H42" t="s">
        <v>130</v>
      </c>
      <c r="I42" t="s">
        <v>130</v>
      </c>
      <c r="J42" t="s">
        <v>131</v>
      </c>
      <c r="K42" t="s">
        <v>131</v>
      </c>
      <c r="L42" t="s">
        <v>131</v>
      </c>
      <c r="M42" t="str">
        <f t="shared" si="0"/>
        <v>Sem Pendência</v>
      </c>
      <c r="N42" t="str">
        <f t="shared" si="1"/>
        <v>Pendência de TACH</v>
      </c>
    </row>
    <row r="43" spans="1:14">
      <c r="A43" s="1">
        <v>90002842</v>
      </c>
      <c r="B43" t="s">
        <v>38</v>
      </c>
      <c r="C43" s="2">
        <v>22</v>
      </c>
      <c r="D43" s="2">
        <v>0</v>
      </c>
      <c r="E43" t="s">
        <v>6</v>
      </c>
      <c r="F43" t="s">
        <v>123</v>
      </c>
      <c r="G43" t="s">
        <v>163</v>
      </c>
      <c r="H43" t="s">
        <v>130</v>
      </c>
      <c r="I43" t="s">
        <v>130</v>
      </c>
      <c r="J43" t="s">
        <v>130</v>
      </c>
      <c r="K43" t="s">
        <v>133</v>
      </c>
      <c r="L43" t="s">
        <v>133</v>
      </c>
      <c r="M43" t="str">
        <f t="shared" si="0"/>
        <v>Sem Pendência</v>
      </c>
      <c r="N43" t="str">
        <f t="shared" si="1"/>
        <v>Pendência de TACH</v>
      </c>
    </row>
    <row r="44" spans="1:14">
      <c r="A44" s="1">
        <v>14747</v>
      </c>
      <c r="B44" t="s">
        <v>171</v>
      </c>
      <c r="C44" s="2">
        <v>30</v>
      </c>
      <c r="D44" s="2">
        <v>0</v>
      </c>
      <c r="E44" t="s">
        <v>22</v>
      </c>
      <c r="F44" t="s">
        <v>174</v>
      </c>
      <c r="G44" t="s">
        <v>163</v>
      </c>
      <c r="H44" t="s">
        <v>131</v>
      </c>
      <c r="I44" t="s">
        <v>131</v>
      </c>
      <c r="J44" t="s">
        <v>131</v>
      </c>
      <c r="K44" t="s">
        <v>131</v>
      </c>
      <c r="L44" t="s">
        <v>131</v>
      </c>
      <c r="M44" t="str">
        <f t="shared" si="0"/>
        <v>Sem Pendência</v>
      </c>
      <c r="N44" t="str">
        <f t="shared" si="1"/>
        <v>Pendência de TACH</v>
      </c>
    </row>
    <row r="45" spans="1:14">
      <c r="A45" s="1">
        <v>20857</v>
      </c>
      <c r="B45" t="s">
        <v>114</v>
      </c>
      <c r="C45" s="2">
        <v>34</v>
      </c>
      <c r="D45" s="2">
        <v>0</v>
      </c>
      <c r="E45" t="s">
        <v>6</v>
      </c>
      <c r="F45" t="s">
        <v>124</v>
      </c>
      <c r="G45" t="s">
        <v>178</v>
      </c>
      <c r="H45" t="s">
        <v>131</v>
      </c>
      <c r="I45" t="s">
        <v>131</v>
      </c>
      <c r="J45" t="s">
        <v>131</v>
      </c>
      <c r="K45" t="s">
        <v>131</v>
      </c>
      <c r="L45" t="s">
        <v>131</v>
      </c>
      <c r="M45" t="str">
        <f t="shared" si="0"/>
        <v>Sem Pendência</v>
      </c>
      <c r="N45" t="str">
        <f t="shared" si="1"/>
        <v>Pendência de TACH</v>
      </c>
    </row>
    <row r="46" spans="1:14">
      <c r="A46" s="1">
        <v>23850</v>
      </c>
      <c r="B46" t="s">
        <v>115</v>
      </c>
      <c r="C46" s="2">
        <v>40</v>
      </c>
      <c r="D46" s="2">
        <v>0</v>
      </c>
      <c r="E46" t="s">
        <v>6</v>
      </c>
      <c r="F46" t="s">
        <v>125</v>
      </c>
      <c r="G46" t="s">
        <v>178</v>
      </c>
      <c r="H46" t="s">
        <v>130</v>
      </c>
      <c r="I46" t="s">
        <v>131</v>
      </c>
      <c r="J46" t="s">
        <v>131</v>
      </c>
      <c r="K46" t="s">
        <v>131</v>
      </c>
      <c r="L46" t="s">
        <v>131</v>
      </c>
      <c r="M46" t="str">
        <f t="shared" si="0"/>
        <v>Sem Pendência</v>
      </c>
      <c r="N46" t="str">
        <f t="shared" si="1"/>
        <v>Pendência de TACH</v>
      </c>
    </row>
    <row r="47" spans="1:14">
      <c r="A47" s="1">
        <v>1030</v>
      </c>
      <c r="B47" t="s">
        <v>172</v>
      </c>
      <c r="C47" s="2">
        <v>36</v>
      </c>
      <c r="D47" s="2">
        <v>0</v>
      </c>
      <c r="E47" t="s">
        <v>6</v>
      </c>
      <c r="F47" t="s">
        <v>176</v>
      </c>
      <c r="G47" t="s">
        <v>178</v>
      </c>
      <c r="H47" t="s">
        <v>130</v>
      </c>
      <c r="I47" t="s">
        <v>134</v>
      </c>
      <c r="J47" t="s">
        <v>134</v>
      </c>
      <c r="K47" t="s">
        <v>134</v>
      </c>
      <c r="L47" t="s">
        <v>134</v>
      </c>
      <c r="M47" t="str">
        <f t="shared" si="0"/>
        <v>Sem Pendência</v>
      </c>
      <c r="N47" t="str">
        <f t="shared" si="1"/>
        <v>Pendência de TACH</v>
      </c>
    </row>
    <row r="48" spans="1:14">
      <c r="A48" s="1">
        <v>90001957</v>
      </c>
      <c r="B48" t="s">
        <v>173</v>
      </c>
      <c r="C48" s="2">
        <v>40</v>
      </c>
      <c r="D48" s="2">
        <v>0</v>
      </c>
      <c r="E48" t="s">
        <v>6</v>
      </c>
      <c r="F48" t="s">
        <v>177</v>
      </c>
      <c r="G48" t="s">
        <v>178</v>
      </c>
      <c r="H48" t="s">
        <v>132</v>
      </c>
      <c r="I48" t="s">
        <v>132</v>
      </c>
      <c r="J48" t="s">
        <v>131</v>
      </c>
      <c r="K48" t="s">
        <v>131</v>
      </c>
      <c r="L48" t="s">
        <v>131</v>
      </c>
      <c r="M48" t="str">
        <f t="shared" si="0"/>
        <v>Sem Pendência</v>
      </c>
      <c r="N48" t="str">
        <f t="shared" si="1"/>
        <v>Pendência de TACH</v>
      </c>
    </row>
    <row r="49" spans="1:14">
      <c r="A49" s="1">
        <v>90011017</v>
      </c>
      <c r="B49" t="s">
        <v>116</v>
      </c>
      <c r="C49" s="2">
        <v>26</v>
      </c>
      <c r="D49" s="2">
        <v>0</v>
      </c>
      <c r="E49" t="s">
        <v>6</v>
      </c>
      <c r="F49" t="s">
        <v>126</v>
      </c>
      <c r="G49" t="s">
        <v>178</v>
      </c>
      <c r="H49" t="s">
        <v>131</v>
      </c>
      <c r="I49" t="s">
        <v>131</v>
      </c>
      <c r="J49" t="s">
        <v>131</v>
      </c>
      <c r="K49" t="s">
        <v>133</v>
      </c>
      <c r="L49" t="s">
        <v>133</v>
      </c>
      <c r="M49" t="str">
        <f t="shared" si="0"/>
        <v>Sem Pendência</v>
      </c>
      <c r="N49" t="str">
        <f t="shared" ref="N49:N80" si="2">IF(AND(C49&gt;0,I49="Finalizado"),"Pendência de TACH",IF(AND(C49&gt;0,I49="Não Criado"),"Pendência de TACH",IF(AND(C49&gt;0,I49="Rascunho"),"Pendência de TACH",IF(AND(C49&gt;0,I49="NECESSÁRIO AJUSTAR"),"Pendência de TACH",IF(AND(C49&gt;0,I49="Aguardando Aprovação"),"Pendência de TACH",IF(AND(C49&gt;0,I49="Aprovado"),"Sem Pendência de TACH",IF(AND(C49&gt;0,J49="Finalizado"),"Pendência de TACH",IF(AND(C49&gt;0,J49="Não Criado"),"Pendência de TACH",IF(AND(C49&gt;0,J49="Rascunho"),"Pendência de TACH",IF(AND(C49&gt;0,J49="NECESSÁRIO AJUSTAR"),"Pendência de TACH",IF(AND(C49&gt;0,J49="Aguardando Aprovação"),"Pendência de TACH",IF(AND(C49&gt;0,J49="Aprovado"),"Sem Pendência de TACH",IF(AND(C49&gt;0,K49="Finalizado"),"Pendência de TACH",IF(AND(C49&gt;0,K49="Não Criado"),"Pendência de TACH",IF(AND(C49&gt;0,K49="Rascunho"),"Pendência de TACH",IF(AND(C49&gt;0,K49="NECESSÁRIO AJUSTAR"),"Pendência de TACH",IF(AND(C49&gt;0,K49="Aguardando Aprovação"),"Pendência de TACH",IF(AND(C49&gt;0,K49="Aprovado"),"Sem Pendência de TACH"))))))))))))))))))</f>
        <v>Pendência de TACH</v>
      </c>
    </row>
    <row r="50" spans="1:14">
      <c r="A50" s="1">
        <v>22466</v>
      </c>
      <c r="B50" t="s">
        <v>117</v>
      </c>
      <c r="C50" s="2">
        <v>40</v>
      </c>
      <c r="D50" s="2">
        <v>0</v>
      </c>
      <c r="E50" t="s">
        <v>6</v>
      </c>
      <c r="F50" t="s">
        <v>127</v>
      </c>
      <c r="G50" t="s">
        <v>178</v>
      </c>
      <c r="H50" t="s">
        <v>131</v>
      </c>
      <c r="I50" t="s">
        <v>131</v>
      </c>
      <c r="J50" t="s">
        <v>131</v>
      </c>
      <c r="K50" t="s">
        <v>133</v>
      </c>
      <c r="L50" t="s">
        <v>133</v>
      </c>
      <c r="M50" t="str">
        <f t="shared" si="0"/>
        <v>Sem Pendência</v>
      </c>
      <c r="N50" t="str">
        <f t="shared" si="2"/>
        <v>Pendência de TACH</v>
      </c>
    </row>
    <row r="51" spans="1:14">
      <c r="A51" s="1"/>
      <c r="C51" s="2"/>
      <c r="D51" s="2"/>
    </row>
    <row r="52" spans="1:14">
      <c r="C52" s="2"/>
      <c r="D52" s="2"/>
    </row>
    <row r="53" spans="1:14">
      <c r="C53" s="2"/>
      <c r="D53" s="2"/>
    </row>
    <row r="54" spans="1:14">
      <c r="C54" s="2"/>
      <c r="D54" s="2"/>
    </row>
    <row r="55" spans="1:14">
      <c r="C55" s="2"/>
      <c r="D55" s="2"/>
    </row>
    <row r="56" spans="1:14">
      <c r="C56" s="2"/>
      <c r="D56" s="2"/>
    </row>
    <row r="57" spans="1:14">
      <c r="C57" s="2"/>
      <c r="D57" s="2"/>
    </row>
    <row r="58" spans="1:14">
      <c r="C58" s="2"/>
      <c r="D58" s="2"/>
    </row>
    <row r="59" spans="1:14">
      <c r="C59" s="2"/>
      <c r="D59" s="2"/>
    </row>
    <row r="60" spans="1:14">
      <c r="C60" s="2"/>
      <c r="D60" s="2"/>
    </row>
    <row r="61" spans="1:14">
      <c r="C61" s="2"/>
      <c r="D61" s="2"/>
    </row>
    <row r="62" spans="1:14">
      <c r="C62" s="2"/>
      <c r="D62" s="2"/>
    </row>
    <row r="63" spans="1:14">
      <c r="C63" s="2"/>
      <c r="D63" s="2"/>
    </row>
    <row r="64" spans="1:14">
      <c r="C64" s="2"/>
      <c r="D64" s="2"/>
    </row>
    <row r="65" spans="3:14">
      <c r="C65" s="2"/>
      <c r="D65" s="2"/>
    </row>
    <row r="66" spans="3:14">
      <c r="C66" s="2"/>
      <c r="D66" s="2"/>
    </row>
    <row r="67" spans="3:14">
      <c r="C67" s="2"/>
      <c r="D67" s="2"/>
    </row>
    <row r="68" spans="3:14">
      <c r="C68" s="2"/>
      <c r="D68" s="2"/>
    </row>
    <row r="69" spans="3:14">
      <c r="C69" s="2"/>
      <c r="D69" s="2"/>
    </row>
    <row r="70" spans="3:14">
      <c r="C70" s="2"/>
      <c r="D70" s="2"/>
    </row>
    <row r="71" spans="3:14">
      <c r="C71" s="2"/>
      <c r="D71" s="2"/>
    </row>
    <row r="72" spans="3:14">
      <c r="C72" s="2"/>
      <c r="D72" s="2"/>
    </row>
    <row r="73" spans="3:14">
      <c r="C73" s="2"/>
      <c r="D73" s="2"/>
    </row>
    <row r="74" spans="3:14">
      <c r="C74" s="2"/>
      <c r="D74" s="2"/>
    </row>
    <row r="75" spans="3:14">
      <c r="C75" s="2"/>
      <c r="D75" s="2"/>
    </row>
    <row r="76" spans="3:14">
      <c r="C76" s="2"/>
      <c r="D76" s="2"/>
    </row>
    <row r="77" spans="3:14">
      <c r="C77" s="2"/>
      <c r="D77" s="2"/>
    </row>
    <row r="78" spans="3:14">
      <c r="C78" s="2"/>
      <c r="D78" s="2"/>
    </row>
    <row r="79" spans="3:14">
      <c r="C79" s="2"/>
      <c r="D79" s="2"/>
    </row>
    <row r="80" spans="3:14">
      <c r="C80" s="2">
        <f>_xlfn.XLOOKUP(Table143[[#This Row],[Nome docente]],[1]GESTAO_CONTRATO!$B:$B,[1]GESTAO_CONTRATO!$AI:$AI,1,0)</f>
        <v>0</v>
      </c>
      <c r="D80" s="2"/>
      <c r="E80">
        <f>_xlfn.XLOOKUP(Table143[[#This Row],[Nome docente]],[1]GESTAO_CONTRATO!$B:$B,[1]GESTAO_CONTRATO!$K:$K,1,0)</f>
        <v>0</v>
      </c>
      <c r="G80">
        <f>_xlfn.XLOOKUP(Table143[[#This Row],[Nome docente]],[1]GESTAO_CONTRATO!$B:$B,[1]GESTAO_CONTRATO!$AG:$AG,1,0)</f>
        <v>0</v>
      </c>
      <c r="M80" t="str">
        <f t="shared" ref="M80" si="3">IF(AND(G80="SIM",D80&gt;0),"Pendência de Agenda",IF(AND(G80="NÃO",D80=0),"Sem Pendência",""))</f>
        <v/>
      </c>
      <c r="N80" t="b">
        <f t="shared" si="2"/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6840-0DFB-45AC-B86E-5F3D6A81EDF8}">
  <dimension ref="A1:N93"/>
  <sheetViews>
    <sheetView zoomScale="85" zoomScaleNormal="85" workbookViewId="0">
      <selection activeCell="I15" sqref="I15"/>
    </sheetView>
  </sheetViews>
  <sheetFormatPr defaultRowHeight="15"/>
  <cols>
    <col min="1" max="1" width="11.85546875" bestFit="1" customWidth="1"/>
    <col min="2" max="2" width="25.5703125" customWidth="1"/>
    <col min="3" max="3" width="15" customWidth="1"/>
    <col min="4" max="4" width="10" style="2" customWidth="1"/>
    <col min="5" max="5" width="18.7109375" bestFit="1" customWidth="1"/>
    <col min="6" max="6" width="52.28515625" customWidth="1"/>
    <col min="7" max="7" width="10.7109375" customWidth="1"/>
    <col min="8" max="8" width="17.140625" customWidth="1"/>
    <col min="9" max="9" width="16.5703125" customWidth="1"/>
    <col min="10" max="10" width="15.28515625" customWidth="1"/>
    <col min="11" max="11" width="14.42578125" customWidth="1"/>
    <col min="12" max="12" width="14.7109375" customWidth="1"/>
    <col min="13" max="13" width="21.28515625" bestFit="1" customWidth="1"/>
    <col min="14" max="14" width="23.5703125" bestFit="1" customWidth="1"/>
  </cols>
  <sheetData>
    <row r="1" spans="1:14">
      <c r="A1" t="s">
        <v>0</v>
      </c>
      <c r="B1" t="s">
        <v>1</v>
      </c>
      <c r="C1" t="s">
        <v>77</v>
      </c>
      <c r="D1" s="2" t="s">
        <v>2</v>
      </c>
      <c r="E1" t="s">
        <v>3</v>
      </c>
      <c r="F1" t="s">
        <v>4</v>
      </c>
      <c r="G1" t="s">
        <v>78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75</v>
      </c>
      <c r="N1" t="s">
        <v>76</v>
      </c>
    </row>
    <row r="2" spans="1:14">
      <c r="A2" s="1">
        <v>8306</v>
      </c>
      <c r="B2" t="s">
        <v>7</v>
      </c>
      <c r="C2" s="2">
        <v>2</v>
      </c>
      <c r="D2" s="2" t="s">
        <v>8</v>
      </c>
      <c r="E2" t="s">
        <v>6</v>
      </c>
      <c r="F2" t="s">
        <v>9</v>
      </c>
      <c r="G2" t="s">
        <v>163</v>
      </c>
      <c r="H2" t="s">
        <v>132</v>
      </c>
      <c r="I2" t="s">
        <v>132</v>
      </c>
      <c r="J2" t="s">
        <v>132</v>
      </c>
      <c r="K2" t="s">
        <v>132</v>
      </c>
      <c r="L2" t="s">
        <v>132</v>
      </c>
      <c r="M2" t="str">
        <f t="shared" ref="M2:M53" si="0">IF(AND(G2="SIM",D2&gt;0),"Pendência de Agenda",IF(AND(G2="NÃO",D2=0),"Sem Pendência",IF(AND(G2="Sim",D2=0),"Sem Pendência","")))</f>
        <v>Pendência de Agenda</v>
      </c>
      <c r="N2" t="str" cm="1">
        <f t="array" ref="N2">IF(AND(C2&gt;0,I2="Finalizado"),"Pendência de TACH",IF(AND(C2&gt;0,I2="Não Criado"),"Pendência de TACH",IF(AND(C2&gt;0,I2="Rascunho"),"Pendência de TACH",IF(AND(C2&gt;0,I2="NECESSÁRIO AJUSTAR"),"Pendência de TACH",IF(AND(C2&gt;0,I2="Aguardando Aprovação"),"Pendência de TACH",IF(AND(C2&gt;0,I2="Aprovado"),"Sem Pendência de TACH",IF(AND(C2&gt;0,J2="Finalizado"),"Pendência de TACH",IF(AND(C2&gt;0,J2="Não Criado"),"Pendência de TACH",IF(AND(C2&gt;0,J2="Rascunho"),"Pendência de TACH",IF(AND(C2&gt;0,J2="NECESSÁRIO AJUSTAR"),"Pendência de TACH",IF(AND(C2&gt;0,J2="Aguardando Aprovação"),"Pendência de TACH",IF(AND(C2&gt;0,J2="Aprovado"),"Sem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Aprovação"),"Pendência de TACH",IF(AND(C2&gt;0,K2="Aprovado"),"Sem Pendência de TACH",IF(AND(C2&gt;0,KL="Finalizado"),"Pendência de TACH",IF(AND(C2&gt;0,KL="Não Criado"),"Pendência de TACH",IF(AND(C2&gt;0,KL="Rascunho"),"Pendência de TACH",IF(AND(C2&gt;0,L2="NECESSÁRIO AJUSTAR"),"Pendência de TACH",IF(AND(C2&gt;0,L2="Aguardando Aprovação"),"Pendência de TACH",IF(AND(C2&gt;0,L2="Aprovado"),"Sem Pendência de TACH"))))))))))))))))))))))))</f>
        <v>Pendência de TACH</v>
      </c>
    </row>
    <row r="3" spans="1:14">
      <c r="A3" s="1">
        <v>90006098</v>
      </c>
      <c r="B3" t="s">
        <v>192</v>
      </c>
      <c r="C3" s="2">
        <v>6</v>
      </c>
      <c r="D3" s="2" t="s">
        <v>12</v>
      </c>
      <c r="E3" t="s">
        <v>6</v>
      </c>
      <c r="F3" t="s">
        <v>204</v>
      </c>
      <c r="G3" t="s">
        <v>163</v>
      </c>
      <c r="H3" t="s">
        <v>133</v>
      </c>
      <c r="I3" t="s">
        <v>133</v>
      </c>
      <c r="J3" t="s">
        <v>133</v>
      </c>
      <c r="K3" t="s">
        <v>133</v>
      </c>
      <c r="L3" t="s">
        <v>133</v>
      </c>
      <c r="M3" t="str">
        <f t="shared" si="0"/>
        <v>Pendência de Agenda</v>
      </c>
      <c r="N3" t="str" cm="1">
        <f t="array" ref="N3">IF(AND(C3&gt;0,I3="Finalizado"),"Pendência de TACH",IF(AND(C3&gt;0,I3="Não Criado"),"Pendência de TACH",IF(AND(C3&gt;0,I3="Rascunho"),"Pendência de TACH",IF(AND(C3&gt;0,I3="NECESSÁRIO AJUSTAR"),"Pendência de TACH",IF(AND(C3&gt;0,I3="Aguardando Aprovação"),"Pendência de TACH",IF(AND(C3&gt;0,I3="Aprovado"),"Sem Pendência de TACH",IF(AND(C3&gt;0,J3="Finalizado"),"Pendência de TACH",IF(AND(C3&gt;0,J3="Não Criado"),"Pendência de TACH",IF(AND(C3&gt;0,J3="Rascunho"),"Pendência de TACH",IF(AND(C3&gt;0,J3="NECESSÁRIO AJUSTAR"),"Pendência de TACH",IF(AND(C3&gt;0,J3="Aguardando Aprovação"),"Pendência de TACH",IF(AND(C3&gt;0,J3="Aprovado"),"Sem Pendência de TACH",IF(AND(C3&gt;0,K3="Finalizado"),"Pendência de TACH",IF(AND(C3&gt;0,K3="Não Criado"),"Pendência de TACH",IF(AND(C3&gt;0,K3="Rascunho"),"Pendência de TACH",IF(AND(C3&gt;0,K3="NECESSÁRIO AJUSTAR"),"Pendência de TACH",IF(AND(C3&gt;0,K3="Aguardando Aprovação"),"Pendência de TACH",IF(AND(C3&gt;0,K3="Aprovado"),"Sem Pendência de TACH",IF(AND(C3&gt;0,KL="Finalizado"),"Pendência de TACH",IF(AND(C3&gt;0,KL="Não Criado"),"Pendência de TACH",IF(AND(C3&gt;0,KL="Rascunho"),"Pendência de TACH",IF(AND(C3&gt;0,L3="NECESSÁRIO AJUSTAR"),"Pendência de TACH",IF(AND(C3&gt;0,L3="Aguardando Aprovação"),"Pendência de TACH",IF(AND(C3&gt;0,L3="Aprovado"),"Sem Pendência de TACH"))))))))))))))))))))))))</f>
        <v>Sem Pendência de TACH</v>
      </c>
    </row>
    <row r="4" spans="1:14">
      <c r="A4" s="1">
        <v>90009703</v>
      </c>
      <c r="B4" t="s">
        <v>24</v>
      </c>
      <c r="C4" s="2">
        <v>18</v>
      </c>
      <c r="D4" s="2" t="s">
        <v>25</v>
      </c>
      <c r="E4" t="s">
        <v>6</v>
      </c>
      <c r="F4" t="s">
        <v>10</v>
      </c>
      <c r="G4" t="s">
        <v>163</v>
      </c>
      <c r="H4" t="s">
        <v>134</v>
      </c>
      <c r="I4" t="s">
        <v>134</v>
      </c>
      <c r="J4" t="s">
        <v>134</v>
      </c>
      <c r="K4" t="s">
        <v>134</v>
      </c>
      <c r="L4" t="s">
        <v>134</v>
      </c>
      <c r="M4" t="str">
        <f t="shared" si="0"/>
        <v>Pendência de Agenda</v>
      </c>
      <c r="N4" t="str" cm="1">
        <f t="array" ref="N4">IF(AND(C4&gt;0,I4="Finalizado"),"Pendência de TACH",IF(AND(C4&gt;0,I4="Não Criado"),"Pendência de TACH",IF(AND(C4&gt;0,I4="Rascunho"),"Pendência de TACH",IF(AND(C4&gt;0,I4="NECESSÁRIO AJUSTAR"),"Pendência de TACH",IF(AND(C4&gt;0,I4="Aguardando Aprovação"),"Pendência de TACH",IF(AND(C4&gt;0,I4="Aprovado"),"Sem Pendência de TACH",IF(AND(C4&gt;0,J4="Finalizado"),"Pendência de TACH",IF(AND(C4&gt;0,J4="Não Criado"),"Pendência de TACH",IF(AND(C4&gt;0,J4="Rascunho"),"Pendência de TACH",IF(AND(C4&gt;0,J4="NECESSÁRIO AJUSTAR"),"Pendência de TACH",IF(AND(C4&gt;0,J4="Aguardando Aprovação"),"Pendência de TACH",IF(AND(C4&gt;0,J4="Aprovado"),"Sem Pendência de TACH",IF(AND(C4&gt;0,K4="Finalizado"),"Pendência de TACH",IF(AND(C4&gt;0,K4="Não Criado"),"Pendência de TACH",IF(AND(C4&gt;0,K4="Rascunho"),"Pendência de TACH",IF(AND(C4&gt;0,K4="NECESSÁRIO AJUSTAR"),"Pendência de TACH",IF(AND(C4&gt;0,K4="Aguardando Aprovação"),"Pendência de TACH",IF(AND(C4&gt;0,K4="Aprovado"),"Sem Pendência de TACH",IF(AND(C4&gt;0,KL="Finalizado"),"Pendência de TACH",IF(AND(C4&gt;0,KL="Não Criado"),"Pendência de TACH",IF(AND(C4&gt;0,KL="Rascunho"),"Pendência de TACH",IF(AND(C4&gt;0,L4="NECESSÁRIO AJUSTAR"),"Pendência de TACH",IF(AND(C4&gt;0,L4="Aguardando Aprovação"),"Pendência de TACH",IF(AND(C4&gt;0,L4="Aprovado"),"Sem Pendência de TACH"))))))))))))))))))))))))</f>
        <v>Pendência de TACH</v>
      </c>
    </row>
    <row r="5" spans="1:14">
      <c r="A5" s="1">
        <v>90010230</v>
      </c>
      <c r="B5" t="s">
        <v>152</v>
      </c>
      <c r="C5" s="2">
        <v>22</v>
      </c>
      <c r="D5" s="2" t="s">
        <v>83</v>
      </c>
      <c r="E5" t="s">
        <v>6</v>
      </c>
      <c r="F5" t="s">
        <v>159</v>
      </c>
      <c r="G5" t="s">
        <v>163</v>
      </c>
      <c r="H5" t="s">
        <v>133</v>
      </c>
      <c r="I5" t="s">
        <v>133</v>
      </c>
      <c r="J5" t="s">
        <v>133</v>
      </c>
      <c r="K5" t="s">
        <v>133</v>
      </c>
      <c r="L5" t="s">
        <v>133</v>
      </c>
      <c r="M5" t="str">
        <f t="shared" si="0"/>
        <v>Pendência de Agenda</v>
      </c>
      <c r="N5" t="str" cm="1">
        <f t="array" ref="N5">IF(AND(C5&gt;0,I5="Finalizado"),"Pendência de TACH",IF(AND(C5&gt;0,I5="Não Criado"),"Pendência de TACH",IF(AND(C5&gt;0,I5="Rascunho"),"Pendência de TACH",IF(AND(C5&gt;0,I5="NECESSÁRIO AJUSTAR"),"Pendência de TACH",IF(AND(C5&gt;0,I5="Aguardando Aprovação"),"Pendência de TACH",IF(AND(C5&gt;0,I5="Aprovado"),"Sem Pendência de TACH",IF(AND(C5&gt;0,J5="Finalizado"),"Pendência de TACH",IF(AND(C5&gt;0,J5="Não Criado"),"Pendência de TACH",IF(AND(C5&gt;0,J5="Rascunho"),"Pendência de TACH",IF(AND(C5&gt;0,J5="NECESSÁRIO AJUSTAR"),"Pendência de TACH",IF(AND(C5&gt;0,J5="Aguardando Aprovação"),"Pendência de TACH",IF(AND(C5&gt;0,J5="Aprovado"),"Sem Pendência de TACH",IF(AND(C5&gt;0,K5="Finalizado"),"Pendência de TACH",IF(AND(C5&gt;0,K5="Não Criado"),"Pendência de TACH",IF(AND(C5&gt;0,K5="Rascunho"),"Pendência de TACH",IF(AND(C5&gt;0,K5="NECESSÁRIO AJUSTAR"),"Pendência de TACH",IF(AND(C5&gt;0,K5="Aguardando Aprovação"),"Pendência de TACH",IF(AND(C5&gt;0,K5="Aprovado"),"Sem Pendência de TACH",IF(AND(C5&gt;0,KL="Finalizado"),"Pendência de TACH",IF(AND(C5&gt;0,KL="Não Criado"),"Pendência de TACH",IF(AND(C5&gt;0,KL="Rascunho"),"Pendência de TACH",IF(AND(C5&gt;0,L5="NECESSÁRIO AJUSTAR"),"Pendência de TACH",IF(AND(C5&gt;0,L5="Aguardando Aprovação"),"Pendência de TACH",IF(AND(C5&gt;0,L5="Aprovado"),"Sem Pendência de TACH"))))))))))))))))))))))))</f>
        <v>Sem Pendência de TACH</v>
      </c>
    </row>
    <row r="6" spans="1:14">
      <c r="A6" s="1">
        <v>90011695</v>
      </c>
      <c r="B6" t="s">
        <v>193</v>
      </c>
      <c r="C6" s="2">
        <v>23</v>
      </c>
      <c r="D6" s="2" t="s">
        <v>21</v>
      </c>
      <c r="E6" t="s">
        <v>22</v>
      </c>
      <c r="F6" t="s">
        <v>23</v>
      </c>
      <c r="G6" t="s">
        <v>163</v>
      </c>
      <c r="H6" t="s">
        <v>130</v>
      </c>
      <c r="I6" t="s">
        <v>130</v>
      </c>
      <c r="J6" t="s">
        <v>130</v>
      </c>
      <c r="K6" t="s">
        <v>130</v>
      </c>
      <c r="L6" t="s">
        <v>130</v>
      </c>
      <c r="M6" t="str">
        <f t="shared" si="0"/>
        <v>Pendência de Agenda</v>
      </c>
      <c r="N6" t="str" cm="1">
        <f t="array" ref="N6">IF(AND(C6&gt;0,I6="Finalizado"),"Pendência de TACH",IF(AND(C6&gt;0,I6="Não Criado"),"Pendência de TACH",IF(AND(C6&gt;0,I6="Rascunho"),"Pendência de TACH",IF(AND(C6&gt;0,I6="NECESSÁRIO AJUSTAR"),"Pendência de TACH",IF(AND(C6&gt;0,I6="Aguardando Aprovação"),"Pendência de TACH",IF(AND(C6&gt;0,I6="Aprovado"),"Sem Pendência de TACH",IF(AND(C6&gt;0,J6="Finalizado"),"Pendência de TACH",IF(AND(C6&gt;0,J6="Não Criado"),"Pendência de TACH",IF(AND(C6&gt;0,J6="Rascunho"),"Pendência de TACH",IF(AND(C6&gt;0,J6="NECESSÁRIO AJUSTAR"),"Pendência de TACH",IF(AND(C6&gt;0,J6="Aguardando Aprovação"),"Pendência de TACH",IF(AND(C6&gt;0,J6="Aprovado"),"Sem Pendência de TACH",IF(AND(C6&gt;0,K6="Finalizado"),"Pendência de TACH",IF(AND(C6&gt;0,K6="Não Criado"),"Pendência de TACH",IF(AND(C6&gt;0,K6="Rascunho"),"Pendência de TACH",IF(AND(C6&gt;0,K6="NECESSÁRIO AJUSTAR"),"Pendência de TACH",IF(AND(C6&gt;0,K6="Aguardando Aprovação"),"Pendência de TACH",IF(AND(C6&gt;0,K6="Aprovado"),"Sem Pendência de TACH",IF(AND(C6&gt;0,KL="Finalizado"),"Pendência de TACH",IF(AND(C6&gt;0,KL="Não Criado"),"Pendência de TACH",IF(AND(C6&gt;0,KL="Rascunho"),"Pendência de TACH",IF(AND(C6&gt;0,L6="NECESSÁRIO AJUSTAR"),"Pendência de TACH",IF(AND(C6&gt;0,L6="Aguardando Aprovação"),"Pendência de TACH",IF(AND(C6&gt;0,L6="Aprovado"),"Sem Pendência de TACH"))))))))))))))))))))))))</f>
        <v>Pendência de TACH</v>
      </c>
    </row>
    <row r="7" spans="1:14">
      <c r="A7" s="1">
        <v>90005226</v>
      </c>
      <c r="B7" t="s">
        <v>31</v>
      </c>
      <c r="C7" s="2">
        <v>14</v>
      </c>
      <c r="D7" s="2" t="s">
        <v>46</v>
      </c>
      <c r="E7" t="s">
        <v>22</v>
      </c>
      <c r="F7" t="s">
        <v>23</v>
      </c>
      <c r="G7" t="s">
        <v>163</v>
      </c>
      <c r="H7" t="s">
        <v>132</v>
      </c>
      <c r="I7" t="s">
        <v>132</v>
      </c>
      <c r="J7" t="s">
        <v>132</v>
      </c>
      <c r="K7" t="s">
        <v>132</v>
      </c>
      <c r="L7" t="s">
        <v>132</v>
      </c>
      <c r="M7" t="str">
        <f t="shared" si="0"/>
        <v>Pendência de Agenda</v>
      </c>
      <c r="N7" t="str" cm="1">
        <f t="array" ref="N7">IF(AND(C7&gt;0,I7="Finalizado"),"Pendência de TACH",IF(AND(C7&gt;0,I7="Não Criado"),"Pendência de TACH",IF(AND(C7&gt;0,I7="Rascunho"),"Pendência de TACH",IF(AND(C7&gt;0,I7="NECESSÁRIO AJUSTAR"),"Pendência de TACH",IF(AND(C7&gt;0,I7="Aguardando Aprovação"),"Pendência de TACH",IF(AND(C7&gt;0,I7="Aprovado"),"Sem Pendência de TACH",IF(AND(C7&gt;0,J7="Finalizado"),"Pendência de TACH",IF(AND(C7&gt;0,J7="Não Criado"),"Pendência de TACH",IF(AND(C7&gt;0,J7="Rascunho"),"Pendência de TACH",IF(AND(C7&gt;0,J7="NECESSÁRIO AJUSTAR"),"Pendência de TACH",IF(AND(C7&gt;0,J7="Aguardando Aprovação"),"Pendência de TACH",IF(AND(C7&gt;0,J7="Aprovado"),"Sem Pendência de TACH",IF(AND(C7&gt;0,K7="Finalizado"),"Pendência de TACH",IF(AND(C7&gt;0,K7="Não Criado"),"Pendência de TACH",IF(AND(C7&gt;0,K7="Rascunho"),"Pendência de TACH",IF(AND(C7&gt;0,K7="NECESSÁRIO AJUSTAR"),"Pendência de TACH",IF(AND(C7&gt;0,K7="Aguardando Aprovação"),"Pendência de TACH",IF(AND(C7&gt;0,K7="Aprovado"),"Sem Pendência de TACH",IF(AND(C7&gt;0,KL="Finalizado"),"Pendência de TACH",IF(AND(C7&gt;0,KL="Não Criado"),"Pendência de TACH",IF(AND(C7&gt;0,KL="Rascunho"),"Pendência de TACH",IF(AND(C7&gt;0,L7="NECESSÁRIO AJUSTAR"),"Pendência de TACH",IF(AND(C7&gt;0,L7="Aguardando Aprovação"),"Pendência de TACH",IF(AND(C7&gt;0,L7="Aprovado"),"Sem Pendência de TACH"))))))))))))))))))))))))</f>
        <v>Pendência de TACH</v>
      </c>
    </row>
    <row r="8" spans="1:14">
      <c r="A8" s="1">
        <v>90005023</v>
      </c>
      <c r="B8" t="s">
        <v>32</v>
      </c>
      <c r="C8" s="2">
        <v>10</v>
      </c>
      <c r="D8" s="2" t="s">
        <v>21</v>
      </c>
      <c r="E8" t="s">
        <v>6</v>
      </c>
      <c r="F8" t="s">
        <v>33</v>
      </c>
      <c r="G8" t="s">
        <v>163</v>
      </c>
      <c r="H8" t="s">
        <v>133</v>
      </c>
      <c r="I8" t="s">
        <v>133</v>
      </c>
      <c r="J8" t="s">
        <v>133</v>
      </c>
      <c r="K8" t="s">
        <v>133</v>
      </c>
      <c r="L8" t="s">
        <v>133</v>
      </c>
      <c r="M8" t="str">
        <f t="shared" si="0"/>
        <v>Pendência de Agenda</v>
      </c>
      <c r="N8" t="str" cm="1">
        <f t="array" ref="N8">IF(AND(C8&gt;0,I8="Finalizado"),"Pendência de TACH",IF(AND(C8&gt;0,I8="Não Criado"),"Pendência de TACH",IF(AND(C8&gt;0,I8="Rascunho"),"Pendência de TACH",IF(AND(C8&gt;0,I8="NECESSÁRIO AJUSTAR"),"Pendência de TACH",IF(AND(C8&gt;0,I8="Aguardando Aprovação"),"Pendência de TACH",IF(AND(C8&gt;0,I8="Aprovado"),"Sem Pendência de TACH",IF(AND(C8&gt;0,J8="Finalizado"),"Pendência de TACH",IF(AND(C8&gt;0,J8="Não Criado"),"Pendência de TACH",IF(AND(C8&gt;0,J8="Rascunho"),"Pendência de TACH",IF(AND(C8&gt;0,J8="NECESSÁRIO AJUSTAR"),"Pendência de TACH",IF(AND(C8&gt;0,J8="Aguardando Aprovação"),"Pendência de TACH",IF(AND(C8&gt;0,J8="Aprovado"),"Sem Pendência de TACH",IF(AND(C8&gt;0,K8="Finalizado"),"Pendência de TACH",IF(AND(C8&gt;0,K8="Não Criado"),"Pendência de TACH",IF(AND(C8&gt;0,K8="Rascunho"),"Pendência de TACH",IF(AND(C8&gt;0,K8="NECESSÁRIO AJUSTAR"),"Pendência de TACH",IF(AND(C8&gt;0,K8="Aguardando Aprovação"),"Pendência de TACH",IF(AND(C8&gt;0,K8="Aprovado"),"Sem Pendência de TACH",IF(AND(C8&gt;0,KL="Finalizado"),"Pendência de TACH",IF(AND(C8&gt;0,KL="Não Criado"),"Pendência de TACH",IF(AND(C8&gt;0,KL="Rascunho"),"Pendência de TACH",IF(AND(C8&gt;0,L8="NECESSÁRIO AJUSTAR"),"Pendência de TACH",IF(AND(C8&gt;0,L8="Aguardando Aprovação"),"Pendência de TACH",IF(AND(C8&gt;0,L8="Aprovado"),"Sem Pendência de TACH"))))))))))))))))))))))))</f>
        <v>Sem Pendência de TACH</v>
      </c>
    </row>
    <row r="9" spans="1:14">
      <c r="A9" s="1">
        <v>90014085</v>
      </c>
      <c r="B9" t="s">
        <v>194</v>
      </c>
      <c r="C9" s="2">
        <v>40</v>
      </c>
      <c r="D9" s="2" t="s">
        <v>200</v>
      </c>
      <c r="E9" t="s">
        <v>6</v>
      </c>
      <c r="F9" t="s">
        <v>30</v>
      </c>
      <c r="G9" t="s">
        <v>163</v>
      </c>
      <c r="H9" t="s">
        <v>132</v>
      </c>
      <c r="I9" t="s">
        <v>132</v>
      </c>
      <c r="J9" t="s">
        <v>132</v>
      </c>
      <c r="K9" t="s">
        <v>132</v>
      </c>
      <c r="L9" t="s">
        <v>132</v>
      </c>
      <c r="M9" t="str">
        <f t="shared" si="0"/>
        <v>Pendência de Agenda</v>
      </c>
      <c r="N9" t="str" cm="1">
        <f t="array" ref="N9">IF(AND(C9&gt;0,I9="Finalizado"),"Pendência de TACH",IF(AND(C9&gt;0,I9="Não Criado"),"Pendência de TACH",IF(AND(C9&gt;0,I9="Rascunho"),"Pendência de TACH",IF(AND(C9&gt;0,I9="NECESSÁRIO AJUSTAR"),"Pendência de TACH",IF(AND(C9&gt;0,I9="Aguardando Aprovação"),"Pendência de TACH",IF(AND(C9&gt;0,I9="Aprovado"),"Sem Pendência de TACH",IF(AND(C9&gt;0,J9="Finalizado"),"Pendência de TACH",IF(AND(C9&gt;0,J9="Não Criado"),"Pendência de TACH",IF(AND(C9&gt;0,J9="Rascunho"),"Pendência de TACH",IF(AND(C9&gt;0,J9="NECESSÁRIO AJUSTAR"),"Pendência de TACH",IF(AND(C9&gt;0,J9="Aguardando Aprovação"),"Pendência de TACH",IF(AND(C9&gt;0,J9="Aprovado"),"Sem Pendência de TACH",IF(AND(C9&gt;0,K9="Finalizado"),"Pendência de TACH",IF(AND(C9&gt;0,K9="Não Criado"),"Pendência de TACH",IF(AND(C9&gt;0,K9="Rascunho"),"Pendência de TACH",IF(AND(C9&gt;0,K9="NECESSÁRIO AJUSTAR"),"Pendência de TACH",IF(AND(C9&gt;0,K9="Aguardando Aprovação"),"Pendência de TACH",IF(AND(C9&gt;0,K9="Aprovado"),"Sem Pendência de TACH",IF(AND(C9&gt;0,KL="Finalizado"),"Pendência de TACH",IF(AND(C9&gt;0,KL="Não Criado"),"Pendência de TACH",IF(AND(C9&gt;0,KL="Rascunho"),"Pendência de TACH",IF(AND(C9&gt;0,L9="NECESSÁRIO AJUSTAR"),"Pendência de TACH",IF(AND(C9&gt;0,L9="Aguardando Aprovação"),"Pendência de TACH",IF(AND(C9&gt;0,L9="Aprovado"),"Sem Pendência de TACH"))))))))))))))))))))))))</f>
        <v>Pendência de TACH</v>
      </c>
    </row>
    <row r="10" spans="1:14">
      <c r="A10" s="1">
        <v>9506</v>
      </c>
      <c r="B10" t="s">
        <v>101</v>
      </c>
      <c r="C10" s="2">
        <v>1</v>
      </c>
      <c r="D10" s="2" t="s">
        <v>20</v>
      </c>
      <c r="E10" t="s">
        <v>6</v>
      </c>
      <c r="F10" t="s">
        <v>9</v>
      </c>
      <c r="G10" t="s">
        <v>163</v>
      </c>
      <c r="H10" t="s">
        <v>133</v>
      </c>
      <c r="I10" t="s">
        <v>133</v>
      </c>
      <c r="J10" t="s">
        <v>133</v>
      </c>
      <c r="K10" t="s">
        <v>133</v>
      </c>
      <c r="L10" t="s">
        <v>133</v>
      </c>
      <c r="M10" t="str">
        <f t="shared" si="0"/>
        <v>Pendência de Agenda</v>
      </c>
      <c r="N10" t="str" cm="1">
        <f t="array" ref="N10">IF(AND(C10&gt;0,I10="Finalizado"),"Pendência de TACH",IF(AND(C10&gt;0,I10="Não Criado"),"Pendência de TACH",IF(AND(C10&gt;0,I10="Rascunho"),"Pendência de TACH",IF(AND(C10&gt;0,I10="NECESSÁRIO AJUSTAR"),"Pendência de TACH",IF(AND(C10&gt;0,I10="Aguardando Aprovação"),"Pendência de TACH",IF(AND(C10&gt;0,I10="Aprovado"),"Sem Pendência de TACH",IF(AND(C10&gt;0,J10="Finalizado"),"Pendência de TACH",IF(AND(C10&gt;0,J10="Não Criado"),"Pendência de TACH",IF(AND(C10&gt;0,J10="Rascunho"),"Pendência de TACH",IF(AND(C10&gt;0,J10="NECESSÁRIO AJUSTAR"),"Pendência de TACH",IF(AND(C10&gt;0,J10="Aguardando Aprovação"),"Pendência de TACH",IF(AND(C10&gt;0,J10="Aprovado"),"Sem Pendência de TACH",IF(AND(C10&gt;0,K10="Finalizado"),"Pendência de TACH",IF(AND(C10&gt;0,K10="Não Criado"),"Pendência de TACH",IF(AND(C10&gt;0,K10="Rascunho"),"Pendência de TACH",IF(AND(C10&gt;0,K10="NECESSÁRIO AJUSTAR"),"Pendência de TACH",IF(AND(C10&gt;0,K10="Aguardando Aprovação"),"Pendência de TACH",IF(AND(C10&gt;0,K10="Aprovado"),"Sem Pendência de TACH",IF(AND(C10&gt;0,KL="Finalizado"),"Pendência de TACH",IF(AND(C10&gt;0,KL="Não Criado"),"Pendência de TACH",IF(AND(C10&gt;0,KL="Rascunho"),"Pendência de TACH",IF(AND(C10&gt;0,L10="NECESSÁRIO AJUSTAR"),"Pendência de TACH",IF(AND(C10&gt;0,L10="Aguardando Aprovação"),"Pendência de TACH",IF(AND(C10&gt;0,L10="Aprovado"),"Sem Pendência de TACH"))))))))))))))))))))))))</f>
        <v>Sem Pendência de TACH</v>
      </c>
    </row>
    <row r="11" spans="1:14">
      <c r="A11" s="1">
        <v>90013955</v>
      </c>
      <c r="B11" t="s">
        <v>89</v>
      </c>
      <c r="C11" s="2">
        <v>3</v>
      </c>
      <c r="D11" s="2" t="s">
        <v>51</v>
      </c>
      <c r="E11" t="s">
        <v>6</v>
      </c>
      <c r="F11" t="s">
        <v>10</v>
      </c>
      <c r="G11" t="s">
        <v>163</v>
      </c>
      <c r="H11" t="s">
        <v>132</v>
      </c>
      <c r="I11" t="s">
        <v>132</v>
      </c>
      <c r="J11" t="s">
        <v>132</v>
      </c>
      <c r="K11" t="s">
        <v>132</v>
      </c>
      <c r="L11" t="s">
        <v>132</v>
      </c>
      <c r="M11" t="str">
        <f t="shared" si="0"/>
        <v>Pendência de Agenda</v>
      </c>
      <c r="N11" t="str" cm="1">
        <f t="array" ref="N11">IF(AND(C11&gt;0,I11="Finalizado"),"Pendência de TACH",IF(AND(C11&gt;0,I11="Não Criado"),"Pendência de TACH",IF(AND(C11&gt;0,I11="Rascunho"),"Pendência de TACH",IF(AND(C11&gt;0,I11="NECESSÁRIO AJUSTAR"),"Pendência de TACH",IF(AND(C11&gt;0,I11="Aguardando Aprovação"),"Pendência de TACH",IF(AND(C11&gt;0,I11="Aprovado"),"Sem Pendência de TACH",IF(AND(C11&gt;0,J11="Finalizado"),"Pendência de TACH",IF(AND(C11&gt;0,J11="Não Criado"),"Pendência de TACH",IF(AND(C11&gt;0,J11="Rascunho"),"Pendência de TACH",IF(AND(C11&gt;0,J11="NECESSÁRIO AJUSTAR"),"Pendência de TACH",IF(AND(C11&gt;0,J11="Aguardando Aprovação"),"Pendência de TACH",IF(AND(C11&gt;0,J11="Aprovado"),"Sem Pendência de TACH",IF(AND(C11&gt;0,K11="Finalizado"),"Pendência de TACH",IF(AND(C11&gt;0,K11="Não Criado"),"Pendência de TACH",IF(AND(C11&gt;0,K11="Rascunho"),"Pendência de TACH",IF(AND(C11&gt;0,K11="NECESSÁRIO AJUSTAR"),"Pendência de TACH",IF(AND(C11&gt;0,K11="Aguardando Aprovação"),"Pendência de TACH",IF(AND(C11&gt;0,K11="Aprovado"),"Sem Pendência de TACH",IF(AND(C11&gt;0,KL="Finalizado"),"Pendência de TACH",IF(AND(C11&gt;0,KL="Não Criado"),"Pendência de TACH",IF(AND(C11&gt;0,KL="Rascunho"),"Pendência de TACH",IF(AND(C11&gt;0,L11="NECESSÁRIO AJUSTAR"),"Pendência de TACH",IF(AND(C11&gt;0,L11="Aguardando Aprovação"),"Pendência de TACH",IF(AND(C11&gt;0,L11="Aprovado"),"Sem Pendência de TACH"))))))))))))))))))))))))</f>
        <v>Pendência de TACH</v>
      </c>
    </row>
    <row r="12" spans="1:14">
      <c r="A12" s="1">
        <v>90010315</v>
      </c>
      <c r="B12" t="s">
        <v>195</v>
      </c>
      <c r="C12" s="2">
        <v>20</v>
      </c>
      <c r="D12" s="2" t="s">
        <v>59</v>
      </c>
      <c r="E12" t="s">
        <v>22</v>
      </c>
      <c r="F12" t="s">
        <v>23</v>
      </c>
      <c r="G12" t="s">
        <v>163</v>
      </c>
      <c r="H12" t="s">
        <v>132</v>
      </c>
      <c r="I12" t="s">
        <v>132</v>
      </c>
      <c r="J12" t="s">
        <v>132</v>
      </c>
      <c r="K12" t="s">
        <v>132</v>
      </c>
      <c r="L12" t="s">
        <v>132</v>
      </c>
      <c r="M12" t="str">
        <f t="shared" si="0"/>
        <v>Pendência de Agenda</v>
      </c>
      <c r="N12" t="str" cm="1">
        <f t="array" ref="N12">IF(AND(C12&gt;0,I12="Finalizado"),"Pendência de TACH",IF(AND(C12&gt;0,I12="Não Criado"),"Pendência de TACH",IF(AND(C12&gt;0,I12="Rascunho"),"Pendência de TACH",IF(AND(C12&gt;0,I12="NECESSÁRIO AJUSTAR"),"Pendência de TACH",IF(AND(C12&gt;0,I12="Aguardando Aprovação"),"Pendência de TACH",IF(AND(C12&gt;0,I12="Aprovado"),"Sem Pendência de TACH",IF(AND(C12&gt;0,J12="Finalizado"),"Pendência de TACH",IF(AND(C12&gt;0,J12="Não Criado"),"Pendência de TACH",IF(AND(C12&gt;0,J12="Rascunho"),"Pendência de TACH",IF(AND(C12&gt;0,J12="NECESSÁRIO AJUSTAR"),"Pendência de TACH",IF(AND(C12&gt;0,J12="Aguardando Aprovação"),"Pendência de TACH",IF(AND(C12&gt;0,J12="Aprovado"),"Sem Pendência de TACH",IF(AND(C12&gt;0,K12="Finalizado"),"Pendência de TACH",IF(AND(C12&gt;0,K12="Não Criado"),"Pendência de TACH",IF(AND(C12&gt;0,K12="Rascunho"),"Pendência de TACH",IF(AND(C12&gt;0,K12="NECESSÁRIO AJUSTAR"),"Pendência de TACH",IF(AND(C12&gt;0,K12="Aguardando Aprovação"),"Pendência de TACH",IF(AND(C12&gt;0,K12="Aprovado"),"Sem Pendência de TACH",IF(AND(C12&gt;0,KL="Finalizado"),"Pendência de TACH",IF(AND(C12&gt;0,KL="Não Criado"),"Pendência de TACH",IF(AND(C12&gt;0,KL="Rascunho"),"Pendência de TACH",IF(AND(C12&gt;0,L12="NECESSÁRIO AJUSTAR"),"Pendência de TACH",IF(AND(C12&gt;0,L12="Aguardando Aprovação"),"Pendência de TACH",IF(AND(C12&gt;0,L12="Aprovado"),"Sem Pendência de TACH"))))))))))))))))))))))))</f>
        <v>Pendência de TACH</v>
      </c>
    </row>
    <row r="13" spans="1:14">
      <c r="A13" s="1">
        <v>24108</v>
      </c>
      <c r="B13" t="s">
        <v>196</v>
      </c>
      <c r="C13" s="2">
        <v>9</v>
      </c>
      <c r="D13" s="2" t="s">
        <v>96</v>
      </c>
      <c r="E13" t="s">
        <v>6</v>
      </c>
      <c r="F13" t="s">
        <v>9</v>
      </c>
      <c r="G13" t="s">
        <v>163</v>
      </c>
      <c r="H13" t="s">
        <v>130</v>
      </c>
      <c r="I13" t="s">
        <v>131</v>
      </c>
      <c r="J13" t="s">
        <v>131</v>
      </c>
      <c r="K13" t="s">
        <v>131</v>
      </c>
      <c r="L13" t="s">
        <v>131</v>
      </c>
      <c r="M13" t="str">
        <f t="shared" si="0"/>
        <v>Pendência de Agenda</v>
      </c>
      <c r="N13" t="str" cm="1">
        <f t="array" ref="N13">IF(AND(C13&gt;0,I13="Finalizado"),"Pendência de TACH",IF(AND(C13&gt;0,I13="Não Criado"),"Pendência de TACH",IF(AND(C13&gt;0,I13="Rascunho"),"Pendência de TACH",IF(AND(C13&gt;0,I13="NECESSÁRIO AJUSTAR"),"Pendência de TACH",IF(AND(C13&gt;0,I13="Aguardando Aprovação"),"Pendência de TACH",IF(AND(C13&gt;0,I13="Aprovado"),"Sem Pendência de TACH",IF(AND(C13&gt;0,J13="Finalizado"),"Pendência de TACH",IF(AND(C13&gt;0,J13="Não Criado"),"Pendência de TACH",IF(AND(C13&gt;0,J13="Rascunho"),"Pendência de TACH",IF(AND(C13&gt;0,J13="NECESSÁRIO AJUSTAR"),"Pendência de TACH",IF(AND(C13&gt;0,J13="Aguardando Aprovação"),"Pendência de TACH",IF(AND(C13&gt;0,J13="Aprovado"),"Sem Pendência de TACH",IF(AND(C13&gt;0,K13="Finalizado"),"Pendência de TACH",IF(AND(C13&gt;0,K13="Não Criado"),"Pendência de TACH",IF(AND(C13&gt;0,K13="Rascunho"),"Pendência de TACH",IF(AND(C13&gt;0,K13="NECESSÁRIO AJUSTAR"),"Pendência de TACH",IF(AND(C13&gt;0,K13="Aguardando Aprovação"),"Pendência de TACH",IF(AND(C13&gt;0,K13="Aprovado"),"Sem Pendência de TACH",IF(AND(C13&gt;0,KL="Finalizado"),"Pendência de TACH",IF(AND(C13&gt;0,KL="Não Criado"),"Pendência de TACH",IF(AND(C13&gt;0,KL="Rascunho"),"Pendência de TACH",IF(AND(C13&gt;0,L13="NECESSÁRIO AJUSTAR"),"Pendência de TACH",IF(AND(C13&gt;0,L13="Aguardando Aprovação"),"Pendência de TACH",IF(AND(C13&gt;0,L13="Aprovado"),"Sem Pendência de TACH"))))))))))))))))))))))))</f>
        <v>Pendência de TACH</v>
      </c>
    </row>
    <row r="14" spans="1:14">
      <c r="A14" s="1">
        <v>90011183</v>
      </c>
      <c r="B14" t="s">
        <v>42</v>
      </c>
      <c r="C14" s="2">
        <v>4</v>
      </c>
      <c r="D14" s="2" t="s">
        <v>5</v>
      </c>
      <c r="E14" t="s">
        <v>6</v>
      </c>
      <c r="F14" t="s">
        <v>39</v>
      </c>
      <c r="G14" t="s">
        <v>163</v>
      </c>
      <c r="H14" t="s">
        <v>132</v>
      </c>
      <c r="I14" t="s">
        <v>132</v>
      </c>
      <c r="J14" t="s">
        <v>132</v>
      </c>
      <c r="K14" t="s">
        <v>132</v>
      </c>
      <c r="L14" t="s">
        <v>134</v>
      </c>
      <c r="M14" t="str">
        <f t="shared" si="0"/>
        <v>Pendência de Agenda</v>
      </c>
      <c r="N14" t="str" cm="1">
        <f t="array" ref="N14">IF(AND(C14&gt;0,I14="Finalizado"),"Pendência de TACH",IF(AND(C14&gt;0,I14="Não Criado"),"Pendência de TACH",IF(AND(C14&gt;0,I14="Rascunho"),"Pendência de TACH",IF(AND(C14&gt;0,I14="NECESSÁRIO AJUSTAR"),"Pendência de TACH",IF(AND(C14&gt;0,I14="Aguardando Aprovação"),"Pendência de TACH",IF(AND(C14&gt;0,I14="Aprovado"),"Sem Pendência de TACH",IF(AND(C14&gt;0,J14="Finalizado"),"Pendência de TACH",IF(AND(C14&gt;0,J14="Não Criado"),"Pendência de TACH",IF(AND(C14&gt;0,J14="Rascunho"),"Pendência de TACH",IF(AND(C14&gt;0,J14="NECESSÁRIO AJUSTAR"),"Pendência de TACH",IF(AND(C14&gt;0,J14="Aguardando Aprovação"),"Pendência de TACH",IF(AND(C14&gt;0,J14="Aprovado"),"Sem Pendência de TACH",IF(AND(C14&gt;0,K14="Finalizado"),"Pendência de TACH",IF(AND(C14&gt;0,K14="Não Criado"),"Pendência de TACH",IF(AND(C14&gt;0,K14="Rascunho"),"Pendência de TACH",IF(AND(C14&gt;0,K14="NECESSÁRIO AJUSTAR"),"Pendência de TACH",IF(AND(C14&gt;0,K14="Aguardando Aprovação"),"Pendência de TACH",IF(AND(C14&gt;0,K14="Aprovado"),"Sem Pendência de TACH",IF(AND(C14&gt;0,KL="Finalizado"),"Pendência de TACH",IF(AND(C14&gt;0,KL="Não Criado"),"Pendência de TACH",IF(AND(C14&gt;0,KL="Rascunho"),"Pendência de TACH",IF(AND(C14&gt;0,L14="NECESSÁRIO AJUSTAR"),"Pendência de TACH",IF(AND(C14&gt;0,L14="Aguardando Aprovação"),"Pendência de TACH",IF(AND(C14&gt;0,L14="Aprovado"),"Sem Pendência de TACH"))))))))))))))))))))))))</f>
        <v>Pendência de TACH</v>
      </c>
    </row>
    <row r="15" spans="1:14">
      <c r="A15" s="1">
        <v>90003306</v>
      </c>
      <c r="B15" t="s">
        <v>43</v>
      </c>
      <c r="C15" s="2">
        <v>8</v>
      </c>
      <c r="D15" s="2" t="s">
        <v>29</v>
      </c>
      <c r="E15" t="s">
        <v>22</v>
      </c>
      <c r="F15" t="s">
        <v>23</v>
      </c>
      <c r="G15" t="s">
        <v>163</v>
      </c>
      <c r="H15" t="s">
        <v>132</v>
      </c>
      <c r="I15" t="s">
        <v>132</v>
      </c>
      <c r="J15" t="s">
        <v>132</v>
      </c>
      <c r="K15" t="s">
        <v>132</v>
      </c>
      <c r="L15" t="s">
        <v>132</v>
      </c>
      <c r="M15" t="str">
        <f t="shared" si="0"/>
        <v>Pendência de Agenda</v>
      </c>
      <c r="N15" t="str" cm="1">
        <f t="array" ref="N15">IF(AND(C15&gt;0,I15="Finalizado"),"Pendência de TACH",IF(AND(C15&gt;0,I15="Não Criado"),"Pendência de TACH",IF(AND(C15&gt;0,I15="Rascunho"),"Pendência de TACH",IF(AND(C15&gt;0,I15="NECESSÁRIO AJUSTAR"),"Pendência de TACH",IF(AND(C15&gt;0,I15="Aguardando Aprovação"),"Pendência de TACH",IF(AND(C15&gt;0,I15="Aprovado"),"Sem Pendência de TACH",IF(AND(C15&gt;0,J15="Finalizado"),"Pendência de TACH",IF(AND(C15&gt;0,J15="Não Criado"),"Pendência de TACH",IF(AND(C15&gt;0,J15="Rascunho"),"Pendência de TACH",IF(AND(C15&gt;0,J15="NECESSÁRIO AJUSTAR"),"Pendência de TACH",IF(AND(C15&gt;0,J15="Aguardando Aprovação"),"Pendência de TACH",IF(AND(C15&gt;0,J15="Aprovado"),"Sem Pendência de TACH",IF(AND(C15&gt;0,K15="Finalizado"),"Pendência de TACH",IF(AND(C15&gt;0,K15="Não Criado"),"Pendência de TACH",IF(AND(C15&gt;0,K15="Rascunho"),"Pendência de TACH",IF(AND(C15&gt;0,K15="NECESSÁRIO AJUSTAR"),"Pendência de TACH",IF(AND(C15&gt;0,K15="Aguardando Aprovação"),"Pendência de TACH",IF(AND(C15&gt;0,K15="Aprovado"),"Sem Pendência de TACH",IF(AND(C15&gt;0,KL="Finalizado"),"Pendência de TACH",IF(AND(C15&gt;0,KL="Não Criado"),"Pendência de TACH",IF(AND(C15&gt;0,KL="Rascunho"),"Pendência de TACH",IF(AND(C15&gt;0,L15="NECESSÁRIO AJUSTAR"),"Pendência de TACH",IF(AND(C15&gt;0,L15="Aguardando Aprovação"),"Pendência de TACH",IF(AND(C15&gt;0,L15="Aprovado"),"Sem Pendência de TACH"))))))))))))))))))))))))</f>
        <v>Pendência de TACH</v>
      </c>
    </row>
    <row r="16" spans="1:14">
      <c r="A16" s="1">
        <v>90013958</v>
      </c>
      <c r="B16" t="s">
        <v>90</v>
      </c>
      <c r="C16" s="2">
        <v>2</v>
      </c>
      <c r="D16" s="2" t="s">
        <v>8</v>
      </c>
      <c r="E16" t="s">
        <v>6</v>
      </c>
      <c r="F16" t="s">
        <v>41</v>
      </c>
      <c r="G16" t="s">
        <v>163</v>
      </c>
      <c r="H16" t="s">
        <v>132</v>
      </c>
      <c r="I16" t="s">
        <v>132</v>
      </c>
      <c r="J16" t="s">
        <v>132</v>
      </c>
      <c r="K16" t="s">
        <v>132</v>
      </c>
      <c r="L16" t="s">
        <v>132</v>
      </c>
      <c r="M16" t="str">
        <f t="shared" si="0"/>
        <v>Pendência de Agenda</v>
      </c>
      <c r="N16" t="str" cm="1">
        <f t="array" ref="N16">IF(AND(C16&gt;0,I16="Finalizado"),"Pendência de TACH",IF(AND(C16&gt;0,I16="Não Criado"),"Pendência de TACH",IF(AND(C16&gt;0,I16="Rascunho"),"Pendência de TACH",IF(AND(C16&gt;0,I16="NECESSÁRIO AJUSTAR"),"Pendência de TACH",IF(AND(C16&gt;0,I16="Aguardando Aprovação"),"Pendência de TACH",IF(AND(C16&gt;0,I16="Aprovado"),"Sem Pendência de TACH",IF(AND(C16&gt;0,J16="Finalizado"),"Pendência de TACH",IF(AND(C16&gt;0,J16="Não Criado"),"Pendência de TACH",IF(AND(C16&gt;0,J16="Rascunho"),"Pendência de TACH",IF(AND(C16&gt;0,J16="NECESSÁRIO AJUSTAR"),"Pendência de TACH",IF(AND(C16&gt;0,J16="Aguardando Aprovação"),"Pendência de TACH",IF(AND(C16&gt;0,J16="Aprovado"),"Sem Pendência de TACH",IF(AND(C16&gt;0,K16="Finalizado"),"Pendência de TACH",IF(AND(C16&gt;0,K16="Não Criado"),"Pendência de TACH",IF(AND(C16&gt;0,K16="Rascunho"),"Pendência de TACH",IF(AND(C16&gt;0,K16="NECESSÁRIO AJUSTAR"),"Pendência de TACH",IF(AND(C16&gt;0,K16="Aguardando Aprovação"),"Pendência de TACH",IF(AND(C16&gt;0,K16="Aprovado"),"Sem Pendência de TACH",IF(AND(C16&gt;0,KL="Finalizado"),"Pendência de TACH",IF(AND(C16&gt;0,KL="Não Criado"),"Pendência de TACH",IF(AND(C16&gt;0,KL="Rascunho"),"Pendência de TACH",IF(AND(C16&gt;0,L16="NECESSÁRIO AJUSTAR"),"Pendência de TACH",IF(AND(C16&gt;0,L16="Aguardando Aprovação"),"Pendência de TACH",IF(AND(C16&gt;0,L16="Aprovado"),"Sem Pendência de TACH"))))))))))))))))))))))))</f>
        <v>Pendência de TACH</v>
      </c>
    </row>
    <row r="17" spans="1:14">
      <c r="A17" s="1">
        <v>90002614</v>
      </c>
      <c r="B17" t="s">
        <v>44</v>
      </c>
      <c r="C17" s="2">
        <v>2</v>
      </c>
      <c r="D17" s="2" t="s">
        <v>8</v>
      </c>
      <c r="E17" t="s">
        <v>6</v>
      </c>
      <c r="F17" t="s">
        <v>45</v>
      </c>
      <c r="G17" t="s">
        <v>163</v>
      </c>
      <c r="H17" t="s">
        <v>133</v>
      </c>
      <c r="I17" t="s">
        <v>133</v>
      </c>
      <c r="J17" t="s">
        <v>133</v>
      </c>
      <c r="K17" t="s">
        <v>133</v>
      </c>
      <c r="L17" t="s">
        <v>133</v>
      </c>
      <c r="M17" t="str">
        <f t="shared" si="0"/>
        <v>Pendência de Agenda</v>
      </c>
      <c r="N17" t="str" cm="1">
        <f t="array" ref="N17">IF(AND(C17&gt;0,I17="Finalizado"),"Pendência de TACH",IF(AND(C17&gt;0,I17="Não Criado"),"Pendência de TACH",IF(AND(C17&gt;0,I17="Rascunho"),"Pendência de TACH",IF(AND(C17&gt;0,I17="NECESSÁRIO AJUSTAR"),"Pendência de TACH",IF(AND(C17&gt;0,I17="Aguardando Aprovação"),"Pendência de TACH",IF(AND(C17&gt;0,I17="Aprovado"),"Sem Pendência de TACH",IF(AND(C17&gt;0,J17="Finalizado"),"Pendência de TACH",IF(AND(C17&gt;0,J17="Não Criado"),"Pendência de TACH",IF(AND(C17&gt;0,J17="Rascunho"),"Pendência de TACH",IF(AND(C17&gt;0,J17="NECESSÁRIO AJUSTAR"),"Pendência de TACH",IF(AND(C17&gt;0,J17="Aguardando Aprovação"),"Pendência de TACH",IF(AND(C17&gt;0,J17="Aprovado"),"Sem Pendência de TACH",IF(AND(C17&gt;0,K17="Finalizado"),"Pendência de TACH",IF(AND(C17&gt;0,K17="Não Criado"),"Pendência de TACH",IF(AND(C17&gt;0,K17="Rascunho"),"Pendência de TACH",IF(AND(C17&gt;0,K17="NECESSÁRIO AJUSTAR"),"Pendência de TACH",IF(AND(C17&gt;0,K17="Aguardando Aprovação"),"Pendência de TACH",IF(AND(C17&gt;0,K17="Aprovado"),"Sem Pendência de TACH",IF(AND(C17&gt;0,KL="Finalizado"),"Pendência de TACH",IF(AND(C17&gt;0,KL="Não Criado"),"Pendência de TACH",IF(AND(C17&gt;0,KL="Rascunho"),"Pendência de TACH",IF(AND(C17&gt;0,L17="NECESSÁRIO AJUSTAR"),"Pendência de TACH",IF(AND(C17&gt;0,L17="Aguardando Aprovação"),"Pendência de TACH",IF(AND(C17&gt;0,L17="Aprovado"),"Sem Pendência de TACH"))))))))))))))))))))))))</f>
        <v>Sem Pendência de TACH</v>
      </c>
    </row>
    <row r="18" spans="1:14">
      <c r="A18" s="1">
        <v>90006746</v>
      </c>
      <c r="B18" t="s">
        <v>47</v>
      </c>
      <c r="C18" s="2">
        <v>8</v>
      </c>
      <c r="D18" s="2" t="s">
        <v>29</v>
      </c>
      <c r="E18" t="s">
        <v>6</v>
      </c>
      <c r="F18" t="s">
        <v>10</v>
      </c>
      <c r="G18" t="s">
        <v>163</v>
      </c>
      <c r="H18" t="s">
        <v>135</v>
      </c>
      <c r="I18" t="s">
        <v>135</v>
      </c>
      <c r="J18" t="s">
        <v>135</v>
      </c>
      <c r="K18" t="s">
        <v>135</v>
      </c>
      <c r="L18" t="s">
        <v>135</v>
      </c>
      <c r="M18" t="str">
        <f t="shared" si="0"/>
        <v>Pendência de Agenda</v>
      </c>
      <c r="N18" t="str" cm="1">
        <f t="array" ref="N18">IF(AND(C18&gt;0,I18="Finalizado"),"Pendência de TACH",IF(AND(C18&gt;0,I18="Não Criado"),"Pendência de TACH",IF(AND(C18&gt;0,I18="Rascunho"),"Pendência de TACH",IF(AND(C18&gt;0,I18="NECESSÁRIO AJUSTAR"),"Pendência de TACH",IF(AND(C18&gt;0,I18="Aguardando Aprovação"),"Pendência de TACH",IF(AND(C18&gt;0,I18="Aprovado"),"Sem Pendência de TACH",IF(AND(C18&gt;0,J18="Finalizado"),"Pendência de TACH",IF(AND(C18&gt;0,J18="Não Criado"),"Pendência de TACH",IF(AND(C18&gt;0,J18="Rascunho"),"Pendência de TACH",IF(AND(C18&gt;0,J18="NECESSÁRIO AJUSTAR"),"Pendência de TACH",IF(AND(C18&gt;0,J18="Aguardando Aprovação"),"Pendência de TACH",IF(AND(C18&gt;0,J18="Aprovado"),"Sem Pendência de TACH",IF(AND(C18&gt;0,K18="Finalizado"),"Pendência de TACH",IF(AND(C18&gt;0,K18="Não Criado"),"Pendência de TACH",IF(AND(C18&gt;0,K18="Rascunho"),"Pendência de TACH",IF(AND(C18&gt;0,K18="NECESSÁRIO AJUSTAR"),"Pendência de TACH",IF(AND(C18&gt;0,K18="Aguardando Aprovação"),"Pendência de TACH",IF(AND(C18&gt;0,K18="Aprovado"),"Sem Pendência de TACH",IF(AND(C18&gt;0,KL="Finalizado"),"Pendência de TACH",IF(AND(C18&gt;0,KL="Não Criado"),"Pendência de TACH",IF(AND(C18&gt;0,KL="Rascunho"),"Pendência de TACH",IF(AND(C18&gt;0,L18="NECESSÁRIO AJUSTAR"),"Pendência de TACH",IF(AND(C18&gt;0,L18="Aguardando Aprovação"),"Pendência de TACH",IF(AND(C18&gt;0,L18="Aprovado"),"Sem Pendência de TACH"))))))))))))))))))))))))</f>
        <v>Pendência de TACH</v>
      </c>
    </row>
    <row r="19" spans="1:14">
      <c r="A19" s="1">
        <v>26165</v>
      </c>
      <c r="B19" t="s">
        <v>197</v>
      </c>
      <c r="C19" s="2">
        <v>15</v>
      </c>
      <c r="D19" s="2" t="s">
        <v>48</v>
      </c>
      <c r="E19" t="s">
        <v>6</v>
      </c>
      <c r="F19" t="s">
        <v>49</v>
      </c>
      <c r="G19" t="s">
        <v>163</v>
      </c>
      <c r="H19" t="s">
        <v>133</v>
      </c>
      <c r="I19" t="s">
        <v>133</v>
      </c>
      <c r="J19" t="s">
        <v>133</v>
      </c>
      <c r="K19" t="s">
        <v>133</v>
      </c>
      <c r="L19" t="s">
        <v>133</v>
      </c>
      <c r="M19" t="str">
        <f t="shared" si="0"/>
        <v>Pendência de Agenda</v>
      </c>
      <c r="N19" t="str" cm="1">
        <f t="array" ref="N19">IF(AND(C19&gt;0,I19="Finalizado"),"Pendência de TACH",IF(AND(C19&gt;0,I19="Não Criado"),"Pendência de TACH",IF(AND(C19&gt;0,I19="Rascunho"),"Pendência de TACH",IF(AND(C19&gt;0,I19="NECESSÁRIO AJUSTAR"),"Pendência de TACH",IF(AND(C19&gt;0,I19="Aguardando Aprovação"),"Pendência de TACH",IF(AND(C19&gt;0,I19="Aprovado"),"Sem Pendência de TACH",IF(AND(C19&gt;0,J19="Finalizado"),"Pendência de TACH",IF(AND(C19&gt;0,J19="Não Criado"),"Pendência de TACH",IF(AND(C19&gt;0,J19="Rascunho"),"Pendência de TACH",IF(AND(C19&gt;0,J19="NECESSÁRIO AJUSTAR"),"Pendência de TACH",IF(AND(C19&gt;0,J19="Aguardando Aprovação"),"Pendência de TACH",IF(AND(C19&gt;0,J19="Aprovado"),"Sem Pendência de TACH",IF(AND(C19&gt;0,K19="Finalizado"),"Pendência de TACH",IF(AND(C19&gt;0,K19="Não Criado"),"Pendência de TACH",IF(AND(C19&gt;0,K19="Rascunho"),"Pendência de TACH",IF(AND(C19&gt;0,K19="NECESSÁRIO AJUSTAR"),"Pendência de TACH",IF(AND(C19&gt;0,K19="Aguardando Aprovação"),"Pendência de TACH",IF(AND(C19&gt;0,K19="Aprovado"),"Sem Pendência de TACH",IF(AND(C19&gt;0,KL="Finalizado"),"Pendência de TACH",IF(AND(C19&gt;0,KL="Não Criado"),"Pendência de TACH",IF(AND(C19&gt;0,KL="Rascunho"),"Pendência de TACH",IF(AND(C19&gt;0,L19="NECESSÁRIO AJUSTAR"),"Pendência de TACH",IF(AND(C19&gt;0,L19="Aguardando Aprovação"),"Pendência de TACH",IF(AND(C19&gt;0,L19="Aprovado"),"Sem Pendência de TACH"))))))))))))))))))))))))</f>
        <v>Sem Pendência de TACH</v>
      </c>
    </row>
    <row r="20" spans="1:14">
      <c r="A20" s="1">
        <v>90013639</v>
      </c>
      <c r="B20" t="s">
        <v>53</v>
      </c>
      <c r="C20" s="2">
        <v>14</v>
      </c>
      <c r="D20" s="2" t="s">
        <v>46</v>
      </c>
      <c r="E20" t="s">
        <v>6</v>
      </c>
      <c r="F20" t="s">
        <v>27</v>
      </c>
      <c r="G20" t="s">
        <v>163</v>
      </c>
      <c r="H20" t="s">
        <v>133</v>
      </c>
      <c r="I20" t="s">
        <v>133</v>
      </c>
      <c r="J20" t="s">
        <v>133</v>
      </c>
      <c r="K20" t="s">
        <v>133</v>
      </c>
      <c r="L20" t="s">
        <v>133</v>
      </c>
      <c r="M20" t="str">
        <f t="shared" si="0"/>
        <v>Pendência de Agenda</v>
      </c>
      <c r="N20" t="str" cm="1">
        <f t="array" ref="N20">IF(AND(C20&gt;0,I20="Finalizado"),"Pendência de TACH",IF(AND(C20&gt;0,I20="Não Criado"),"Pendência de TACH",IF(AND(C20&gt;0,I20="Rascunho"),"Pendência de TACH",IF(AND(C20&gt;0,I20="NECESSÁRIO AJUSTAR"),"Pendência de TACH",IF(AND(C20&gt;0,I20="Aguardando Aprovação"),"Pendência de TACH",IF(AND(C20&gt;0,I20="Aprovado"),"Sem Pendência de TACH",IF(AND(C20&gt;0,J20="Finalizado"),"Pendência de TACH",IF(AND(C20&gt;0,J20="Não Criado"),"Pendência de TACH",IF(AND(C20&gt;0,J20="Rascunho"),"Pendência de TACH",IF(AND(C20&gt;0,J20="NECESSÁRIO AJUSTAR"),"Pendência de TACH",IF(AND(C20&gt;0,J20="Aguardando Aprovação"),"Pendência de TACH",IF(AND(C20&gt;0,J20="Aprovado"),"Sem Pendência de TACH",IF(AND(C20&gt;0,K20="Finalizado"),"Pendência de TACH",IF(AND(C20&gt;0,K20="Não Criado"),"Pendência de TACH",IF(AND(C20&gt;0,K20="Rascunho"),"Pendência de TACH",IF(AND(C20&gt;0,K20="NECESSÁRIO AJUSTAR"),"Pendência de TACH",IF(AND(C20&gt;0,K20="Aguardando Aprovação"),"Pendência de TACH",IF(AND(C20&gt;0,K20="Aprovado"),"Sem Pendência de TACH",IF(AND(C20&gt;0,KL="Finalizado"),"Pendência de TACH",IF(AND(C20&gt;0,KL="Não Criado"),"Pendência de TACH",IF(AND(C20&gt;0,KL="Rascunho"),"Pendência de TACH",IF(AND(C20&gt;0,L20="NECESSÁRIO AJUSTAR"),"Pendência de TACH",IF(AND(C20&gt;0,L20="Aguardando Aprovação"),"Pendência de TACH",IF(AND(C20&gt;0,L20="Aprovado"),"Sem Pendência de TACH"))))))))))))))))))))))))</f>
        <v>Sem Pendência de TACH</v>
      </c>
    </row>
    <row r="21" spans="1:14">
      <c r="A21" s="1">
        <v>90013147</v>
      </c>
      <c r="B21" t="s">
        <v>154</v>
      </c>
      <c r="C21" s="2">
        <v>21</v>
      </c>
      <c r="D21" s="2" t="s">
        <v>201</v>
      </c>
      <c r="E21" t="s">
        <v>6</v>
      </c>
      <c r="F21" t="s">
        <v>10</v>
      </c>
      <c r="G21" t="s">
        <v>163</v>
      </c>
      <c r="H21" t="s">
        <v>130</v>
      </c>
      <c r="I21" t="s">
        <v>131</v>
      </c>
      <c r="J21" t="s">
        <v>131</v>
      </c>
      <c r="K21" t="s">
        <v>133</v>
      </c>
      <c r="L21" t="s">
        <v>133</v>
      </c>
      <c r="M21" t="str">
        <f t="shared" si="0"/>
        <v>Pendência de Agenda</v>
      </c>
      <c r="N21" t="str" cm="1">
        <f t="array" ref="N21">IF(AND(C21&gt;0,I21="Finalizado"),"Pendência de TACH",IF(AND(C21&gt;0,I21="Não Criado"),"Pendência de TACH",IF(AND(C21&gt;0,I21="Rascunho"),"Pendência de TACH",IF(AND(C21&gt;0,I21="NECESSÁRIO AJUSTAR"),"Pendência de TACH",IF(AND(C21&gt;0,I21="Aguardando Aprovação"),"Pendência de TACH",IF(AND(C21&gt;0,I21="Aprovado"),"Sem Pendência de TACH",IF(AND(C21&gt;0,J21="Finalizado"),"Pendência de TACH",IF(AND(C21&gt;0,J21="Não Criado"),"Pendência de TACH",IF(AND(C21&gt;0,J21="Rascunho"),"Pendência de TACH",IF(AND(C21&gt;0,J21="NECESSÁRIO AJUSTAR"),"Pendência de TACH",IF(AND(C21&gt;0,J21="Aguardando Aprovação"),"Pendência de TACH",IF(AND(C21&gt;0,J21="Aprovado"),"Sem Pendência de TACH",IF(AND(C21&gt;0,K21="Finalizado"),"Pendência de TACH",IF(AND(C21&gt;0,K21="Não Criado"),"Pendência de TACH",IF(AND(C21&gt;0,K21="Rascunho"),"Pendência de TACH",IF(AND(C21&gt;0,K21="NECESSÁRIO AJUSTAR"),"Pendência de TACH",IF(AND(C21&gt;0,K21="Aguardando Aprovação"),"Pendência de TACH",IF(AND(C21&gt;0,K21="Aprovado"),"Sem Pendência de TACH",IF(AND(C21&gt;0,KL="Finalizado"),"Pendência de TACH",IF(AND(C21&gt;0,KL="Não Criado"),"Pendência de TACH",IF(AND(C21&gt;0,KL="Rascunho"),"Pendência de TACH",IF(AND(C21&gt;0,L21="NECESSÁRIO AJUSTAR"),"Pendência de TACH",IF(AND(C21&gt;0,L21="Aguardando Aprovação"),"Pendência de TACH",IF(AND(C21&gt;0,L21="Aprovado"),"Sem Pendência de TACH"))))))))))))))))))))))))</f>
        <v>Pendência de TACH</v>
      </c>
    </row>
    <row r="22" spans="1:14">
      <c r="A22" s="1">
        <v>90001409</v>
      </c>
      <c r="B22" t="s">
        <v>82</v>
      </c>
      <c r="C22" s="2">
        <v>20</v>
      </c>
      <c r="D22" s="2" t="s">
        <v>59</v>
      </c>
      <c r="E22" t="s">
        <v>22</v>
      </c>
      <c r="F22" t="s">
        <v>23</v>
      </c>
      <c r="G22" t="s">
        <v>163</v>
      </c>
      <c r="H22" t="s">
        <v>132</v>
      </c>
      <c r="I22" t="s">
        <v>132</v>
      </c>
      <c r="J22" t="s">
        <v>132</v>
      </c>
      <c r="K22" t="s">
        <v>132</v>
      </c>
      <c r="L22" t="s">
        <v>132</v>
      </c>
      <c r="M22" t="str">
        <f t="shared" si="0"/>
        <v>Pendência de Agenda</v>
      </c>
      <c r="N22" t="str" cm="1">
        <f t="array" ref="N22">IF(AND(C22&gt;0,I22="Finalizado"),"Pendência de TACH",IF(AND(C22&gt;0,I22="Não Criado"),"Pendência de TACH",IF(AND(C22&gt;0,I22="Rascunho"),"Pendência de TACH",IF(AND(C22&gt;0,I22="NECESSÁRIO AJUSTAR"),"Pendência de TACH",IF(AND(C22&gt;0,I22="Aguardando Aprovação"),"Pendência de TACH",IF(AND(C22&gt;0,I22="Aprovado"),"Sem Pendência de TACH",IF(AND(C22&gt;0,J22="Finalizado"),"Pendência de TACH",IF(AND(C22&gt;0,J22="Não Criado"),"Pendência de TACH",IF(AND(C22&gt;0,J22="Rascunho"),"Pendência de TACH",IF(AND(C22&gt;0,J22="NECESSÁRIO AJUSTAR"),"Pendência de TACH",IF(AND(C22&gt;0,J22="Aguardando Aprovação"),"Pendência de TACH",IF(AND(C22&gt;0,J22="Aprovado"),"Sem Pendência de TACH",IF(AND(C22&gt;0,K22="Finalizado"),"Pendência de TACH",IF(AND(C22&gt;0,K22="Não Criado"),"Pendência de TACH",IF(AND(C22&gt;0,K22="Rascunho"),"Pendência de TACH",IF(AND(C22&gt;0,K22="NECESSÁRIO AJUSTAR"),"Pendência de TACH",IF(AND(C22&gt;0,K22="Aguardando Aprovação"),"Pendência de TACH",IF(AND(C22&gt;0,K22="Aprovado"),"Sem Pendência de TACH",IF(AND(C22&gt;0,KL="Finalizado"),"Pendência de TACH",IF(AND(C22&gt;0,KL="Não Criado"),"Pendência de TACH",IF(AND(C22&gt;0,KL="Rascunho"),"Pendência de TACH",IF(AND(C22&gt;0,L22="NECESSÁRIO AJUSTAR"),"Pendência de TACH",IF(AND(C22&gt;0,L22="Aguardando Aprovação"),"Pendência de TACH",IF(AND(C22&gt;0,L22="Aprovado"),"Sem Pendência de TACH"))))))))))))))))))))))))</f>
        <v>Pendência de TACH</v>
      </c>
    </row>
    <row r="23" spans="1:14">
      <c r="A23" s="1">
        <v>6792</v>
      </c>
      <c r="B23" t="s">
        <v>56</v>
      </c>
      <c r="C23" s="2">
        <v>4</v>
      </c>
      <c r="D23" s="2" t="s">
        <v>5</v>
      </c>
      <c r="E23" t="s">
        <v>6</v>
      </c>
      <c r="F23" t="s">
        <v>9</v>
      </c>
      <c r="G23" t="s">
        <v>163</v>
      </c>
      <c r="H23" t="s">
        <v>133</v>
      </c>
      <c r="I23" t="s">
        <v>133</v>
      </c>
      <c r="J23" t="s">
        <v>133</v>
      </c>
      <c r="K23" t="s">
        <v>133</v>
      </c>
      <c r="L23" t="s">
        <v>133</v>
      </c>
      <c r="M23" t="str">
        <f t="shared" si="0"/>
        <v>Pendência de Agenda</v>
      </c>
      <c r="N23" t="str" cm="1">
        <f t="array" ref="N23">IF(AND(C23&gt;0,I23="Finalizado"),"Pendência de TACH",IF(AND(C23&gt;0,I23="Não Criado"),"Pendência de TACH",IF(AND(C23&gt;0,I23="Rascunho"),"Pendência de TACH",IF(AND(C23&gt;0,I23="NECESSÁRIO AJUSTAR"),"Pendência de TACH",IF(AND(C23&gt;0,I23="Aguardando Aprovação"),"Pendência de TACH",IF(AND(C23&gt;0,I23="Aprovado"),"Sem Pendência de TACH",IF(AND(C23&gt;0,J23="Finalizado"),"Pendência de TACH",IF(AND(C23&gt;0,J23="Não Criado"),"Pendência de TACH",IF(AND(C23&gt;0,J23="Rascunho"),"Pendência de TACH",IF(AND(C23&gt;0,J23="NECESSÁRIO AJUSTAR"),"Pendência de TACH",IF(AND(C23&gt;0,J23="Aguardando Aprovação"),"Pendência de TACH",IF(AND(C23&gt;0,J23="Aprovado"),"Sem Pendência de TACH",IF(AND(C23&gt;0,K23="Finalizado"),"Pendência de TACH",IF(AND(C23&gt;0,K23="Não Criado"),"Pendência de TACH",IF(AND(C23&gt;0,K23="Rascunho"),"Pendência de TACH",IF(AND(C23&gt;0,K23="NECESSÁRIO AJUSTAR"),"Pendência de TACH",IF(AND(C23&gt;0,K23="Aguardando Aprovação"),"Pendência de TACH",IF(AND(C23&gt;0,K23="Aprovado"),"Sem Pendência de TACH",IF(AND(C23&gt;0,KL="Finalizado"),"Pendência de TACH",IF(AND(C23&gt;0,KL="Não Criado"),"Pendência de TACH",IF(AND(C23&gt;0,KL="Rascunho"),"Pendência de TACH",IF(AND(C23&gt;0,L23="NECESSÁRIO AJUSTAR"),"Pendência de TACH",IF(AND(C23&gt;0,L23="Aguardando Aprovação"),"Pendência de TACH",IF(AND(C23&gt;0,L23="Aprovado"),"Sem Pendência de TACH"))))))))))))))))))))))))</f>
        <v>Sem Pendência de TACH</v>
      </c>
    </row>
    <row r="24" spans="1:14">
      <c r="A24" s="1">
        <v>90004950</v>
      </c>
      <c r="B24" t="s">
        <v>57</v>
      </c>
      <c r="C24" s="2">
        <v>5</v>
      </c>
      <c r="D24" s="2" t="s">
        <v>14</v>
      </c>
      <c r="E24" t="s">
        <v>6</v>
      </c>
      <c r="F24" t="s">
        <v>10</v>
      </c>
      <c r="G24" t="s">
        <v>163</v>
      </c>
      <c r="H24" t="s">
        <v>134</v>
      </c>
      <c r="I24" t="s">
        <v>134</v>
      </c>
      <c r="J24" t="s">
        <v>134</v>
      </c>
      <c r="K24" t="s">
        <v>134</v>
      </c>
      <c r="L24" t="s">
        <v>134</v>
      </c>
      <c r="M24" t="str">
        <f t="shared" si="0"/>
        <v>Pendência de Agenda</v>
      </c>
      <c r="N24" t="str" cm="1">
        <f t="array" ref="N24">IF(AND(C24&gt;0,I24="Finalizado"),"Pendência de TACH",IF(AND(C24&gt;0,I24="Não Criado"),"Pendência de TACH",IF(AND(C24&gt;0,I24="Rascunho"),"Pendência de TACH",IF(AND(C24&gt;0,I24="NECESSÁRIO AJUSTAR"),"Pendência de TACH",IF(AND(C24&gt;0,I24="Aguardando Aprovação"),"Pendência de TACH",IF(AND(C24&gt;0,I24="Aprovado"),"Sem Pendência de TACH",IF(AND(C24&gt;0,J24="Finalizado"),"Pendência de TACH",IF(AND(C24&gt;0,J24="Não Criado"),"Pendência de TACH",IF(AND(C24&gt;0,J24="Rascunho"),"Pendência de TACH",IF(AND(C24&gt;0,J24="NECESSÁRIO AJUSTAR"),"Pendência de TACH",IF(AND(C24&gt;0,J24="Aguardando Aprovação"),"Pendência de TACH",IF(AND(C24&gt;0,J24="Aprovado"),"Sem Pendência de TACH",IF(AND(C24&gt;0,K24="Finalizado"),"Pendência de TACH",IF(AND(C24&gt;0,K24="Não Criado"),"Pendência de TACH",IF(AND(C24&gt;0,K24="Rascunho"),"Pendência de TACH",IF(AND(C24&gt;0,K24="NECESSÁRIO AJUSTAR"),"Pendência de TACH",IF(AND(C24&gt;0,K24="Aguardando Aprovação"),"Pendência de TACH",IF(AND(C24&gt;0,K24="Aprovado"),"Sem Pendência de TACH",IF(AND(C24&gt;0,KL="Finalizado"),"Pendência de TACH",IF(AND(C24&gt;0,KL="Não Criado"),"Pendência de TACH",IF(AND(C24&gt;0,KL="Rascunho"),"Pendência de TACH",IF(AND(C24&gt;0,L24="NECESSÁRIO AJUSTAR"),"Pendência de TACH",IF(AND(C24&gt;0,L24="Aguardando Aprovação"),"Pendência de TACH",IF(AND(C24&gt;0,L24="Aprovado"),"Sem Pendência de TACH"))))))))))))))))))))))))</f>
        <v>Pendência de TACH</v>
      </c>
    </row>
    <row r="25" spans="1:14">
      <c r="A25" s="1">
        <v>3363</v>
      </c>
      <c r="B25" t="s">
        <v>91</v>
      </c>
      <c r="C25" s="2">
        <v>4</v>
      </c>
      <c r="D25" s="2" t="s">
        <v>5</v>
      </c>
      <c r="E25" t="s">
        <v>6</v>
      </c>
      <c r="F25" t="s">
        <v>9</v>
      </c>
      <c r="G25" t="s">
        <v>163</v>
      </c>
      <c r="H25" t="s">
        <v>132</v>
      </c>
      <c r="I25" t="s">
        <v>132</v>
      </c>
      <c r="J25" t="s">
        <v>132</v>
      </c>
      <c r="K25" t="s">
        <v>132</v>
      </c>
      <c r="L25" t="s">
        <v>132</v>
      </c>
      <c r="M25" t="str">
        <f t="shared" si="0"/>
        <v>Pendência de Agenda</v>
      </c>
      <c r="N25" t="str" cm="1">
        <f t="array" ref="N25">IF(AND(C25&gt;0,I25="Finalizado"),"Pendência de TACH",IF(AND(C25&gt;0,I25="Não Criado"),"Pendência de TACH",IF(AND(C25&gt;0,I25="Rascunho"),"Pendência de TACH",IF(AND(C25&gt;0,I25="NECESSÁRIO AJUSTAR"),"Pendência de TACH",IF(AND(C25&gt;0,I25="Aguardando Aprovação"),"Pendência de TACH",IF(AND(C25&gt;0,I25="Aprovado"),"Sem Pendência de TACH",IF(AND(C25&gt;0,J25="Finalizado"),"Pendência de TACH",IF(AND(C25&gt;0,J25="Não Criado"),"Pendência de TACH",IF(AND(C25&gt;0,J25="Rascunho"),"Pendência de TACH",IF(AND(C25&gt;0,J25="NECESSÁRIO AJUSTAR"),"Pendência de TACH",IF(AND(C25&gt;0,J25="Aguardando Aprovação"),"Pendência de TACH",IF(AND(C25&gt;0,J25="Aprovado"),"Sem Pendência de TACH",IF(AND(C25&gt;0,K25="Finalizado"),"Pendência de TACH",IF(AND(C25&gt;0,K25="Não Criado"),"Pendência de TACH",IF(AND(C25&gt;0,K25="Rascunho"),"Pendência de TACH",IF(AND(C25&gt;0,K25="NECESSÁRIO AJUSTAR"),"Pendência de TACH",IF(AND(C25&gt;0,K25="Aguardando Aprovação"),"Pendência de TACH",IF(AND(C25&gt;0,K25="Aprovado"),"Sem Pendência de TACH",IF(AND(C25&gt;0,KL="Finalizado"),"Pendência de TACH",IF(AND(C25&gt;0,KL="Não Criado"),"Pendência de TACH",IF(AND(C25&gt;0,KL="Rascunho"),"Pendência de TACH",IF(AND(C25&gt;0,L25="NECESSÁRIO AJUSTAR"),"Pendência de TACH",IF(AND(C25&gt;0,L25="Aguardando Aprovação"),"Pendência de TACH",IF(AND(C25&gt;0,L25="Aprovado"),"Sem Pendência de TACH"))))))))))))))))))))))))</f>
        <v>Pendência de TACH</v>
      </c>
    </row>
    <row r="26" spans="1:14">
      <c r="A26" s="1">
        <v>90013729</v>
      </c>
      <c r="B26" t="s">
        <v>60</v>
      </c>
      <c r="C26" s="2">
        <v>7</v>
      </c>
      <c r="D26" s="2" t="s">
        <v>26</v>
      </c>
      <c r="E26" t="s">
        <v>203</v>
      </c>
      <c r="F26" t="s">
        <v>74</v>
      </c>
      <c r="G26" t="s">
        <v>163</v>
      </c>
      <c r="H26" t="s">
        <v>133</v>
      </c>
      <c r="I26" t="s">
        <v>133</v>
      </c>
      <c r="J26" t="s">
        <v>133</v>
      </c>
      <c r="K26" t="s">
        <v>133</v>
      </c>
      <c r="L26" t="s">
        <v>133</v>
      </c>
      <c r="M26" t="str">
        <f t="shared" si="0"/>
        <v>Pendência de Agenda</v>
      </c>
      <c r="N26" t="str" cm="1">
        <f t="array" ref="N26">IF(AND(C26&gt;0,I26="Finalizado"),"Pendência de TACH",IF(AND(C26&gt;0,I26="Não Criado"),"Pendência de TACH",IF(AND(C26&gt;0,I26="Rascunho"),"Pendência de TACH",IF(AND(C26&gt;0,I26="NECESSÁRIO AJUSTAR"),"Pendência de TACH",IF(AND(C26&gt;0,I26="Aguardando Aprovação"),"Pendência de TACH",IF(AND(C26&gt;0,I26="Aprovado"),"Sem Pendência de TACH",IF(AND(C26&gt;0,J26="Finalizado"),"Pendência de TACH",IF(AND(C26&gt;0,J26="Não Criado"),"Pendência de TACH",IF(AND(C26&gt;0,J26="Rascunho"),"Pendência de TACH",IF(AND(C26&gt;0,J26="NECESSÁRIO AJUSTAR"),"Pendência de TACH",IF(AND(C26&gt;0,J26="Aguardando Aprovação"),"Pendência de TACH",IF(AND(C26&gt;0,J26="Aprovado"),"Sem Pendência de TACH",IF(AND(C26&gt;0,K26="Finalizado"),"Pendência de TACH",IF(AND(C26&gt;0,K26="Não Criado"),"Pendência de TACH",IF(AND(C26&gt;0,K26="Rascunho"),"Pendência de TACH",IF(AND(C26&gt;0,K26="NECESSÁRIO AJUSTAR"),"Pendência de TACH",IF(AND(C26&gt;0,K26="Aguardando Aprovação"),"Pendência de TACH",IF(AND(C26&gt;0,K26="Aprovado"),"Sem Pendência de TACH",IF(AND(C26&gt;0,KL="Finalizado"),"Pendência de TACH",IF(AND(C26&gt;0,KL="Não Criado"),"Pendência de TACH",IF(AND(C26&gt;0,KL="Rascunho"),"Pendência de TACH",IF(AND(C26&gt;0,L26="NECESSÁRIO AJUSTAR"),"Pendência de TACH",IF(AND(C26&gt;0,L26="Aguardando Aprovação"),"Pendência de TACH",IF(AND(C26&gt;0,L26="Aprovado"),"Sem Pendência de TACH"))))))))))))))))))))))))</f>
        <v>Sem Pendência de TACH</v>
      </c>
    </row>
    <row r="27" spans="1:14">
      <c r="A27" s="1">
        <v>90010292</v>
      </c>
      <c r="B27" t="s">
        <v>61</v>
      </c>
      <c r="C27" s="2">
        <v>8</v>
      </c>
      <c r="D27" s="2" t="s">
        <v>29</v>
      </c>
      <c r="E27" t="s">
        <v>22</v>
      </c>
      <c r="F27" t="s">
        <v>23</v>
      </c>
      <c r="G27" t="s">
        <v>163</v>
      </c>
      <c r="H27" t="s">
        <v>132</v>
      </c>
      <c r="I27" t="s">
        <v>132</v>
      </c>
      <c r="J27" t="s">
        <v>132</v>
      </c>
      <c r="K27" t="s">
        <v>132</v>
      </c>
      <c r="L27" t="s">
        <v>132</v>
      </c>
      <c r="M27" t="str">
        <f t="shared" si="0"/>
        <v>Pendência de Agenda</v>
      </c>
      <c r="N27" t="str" cm="1">
        <f t="array" ref="N27">IF(AND(C27&gt;0,I27="Finalizado"),"Pendência de TACH",IF(AND(C27&gt;0,I27="Não Criado"),"Pendência de TACH",IF(AND(C27&gt;0,I27="Rascunho"),"Pendência de TACH",IF(AND(C27&gt;0,I27="NECESSÁRIO AJUSTAR"),"Pendência de TACH",IF(AND(C27&gt;0,I27="Aguardando Aprovação"),"Pendência de TACH",IF(AND(C27&gt;0,I27="Aprovado"),"Sem Pendência de TACH",IF(AND(C27&gt;0,J27="Finalizado"),"Pendência de TACH",IF(AND(C27&gt;0,J27="Não Criado"),"Pendência de TACH",IF(AND(C27&gt;0,J27="Rascunho"),"Pendência de TACH",IF(AND(C27&gt;0,J27="NECESSÁRIO AJUSTAR"),"Pendência de TACH",IF(AND(C27&gt;0,J27="Aguardando Aprovação"),"Pendência de TACH",IF(AND(C27&gt;0,J27="Aprovado"),"Sem Pendência de TACH",IF(AND(C27&gt;0,K27="Finalizado"),"Pendência de TACH",IF(AND(C27&gt;0,K27="Não Criado"),"Pendência de TACH",IF(AND(C27&gt;0,K27="Rascunho"),"Pendência de TACH",IF(AND(C27&gt;0,K27="NECESSÁRIO AJUSTAR"),"Pendência de TACH",IF(AND(C27&gt;0,K27="Aguardando Aprovação"),"Pendência de TACH",IF(AND(C27&gt;0,K27="Aprovado"),"Sem Pendência de TACH",IF(AND(C27&gt;0,KL="Finalizado"),"Pendência de TACH",IF(AND(C27&gt;0,KL="Não Criado"),"Pendência de TACH",IF(AND(C27&gt;0,KL="Rascunho"),"Pendência de TACH",IF(AND(C27&gt;0,L27="NECESSÁRIO AJUSTAR"),"Pendência de TACH",IF(AND(C27&gt;0,L27="Aguardando Aprovação"),"Pendência de TACH",IF(AND(C27&gt;0,L27="Aprovado"),"Sem Pendência de TACH"))))))))))))))))))))))))</f>
        <v>Pendência de TACH</v>
      </c>
    </row>
    <row r="28" spans="1:14">
      <c r="A28" s="1">
        <v>90013912</v>
      </c>
      <c r="B28" t="s">
        <v>84</v>
      </c>
      <c r="C28" s="2">
        <v>4</v>
      </c>
      <c r="D28" s="2" t="s">
        <v>5</v>
      </c>
      <c r="E28" t="s">
        <v>203</v>
      </c>
      <c r="F28" t="s">
        <v>88</v>
      </c>
      <c r="G28" t="s">
        <v>163</v>
      </c>
      <c r="H28" t="s">
        <v>133</v>
      </c>
      <c r="I28" t="s">
        <v>133</v>
      </c>
      <c r="J28" t="s">
        <v>133</v>
      </c>
      <c r="K28" t="s">
        <v>133</v>
      </c>
      <c r="L28" t="s">
        <v>133</v>
      </c>
      <c r="M28" t="str">
        <f t="shared" si="0"/>
        <v>Pendência de Agenda</v>
      </c>
      <c r="N28" t="str" cm="1">
        <f t="array" ref="N28">IF(AND(C28&gt;0,I28="Finalizado"),"Pendência de TACH",IF(AND(C28&gt;0,I28="Não Criado"),"Pendência de TACH",IF(AND(C28&gt;0,I28="Rascunho"),"Pendência de TACH",IF(AND(C28&gt;0,I28="NECESSÁRIO AJUSTAR"),"Pendência de TACH",IF(AND(C28&gt;0,I28="Aguardando Aprovação"),"Pendência de TACH",IF(AND(C28&gt;0,I28="Aprovado"),"Sem Pendência de TACH",IF(AND(C28&gt;0,J28="Finalizado"),"Pendência de TACH",IF(AND(C28&gt;0,J28="Não Criado"),"Pendência de TACH",IF(AND(C28&gt;0,J28="Rascunho"),"Pendência de TACH",IF(AND(C28&gt;0,J28="NECESSÁRIO AJUSTAR"),"Pendência de TACH",IF(AND(C28&gt;0,J28="Aguardando Aprovação"),"Pendência de TACH",IF(AND(C28&gt;0,J28="Aprovado"),"Sem Pendência de TACH",IF(AND(C28&gt;0,K28="Finalizado"),"Pendência de TACH",IF(AND(C28&gt;0,K28="Não Criado"),"Pendência de TACH",IF(AND(C28&gt;0,K28="Rascunho"),"Pendência de TACH",IF(AND(C28&gt;0,K28="NECESSÁRIO AJUSTAR"),"Pendência de TACH",IF(AND(C28&gt;0,K28="Aguardando Aprovação"),"Pendência de TACH",IF(AND(C28&gt;0,K28="Aprovado"),"Sem Pendência de TACH",IF(AND(C28&gt;0,KL="Finalizado"),"Pendência de TACH",IF(AND(C28&gt;0,KL="Não Criado"),"Pendência de TACH",IF(AND(C28&gt;0,KL="Rascunho"),"Pendência de TACH",IF(AND(C28&gt;0,L28="NECESSÁRIO AJUSTAR"),"Pendência de TACH",IF(AND(C28&gt;0,L28="Aguardando Aprovação"),"Pendência de TACH",IF(AND(C28&gt;0,L28="Aprovado"),"Sem Pendência de TACH"))))))))))))))))))))))))</f>
        <v>Sem Pendência de TACH</v>
      </c>
    </row>
    <row r="29" spans="1:14">
      <c r="A29" s="1">
        <v>31303</v>
      </c>
      <c r="B29" t="s">
        <v>63</v>
      </c>
      <c r="C29" s="2">
        <v>28</v>
      </c>
      <c r="D29" s="2" t="s">
        <v>64</v>
      </c>
      <c r="E29" t="s">
        <v>22</v>
      </c>
      <c r="F29" t="s">
        <v>23</v>
      </c>
      <c r="G29" t="s">
        <v>163</v>
      </c>
      <c r="H29" t="s">
        <v>132</v>
      </c>
      <c r="I29" t="s">
        <v>132</v>
      </c>
      <c r="J29" t="s">
        <v>132</v>
      </c>
      <c r="K29" t="s">
        <v>132</v>
      </c>
      <c r="L29" t="s">
        <v>132</v>
      </c>
      <c r="M29" t="str">
        <f t="shared" si="0"/>
        <v>Pendência de Agenda</v>
      </c>
      <c r="N29" t="str" cm="1">
        <f t="array" ref="N29">IF(AND(C29&gt;0,I29="Finalizado"),"Pendência de TACH",IF(AND(C29&gt;0,I29="Não Criado"),"Pendência de TACH",IF(AND(C29&gt;0,I29="Rascunho"),"Pendência de TACH",IF(AND(C29&gt;0,I29="NECESSÁRIO AJUSTAR"),"Pendência de TACH",IF(AND(C29&gt;0,I29="Aguardando Aprovação"),"Pendência de TACH",IF(AND(C29&gt;0,I29="Aprovado"),"Sem Pendência de TACH",IF(AND(C29&gt;0,J29="Finalizado"),"Pendência de TACH",IF(AND(C29&gt;0,J29="Não Criado"),"Pendência de TACH",IF(AND(C29&gt;0,J29="Rascunho"),"Pendência de TACH",IF(AND(C29&gt;0,J29="NECESSÁRIO AJUSTAR"),"Pendência de TACH",IF(AND(C29&gt;0,J29="Aguardando Aprovação"),"Pendência de TACH",IF(AND(C29&gt;0,J29="Aprovado"),"Sem Pendência de TACH",IF(AND(C29&gt;0,K29="Finalizado"),"Pendência de TACH",IF(AND(C29&gt;0,K29="Não Criado"),"Pendência de TACH",IF(AND(C29&gt;0,K29="Rascunho"),"Pendência de TACH",IF(AND(C29&gt;0,K29="NECESSÁRIO AJUSTAR"),"Pendência de TACH",IF(AND(C29&gt;0,K29="Aguardando Aprovação"),"Pendência de TACH",IF(AND(C29&gt;0,K29="Aprovado"),"Sem Pendência de TACH",IF(AND(C29&gt;0,KL="Finalizado"),"Pendência de TACH",IF(AND(C29&gt;0,KL="Não Criado"),"Pendência de TACH",IF(AND(C29&gt;0,KL="Rascunho"),"Pendência de TACH",IF(AND(C29&gt;0,L29="NECESSÁRIO AJUSTAR"),"Pendência de TACH",IF(AND(C29&gt;0,L29="Aguardando Aprovação"),"Pendência de TACH",IF(AND(C29&gt;0,L29="Aprovado"),"Sem Pendência de TACH"))))))))))))))))))))))))</f>
        <v>Pendência de TACH</v>
      </c>
    </row>
    <row r="30" spans="1:14">
      <c r="A30" s="1">
        <v>4178</v>
      </c>
      <c r="B30" t="s">
        <v>85</v>
      </c>
      <c r="C30" s="2">
        <v>4</v>
      </c>
      <c r="D30" s="2" t="s">
        <v>8</v>
      </c>
      <c r="E30" t="s">
        <v>6</v>
      </c>
      <c r="F30" t="s">
        <v>9</v>
      </c>
      <c r="G30" t="s">
        <v>163</v>
      </c>
      <c r="H30" t="s">
        <v>133</v>
      </c>
      <c r="I30" t="s">
        <v>133</v>
      </c>
      <c r="J30" t="s">
        <v>133</v>
      </c>
      <c r="K30" t="s">
        <v>133</v>
      </c>
      <c r="L30" t="s">
        <v>133</v>
      </c>
      <c r="M30" t="str">
        <f t="shared" si="0"/>
        <v>Pendência de Agenda</v>
      </c>
      <c r="N30" t="str" cm="1">
        <f t="array" ref="N30">IF(AND(C30&gt;0,I30="Finalizado"),"Pendência de TACH",IF(AND(C30&gt;0,I30="Não Criado"),"Pendência de TACH",IF(AND(C30&gt;0,I30="Rascunho"),"Pendência de TACH",IF(AND(C30&gt;0,I30="NECESSÁRIO AJUSTAR"),"Pendência de TACH",IF(AND(C30&gt;0,I30="Aguardando Aprovação"),"Pendência de TACH",IF(AND(C30&gt;0,I30="Aprovado"),"Sem Pendência de TACH",IF(AND(C30&gt;0,J30="Finalizado"),"Pendência de TACH",IF(AND(C30&gt;0,J30="Não Criado"),"Pendência de TACH",IF(AND(C30&gt;0,J30="Rascunho"),"Pendência de TACH",IF(AND(C30&gt;0,J30="NECESSÁRIO AJUSTAR"),"Pendência de TACH",IF(AND(C30&gt;0,J30="Aguardando Aprovação"),"Pendência de TACH",IF(AND(C30&gt;0,J30="Aprovado"),"Sem Pendência de TACH",IF(AND(C30&gt;0,K30="Finalizado"),"Pendência de TACH",IF(AND(C30&gt;0,K30="Não Criado"),"Pendência de TACH",IF(AND(C30&gt;0,K30="Rascunho"),"Pendência de TACH",IF(AND(C30&gt;0,K30="NECESSÁRIO AJUSTAR"),"Pendência de TACH",IF(AND(C30&gt;0,K30="Aguardando Aprovação"),"Pendência de TACH",IF(AND(C30&gt;0,K30="Aprovado"),"Sem Pendência de TACH",IF(AND(C30&gt;0,KL="Finalizado"),"Pendência de TACH",IF(AND(C30&gt;0,KL="Não Criado"),"Pendência de TACH",IF(AND(C30&gt;0,KL="Rascunho"),"Pendência de TACH",IF(AND(C30&gt;0,L30="NECESSÁRIO AJUSTAR"),"Pendência de TACH",IF(AND(C30&gt;0,L30="Aguardando Aprovação"),"Pendência de TACH",IF(AND(C30&gt;0,L30="Aprovado"),"Sem Pendência de TACH"))))))))))))))))))))))))</f>
        <v>Sem Pendência de TACH</v>
      </c>
    </row>
    <row r="31" spans="1:14">
      <c r="A31" s="1">
        <v>90001974</v>
      </c>
      <c r="B31" t="s">
        <v>198</v>
      </c>
      <c r="C31" s="2">
        <v>2</v>
      </c>
      <c r="D31" s="2" t="s">
        <v>8</v>
      </c>
      <c r="E31" t="s">
        <v>22</v>
      </c>
      <c r="F31" t="s">
        <v>205</v>
      </c>
      <c r="G31" t="s">
        <v>163</v>
      </c>
      <c r="H31" t="s">
        <v>130</v>
      </c>
      <c r="I31" t="s">
        <v>130</v>
      </c>
      <c r="J31" t="s">
        <v>131</v>
      </c>
      <c r="K31" t="s">
        <v>131</v>
      </c>
      <c r="L31" t="s">
        <v>131</v>
      </c>
      <c r="M31" t="str">
        <f t="shared" si="0"/>
        <v>Pendência de Agenda</v>
      </c>
      <c r="N31" t="str" cm="1">
        <f t="array" ref="N31">IF(AND(C31&gt;0,I31="Finalizado"),"Pendência de TACH",IF(AND(C31&gt;0,I31="Não Criado"),"Pendência de TACH",IF(AND(C31&gt;0,I31="Rascunho"),"Pendência de TACH",IF(AND(C31&gt;0,I31="NECESSÁRIO AJUSTAR"),"Pendência de TACH",IF(AND(C31&gt;0,I31="Aguardando Aprovação"),"Pendência de TACH",IF(AND(C31&gt;0,I31="Aprovado"),"Sem Pendência de TACH",IF(AND(C31&gt;0,J31="Finalizado"),"Pendência de TACH",IF(AND(C31&gt;0,J31="Não Criado"),"Pendência de TACH",IF(AND(C31&gt;0,J31="Rascunho"),"Pendência de TACH",IF(AND(C31&gt;0,J31="NECESSÁRIO AJUSTAR"),"Pendência de TACH",IF(AND(C31&gt;0,J31="Aguardando Aprovação"),"Pendência de TACH",IF(AND(C31&gt;0,J31="Aprovado"),"Sem Pendência de TACH",IF(AND(C31&gt;0,K31="Finalizado"),"Pendência de TACH",IF(AND(C31&gt;0,K31="Não Criado"),"Pendência de TACH",IF(AND(C31&gt;0,K31="Rascunho"),"Pendência de TACH",IF(AND(C31&gt;0,K31="NECESSÁRIO AJUSTAR"),"Pendência de TACH",IF(AND(C31&gt;0,K31="Aguardando Aprovação"),"Pendência de TACH",IF(AND(C31&gt;0,K31="Aprovado"),"Sem Pendência de TACH",IF(AND(C31&gt;0,KL="Finalizado"),"Pendência de TACH",IF(AND(C31&gt;0,KL="Não Criado"),"Pendência de TACH",IF(AND(C31&gt;0,KL="Rascunho"),"Pendência de TACH",IF(AND(C31&gt;0,L31="NECESSÁRIO AJUSTAR"),"Pendência de TACH",IF(AND(C31&gt;0,L31="Aguardando Aprovação"),"Pendência de TACH",IF(AND(C31&gt;0,L31="Aprovado"),"Sem Pendência de TACH"))))))))))))))))))))))))</f>
        <v>Pendência de TACH</v>
      </c>
    </row>
    <row r="32" spans="1:14">
      <c r="A32" s="1">
        <v>90006508</v>
      </c>
      <c r="B32" t="s">
        <v>199</v>
      </c>
      <c r="C32" s="2">
        <v>17</v>
      </c>
      <c r="D32" s="2" t="s">
        <v>202</v>
      </c>
      <c r="E32" t="s">
        <v>6</v>
      </c>
      <c r="F32" t="s">
        <v>27</v>
      </c>
      <c r="G32" t="s">
        <v>163</v>
      </c>
      <c r="H32" t="s">
        <v>130</v>
      </c>
      <c r="I32" t="s">
        <v>130</v>
      </c>
      <c r="J32" t="s">
        <v>131</v>
      </c>
      <c r="K32" t="s">
        <v>131</v>
      </c>
      <c r="L32" t="s">
        <v>131</v>
      </c>
      <c r="M32" t="str">
        <f t="shared" si="0"/>
        <v>Pendência de Agenda</v>
      </c>
      <c r="N32" t="str" cm="1">
        <f t="array" ref="N32">IF(AND(C32&gt;0,I32="Finalizado"),"Pendência de TACH",IF(AND(C32&gt;0,I32="Não Criado"),"Pendência de TACH",IF(AND(C32&gt;0,I32="Rascunho"),"Pendência de TACH",IF(AND(C32&gt;0,I32="NECESSÁRIO AJUSTAR"),"Pendência de TACH",IF(AND(C32&gt;0,I32="Aguardando Aprovação"),"Pendência de TACH",IF(AND(C32&gt;0,I32="Aprovado"),"Sem Pendência de TACH",IF(AND(C32&gt;0,J32="Finalizado"),"Pendência de TACH",IF(AND(C32&gt;0,J32="Não Criado"),"Pendência de TACH",IF(AND(C32&gt;0,J32="Rascunho"),"Pendência de TACH",IF(AND(C32&gt;0,J32="NECESSÁRIO AJUSTAR"),"Pendência de TACH",IF(AND(C32&gt;0,J32="Aguardando Aprovação"),"Pendência de TACH",IF(AND(C32&gt;0,J32="Aprovado"),"Sem Pendência de TACH",IF(AND(C32&gt;0,K32="Finalizado"),"Pendência de TACH",IF(AND(C32&gt;0,K32="Não Criado"),"Pendência de TACH",IF(AND(C32&gt;0,K32="Rascunho"),"Pendência de TACH",IF(AND(C32&gt;0,K32="NECESSÁRIO AJUSTAR"),"Pendência de TACH",IF(AND(C32&gt;0,K32="Aguardando Aprovação"),"Pendência de TACH",IF(AND(C32&gt;0,K32="Aprovado"),"Sem Pendência de TACH",IF(AND(C32&gt;0,KL="Finalizado"),"Pendência de TACH",IF(AND(C32&gt;0,KL="Não Criado"),"Pendência de TACH",IF(AND(C32&gt;0,KL="Rascunho"),"Pendência de TACH",IF(AND(C32&gt;0,L32="NECESSÁRIO AJUSTAR"),"Pendência de TACH",IF(AND(C32&gt;0,L32="Aguardando Aprovação"),"Pendência de TACH",IF(AND(C32&gt;0,L32="Aprovado"),"Sem Pendência de TACH"))))))))))))))))))))))))</f>
        <v>Pendência de TACH</v>
      </c>
    </row>
    <row r="33" spans="1:14">
      <c r="A33" s="1">
        <v>90013875</v>
      </c>
      <c r="B33" t="s">
        <v>86</v>
      </c>
      <c r="C33" s="2">
        <v>4</v>
      </c>
      <c r="D33" s="2" t="s">
        <v>8</v>
      </c>
      <c r="E33" t="s">
        <v>6</v>
      </c>
      <c r="F33" t="s">
        <v>30</v>
      </c>
      <c r="G33" t="s">
        <v>163</v>
      </c>
      <c r="H33" t="s">
        <v>133</v>
      </c>
      <c r="I33" t="s">
        <v>133</v>
      </c>
      <c r="J33" t="s">
        <v>133</v>
      </c>
      <c r="K33" t="s">
        <v>133</v>
      </c>
      <c r="L33" t="s">
        <v>133</v>
      </c>
      <c r="M33" t="str">
        <f t="shared" si="0"/>
        <v>Pendência de Agenda</v>
      </c>
      <c r="N33" t="str" cm="1">
        <f t="array" ref="N33">IF(AND(C33&gt;0,I33="Finalizado"),"Pendência de TACH",IF(AND(C33&gt;0,I33="Não Criado"),"Pendência de TACH",IF(AND(C33&gt;0,I33="Rascunho"),"Pendência de TACH",IF(AND(C33&gt;0,I33="NECESSÁRIO AJUSTAR"),"Pendência de TACH",IF(AND(C33&gt;0,I33="Aguardando Aprovação"),"Pendência de TACH",IF(AND(C33&gt;0,I33="Aprovado"),"Sem Pendência de TACH",IF(AND(C33&gt;0,J33="Finalizado"),"Pendência de TACH",IF(AND(C33&gt;0,J33="Não Criado"),"Pendência de TACH",IF(AND(C33&gt;0,J33="Rascunho"),"Pendência de TACH",IF(AND(C33&gt;0,J33="NECESSÁRIO AJUSTAR"),"Pendência de TACH",IF(AND(C33&gt;0,J33="Aguardando Aprovação"),"Pendência de TACH",IF(AND(C33&gt;0,J33="Aprovado"),"Sem Pendência de TACH",IF(AND(C33&gt;0,K33="Finalizado"),"Pendência de TACH",IF(AND(C33&gt;0,K33="Não Criado"),"Pendência de TACH",IF(AND(C33&gt;0,K33="Rascunho"),"Pendência de TACH",IF(AND(C33&gt;0,K33="NECESSÁRIO AJUSTAR"),"Pendência de TACH",IF(AND(C33&gt;0,K33="Aguardando Aprovação"),"Pendência de TACH",IF(AND(C33&gt;0,K33="Aprovado"),"Sem Pendência de TACH",IF(AND(C33&gt;0,KL="Finalizado"),"Pendência de TACH",IF(AND(C33&gt;0,KL="Não Criado"),"Pendência de TACH",IF(AND(C33&gt;0,KL="Rascunho"),"Pendência de TACH",IF(AND(C33&gt;0,L33="NECESSÁRIO AJUSTAR"),"Pendência de TACH",IF(AND(C33&gt;0,L33="Aguardando Aprovação"),"Pendência de TACH",IF(AND(C33&gt;0,L33="Aprovado"),"Sem Pendência de TACH"))))))))))))))))))))))))</f>
        <v>Sem Pendência de TACH</v>
      </c>
    </row>
    <row r="34" spans="1:14">
      <c r="A34">
        <v>90009703</v>
      </c>
      <c r="B34" t="s">
        <v>24</v>
      </c>
      <c r="C34" s="2">
        <v>18</v>
      </c>
      <c r="D34" s="2">
        <v>18</v>
      </c>
      <c r="E34" t="s">
        <v>6</v>
      </c>
      <c r="F34" t="s">
        <v>123</v>
      </c>
      <c r="G34" t="s">
        <v>163</v>
      </c>
      <c r="H34" t="s">
        <v>134</v>
      </c>
      <c r="I34" t="s">
        <v>134</v>
      </c>
      <c r="J34" t="s">
        <v>134</v>
      </c>
      <c r="K34" t="s">
        <v>134</v>
      </c>
      <c r="L34" t="s">
        <v>134</v>
      </c>
      <c r="M34" t="str">
        <f t="shared" si="0"/>
        <v>Pendência de Agenda</v>
      </c>
      <c r="N34" t="str" cm="1">
        <f t="array" ref="N34">IF(AND(C34&gt;0,I34="Finalizado"),"Pendência de TACH",IF(AND(C34&gt;0,I34="Não Criado"),"Pendência de TACH",IF(AND(C34&gt;0,I34="Rascunho"),"Pendência de TACH",IF(AND(C34&gt;0,I34="NECESSÁRIO AJUSTAR"),"Pendência de TACH",IF(AND(C34&gt;0,I34="Aguardando Aprovação"),"Pendência de TACH",IF(AND(C34&gt;0,I34="Aprovado"),"Sem Pendência de TACH",IF(AND(C34&gt;0,J34="Finalizado"),"Pendência de TACH",IF(AND(C34&gt;0,J34="Não Criado"),"Pendência de TACH",IF(AND(C34&gt;0,J34="Rascunho"),"Pendência de TACH",IF(AND(C34&gt;0,J34="NECESSÁRIO AJUSTAR"),"Pendência de TACH",IF(AND(C34&gt;0,J34="Aguardando Aprovação"),"Pendência de TACH",IF(AND(C34&gt;0,J34="Aprovado"),"Sem Pendência de TACH",IF(AND(C34&gt;0,K34="Finalizado"),"Pendência de TACH",IF(AND(C34&gt;0,K34="Não Criado"),"Pendência de TACH",IF(AND(C34&gt;0,K34="Rascunho"),"Pendência de TACH",IF(AND(C34&gt;0,K34="NECESSÁRIO AJUSTAR"),"Pendência de TACH",IF(AND(C34&gt;0,K34="Aguardando Aprovação"),"Pendência de TACH",IF(AND(C34&gt;0,K34="Aprovado"),"Sem Pendência de TACH",IF(AND(C34&gt;0,KL="Finalizado"),"Pendência de TACH",IF(AND(C34&gt;0,KL="Não Criado"),"Pendência de TACH",IF(AND(C34&gt;0,KL="Rascunho"),"Pendência de TACH",IF(AND(C34&gt;0,L34="NECESSÁRIO AJUSTAR"),"Pendência de TACH",IF(AND(C34&gt;0,L34="Aguardando Aprovação"),"Pendência de TACH",IF(AND(C34&gt;0,L34="Aprovado"),"Sem Pendência de TACH"))))))))))))))))))))))))</f>
        <v>Pendência de TACH</v>
      </c>
    </row>
    <row r="35" spans="1:14">
      <c r="A35">
        <v>503</v>
      </c>
      <c r="B35" t="s">
        <v>111</v>
      </c>
      <c r="C35" s="2">
        <v>32</v>
      </c>
      <c r="D35" s="2">
        <v>0</v>
      </c>
      <c r="E35" t="s">
        <v>6</v>
      </c>
      <c r="F35" t="s">
        <v>121</v>
      </c>
      <c r="G35" t="s">
        <v>178</v>
      </c>
      <c r="H35" t="s">
        <v>131</v>
      </c>
      <c r="I35" t="s">
        <v>131</v>
      </c>
      <c r="J35" t="s">
        <v>133</v>
      </c>
      <c r="K35" t="s">
        <v>133</v>
      </c>
      <c r="L35" t="s">
        <v>133</v>
      </c>
      <c r="M35" t="str">
        <f t="shared" si="0"/>
        <v>Sem Pendência</v>
      </c>
      <c r="N35" t="str" cm="1">
        <f t="array" ref="N35">IF(AND(C35&gt;0,I35="Finalizado"),"Pendência de TACH",IF(AND(C35&gt;0,I35="Não Criado"),"Pendência de TACH",IF(AND(C35&gt;0,I35="Rascunho"),"Pendência de TACH",IF(AND(C35&gt;0,I35="NECESSÁRIO AJUSTAR"),"Pendência de TACH",IF(AND(C35&gt;0,I35="Aguardando Aprovação"),"Pendência de TACH",IF(AND(C35&gt;0,I35="Aprovado"),"Sem Pendência de TACH",IF(AND(C35&gt;0,J35="Finalizado"),"Pendência de TACH",IF(AND(C35&gt;0,J35="Não Criado"),"Pendência de TACH",IF(AND(C35&gt;0,J35="Rascunho"),"Pendência de TACH",IF(AND(C35&gt;0,J35="NECESSÁRIO AJUSTAR"),"Pendência de TACH",IF(AND(C35&gt;0,J35="Aguardando Aprovação"),"Pendência de TACH",IF(AND(C35&gt;0,J35="Aprovado"),"Sem Pendência de TACH",IF(AND(C35&gt;0,K35="Finalizado"),"Pendência de TACH",IF(AND(C35&gt;0,K35="Não Criado"),"Pendência de TACH",IF(AND(C35&gt;0,K35="Rascunho"),"Pendência de TACH",IF(AND(C35&gt;0,K35="NECESSÁRIO AJUSTAR"),"Pendência de TACH",IF(AND(C35&gt;0,K35="Aguardando Aprovação"),"Pendência de TACH",IF(AND(C35&gt;0,K35="Aprovado"),"Sem Pendência de TACH",IF(AND(C35&gt;0,KL="Finalizado"),"Pendência de TACH",IF(AND(C35&gt;0,KL="Não Criado"),"Pendência de TACH",IF(AND(C35&gt;0,KL="Rascunho"),"Pendência de TACH",IF(AND(C35&gt;0,L35="NECESSÁRIO AJUSTAR"),"Pendência de TACH",IF(AND(C35&gt;0,L35="Aguardando Aprovação"),"Pendência de TACH",IF(AND(C35&gt;0,L35="Aprovado"),"Sem Pendência de TACH"))))))))))))))))))))))))</f>
        <v>Pendência de TACH</v>
      </c>
    </row>
    <row r="36" spans="1:14">
      <c r="A36">
        <v>32130</v>
      </c>
      <c r="B36" t="s">
        <v>112</v>
      </c>
      <c r="C36" s="2">
        <v>32</v>
      </c>
      <c r="D36" s="2">
        <v>0</v>
      </c>
      <c r="E36" t="s">
        <v>6</v>
      </c>
      <c r="F36" t="s">
        <v>122</v>
      </c>
      <c r="G36" t="s">
        <v>178</v>
      </c>
      <c r="H36" t="s">
        <v>130</v>
      </c>
      <c r="I36" t="s">
        <v>131</v>
      </c>
      <c r="J36" t="s">
        <v>131</v>
      </c>
      <c r="K36" t="s">
        <v>131</v>
      </c>
      <c r="L36" t="s">
        <v>131</v>
      </c>
      <c r="M36" t="str">
        <f t="shared" si="0"/>
        <v>Sem Pendência</v>
      </c>
      <c r="N36" t="str" cm="1">
        <f t="array" ref="N36">IF(AND(C36&gt;0,I36="Finalizado"),"Pendência de TACH",IF(AND(C36&gt;0,I36="Não Criado"),"Pendência de TACH",IF(AND(C36&gt;0,I36="Rascunho"),"Pendência de TACH",IF(AND(C36&gt;0,I36="NECESSÁRIO AJUSTAR"),"Pendência de TACH",IF(AND(C36&gt;0,I36="Aguardando Aprovação"),"Pendência de TACH",IF(AND(C36&gt;0,I36="Aprovado"),"Sem Pendência de TACH",IF(AND(C36&gt;0,J36="Finalizado"),"Pendência de TACH",IF(AND(C36&gt;0,J36="Não Criado"),"Pendência de TACH",IF(AND(C36&gt;0,J36="Rascunho"),"Pendência de TACH",IF(AND(C36&gt;0,J36="NECESSÁRIO AJUSTAR"),"Pendência de TACH",IF(AND(C36&gt;0,J36="Aguardando Aprovação"),"Pendência de TACH",IF(AND(C36&gt;0,J36="Aprovado"),"Sem Pendência de TACH",IF(AND(C36&gt;0,K36="Finalizado"),"Pendência de TACH",IF(AND(C36&gt;0,K36="Não Criado"),"Pendência de TACH",IF(AND(C36&gt;0,K36="Rascunho"),"Pendência de TACH",IF(AND(C36&gt;0,K36="NECESSÁRIO AJUSTAR"),"Pendência de TACH",IF(AND(C36&gt;0,K36="Aguardando Aprovação"),"Pendência de TACH",IF(AND(C36&gt;0,K36="Aprovado"),"Sem Pendência de TACH",IF(AND(C36&gt;0,KL="Finalizado"),"Pendência de TACH",IF(AND(C36&gt;0,KL="Não Criado"),"Pendência de TACH",IF(AND(C36&gt;0,KL="Rascunho"),"Pendência de TACH",IF(AND(C36&gt;0,L36="NECESSÁRIO AJUSTAR"),"Pendência de TACH",IF(AND(C36&gt;0,L36="Aguardando Aprovação"),"Pendência de TACH",IF(AND(C36&gt;0,L36="Aprovado"),"Sem Pendência de TACH"))))))))))))))))))))))))</f>
        <v>Pendência de TACH</v>
      </c>
    </row>
    <row r="37" spans="1:14">
      <c r="A37">
        <v>90013014</v>
      </c>
      <c r="B37" t="s">
        <v>169</v>
      </c>
      <c r="C37" s="2">
        <v>7</v>
      </c>
      <c r="D37" s="2">
        <v>0</v>
      </c>
      <c r="E37" t="s">
        <v>22</v>
      </c>
      <c r="F37" t="s">
        <v>174</v>
      </c>
      <c r="G37" t="s">
        <v>163</v>
      </c>
      <c r="H37" t="s">
        <v>130</v>
      </c>
      <c r="I37" t="s">
        <v>130</v>
      </c>
      <c r="J37" t="s">
        <v>130</v>
      </c>
      <c r="K37" t="s">
        <v>130</v>
      </c>
      <c r="L37" t="s">
        <v>130</v>
      </c>
      <c r="M37" t="str">
        <f t="shared" si="0"/>
        <v>Sem Pendência</v>
      </c>
      <c r="N37" t="str" cm="1">
        <f t="array" ref="N37">IF(AND(C37&gt;0,I37="Finalizado"),"Pendência de TACH",IF(AND(C37&gt;0,I37="Não Criado"),"Pendência de TACH",IF(AND(C37&gt;0,I37="Rascunho"),"Pendência de TACH",IF(AND(C37&gt;0,I37="NECESSÁRIO AJUSTAR"),"Pendência de TACH",IF(AND(C37&gt;0,I37="Aguardando Aprovação"),"Pendência de TACH",IF(AND(C37&gt;0,I37="Aprovado"),"Sem Pendência de TACH",IF(AND(C37&gt;0,J37="Finalizado"),"Pendência de TACH",IF(AND(C37&gt;0,J37="Não Criado"),"Pendência de TACH",IF(AND(C37&gt;0,J37="Rascunho"),"Pendência de TACH",IF(AND(C37&gt;0,J37="NECESSÁRIO AJUSTAR"),"Pendência de TACH",IF(AND(C37&gt;0,J37="Aguardando Aprovação"),"Pendência de TACH",IF(AND(C37&gt;0,J37="Aprovado"),"Sem Pendência de TACH",IF(AND(C37&gt;0,K37="Finalizado"),"Pendência de TACH",IF(AND(C37&gt;0,K37="Não Criado"),"Pendência de TACH",IF(AND(C37&gt;0,K37="Rascunho"),"Pendência de TACH",IF(AND(C37&gt;0,K37="NECESSÁRIO AJUSTAR"),"Pendência de TACH",IF(AND(C37&gt;0,K37="Aguardando Aprovação"),"Pendência de TACH",IF(AND(C37&gt;0,K37="Aprovado"),"Sem Pendência de TACH",IF(AND(C37&gt;0,KL="Finalizado"),"Pendência de TACH",IF(AND(C37&gt;0,KL="Não Criado"),"Pendência de TACH",IF(AND(C37&gt;0,KL="Rascunho"),"Pendência de TACH",IF(AND(C37&gt;0,L37="NECESSÁRIO AJUSTAR"),"Pendência de TACH",IF(AND(C37&gt;0,L37="Aguardando Aprovação"),"Pendência de TACH",IF(AND(C37&gt;0,L37="Aprovado"),"Sem Pendência de TACH"))))))))))))))))))))))))</f>
        <v>Pendência de TACH</v>
      </c>
    </row>
    <row r="38" spans="1:14">
      <c r="A38">
        <v>90001484</v>
      </c>
      <c r="B38" t="s">
        <v>206</v>
      </c>
      <c r="C38" s="2">
        <v>30</v>
      </c>
      <c r="D38" s="2">
        <v>0</v>
      </c>
      <c r="E38" t="s">
        <v>6</v>
      </c>
      <c r="F38" t="s">
        <v>121</v>
      </c>
      <c r="G38" t="s">
        <v>163</v>
      </c>
      <c r="H38" t="s">
        <v>131</v>
      </c>
      <c r="I38" t="s">
        <v>131</v>
      </c>
      <c r="J38" t="s">
        <v>133</v>
      </c>
      <c r="K38" t="s">
        <v>133</v>
      </c>
      <c r="L38" t="s">
        <v>133</v>
      </c>
      <c r="M38" t="str">
        <f t="shared" si="0"/>
        <v>Sem Pendência</v>
      </c>
      <c r="N38" t="str" cm="1">
        <f t="array" ref="N38">IF(AND(C38&gt;0,I38="Finalizado"),"Pendência de TACH",IF(AND(C38&gt;0,I38="Não Criado"),"Pendência de TACH",IF(AND(C38&gt;0,I38="Rascunho"),"Pendência de TACH",IF(AND(C38&gt;0,I38="NECESSÁRIO AJUSTAR"),"Pendência de TACH",IF(AND(C38&gt;0,I38="Aguardando Aprovação"),"Pendência de TACH",IF(AND(C38&gt;0,I38="Aprovado"),"Sem Pendência de TACH",IF(AND(C38&gt;0,J38="Finalizado"),"Pendência de TACH",IF(AND(C38&gt;0,J38="Não Criado"),"Pendência de TACH",IF(AND(C38&gt;0,J38="Rascunho"),"Pendência de TACH",IF(AND(C38&gt;0,J38="NECESSÁRIO AJUSTAR"),"Pendência de TACH",IF(AND(C38&gt;0,J38="Aguardando Aprovação"),"Pendência de TACH",IF(AND(C38&gt;0,J38="Aprovado"),"Sem Pendência de TACH",IF(AND(C38&gt;0,K38="Finalizado"),"Pendência de TACH",IF(AND(C38&gt;0,K38="Não Criado"),"Pendência de TACH",IF(AND(C38&gt;0,K38="Rascunho"),"Pendência de TACH",IF(AND(C38&gt;0,K38="NECESSÁRIO AJUSTAR"),"Pendência de TACH",IF(AND(C38&gt;0,K38="Aguardando Aprovação"),"Pendência de TACH",IF(AND(C38&gt;0,K38="Aprovado"),"Sem Pendência de TACH",IF(AND(C38&gt;0,KL="Finalizado"),"Pendência de TACH",IF(AND(C38&gt;0,KL="Não Criado"),"Pendência de TACH",IF(AND(C38&gt;0,KL="Rascunho"),"Pendência de TACH",IF(AND(C38&gt;0,L38="NECESSÁRIO AJUSTAR"),"Pendência de TACH",IF(AND(C38&gt;0,L38="Aguardando Aprovação"),"Pendência de TACH",IF(AND(C38&gt;0,L38="Aprovado"),"Sem Pendência de TACH"))))))))))))))))))))))))</f>
        <v>Pendência de TACH</v>
      </c>
    </row>
    <row r="39" spans="1:14">
      <c r="A39">
        <v>90011695</v>
      </c>
      <c r="B39" t="s">
        <v>193</v>
      </c>
      <c r="C39" s="2">
        <v>23</v>
      </c>
      <c r="D39" s="2">
        <v>0</v>
      </c>
      <c r="E39" t="s">
        <v>22</v>
      </c>
      <c r="F39" t="s">
        <v>211</v>
      </c>
      <c r="G39" t="s">
        <v>163</v>
      </c>
      <c r="H39" t="s">
        <v>130</v>
      </c>
      <c r="I39" t="s">
        <v>130</v>
      </c>
      <c r="J39" t="s">
        <v>130</v>
      </c>
      <c r="K39" t="s">
        <v>130</v>
      </c>
      <c r="L39" t="s">
        <v>130</v>
      </c>
      <c r="M39" t="str">
        <f t="shared" si="0"/>
        <v>Sem Pendência</v>
      </c>
      <c r="N39" t="str" cm="1">
        <f t="array" ref="N39">IF(AND(C39&gt;0,I39="Finalizado"),"Pendência de TACH",IF(AND(C39&gt;0,I39="Não Criado"),"Pendência de TACH",IF(AND(C39&gt;0,I39="Rascunho"),"Pendência de TACH",IF(AND(C39&gt;0,I39="NECESSÁRIO AJUSTAR"),"Pendência de TACH",IF(AND(C39&gt;0,I39="Aguardando Aprovação"),"Pendência de TACH",IF(AND(C39&gt;0,I39="Aprovado"),"Sem Pendência de TACH",IF(AND(C39&gt;0,J39="Finalizado"),"Pendência de TACH",IF(AND(C39&gt;0,J39="Não Criado"),"Pendência de TACH",IF(AND(C39&gt;0,J39="Rascunho"),"Pendência de TACH",IF(AND(C39&gt;0,J39="NECESSÁRIO AJUSTAR"),"Pendência de TACH",IF(AND(C39&gt;0,J39="Aguardando Aprovação"),"Pendência de TACH",IF(AND(C39&gt;0,J39="Aprovado"),"Sem Pendência de TACH",IF(AND(C39&gt;0,K39="Finalizado"),"Pendência de TACH",IF(AND(C39&gt;0,K39="Não Criado"),"Pendência de TACH",IF(AND(C39&gt;0,K39="Rascunho"),"Pendência de TACH",IF(AND(C39&gt;0,K39="NECESSÁRIO AJUSTAR"),"Pendência de TACH",IF(AND(C39&gt;0,K39="Aguardando Aprovação"),"Pendência de TACH",IF(AND(C39&gt;0,K39="Aprovado"),"Sem Pendência de TACH",IF(AND(C39&gt;0,KL="Finalizado"),"Pendência de TACH",IF(AND(C39&gt;0,KL="Não Criado"),"Pendência de TACH",IF(AND(C39&gt;0,KL="Rascunho"),"Pendência de TACH",IF(AND(C39&gt;0,L39="NECESSÁRIO AJUSTAR"),"Pendência de TACH",IF(AND(C39&gt;0,L39="Aguardando Aprovação"),"Pendência de TACH",IF(AND(C39&gt;0,L39="Aprovado"),"Sem Pendência de TACH"))))))))))))))))))))))))</f>
        <v>Pendência de TACH</v>
      </c>
    </row>
    <row r="40" spans="1:14">
      <c r="A40">
        <v>6558</v>
      </c>
      <c r="B40" t="s">
        <v>207</v>
      </c>
      <c r="C40" s="2">
        <v>40</v>
      </c>
      <c r="D40" s="2">
        <v>0</v>
      </c>
      <c r="E40" t="s">
        <v>6</v>
      </c>
      <c r="F40" t="s">
        <v>212</v>
      </c>
      <c r="G40" t="s">
        <v>178</v>
      </c>
      <c r="H40" t="s">
        <v>131</v>
      </c>
      <c r="I40" t="s">
        <v>131</v>
      </c>
      <c r="J40" t="s">
        <v>131</v>
      </c>
      <c r="K40" t="s">
        <v>133</v>
      </c>
      <c r="L40" t="s">
        <v>133</v>
      </c>
      <c r="M40" t="str">
        <f t="shared" si="0"/>
        <v>Sem Pendência</v>
      </c>
      <c r="N40" t="str" cm="1">
        <f t="array" ref="N40">IF(AND(C40&gt;0,I40="Finalizado"),"Pendência de TACH",IF(AND(C40&gt;0,I40="Não Criado"),"Pendência de TACH",IF(AND(C40&gt;0,I40="Rascunho"),"Pendência de TACH",IF(AND(C40&gt;0,I40="NECESSÁRIO AJUSTAR"),"Pendência de TACH",IF(AND(C40&gt;0,I40="Aguardando Aprovação"),"Pendência de TACH",IF(AND(C40&gt;0,I40="Aprovado"),"Sem Pendência de TACH",IF(AND(C40&gt;0,J40="Finalizado"),"Pendência de TACH",IF(AND(C40&gt;0,J40="Não Criado"),"Pendência de TACH",IF(AND(C40&gt;0,J40="Rascunho"),"Pendência de TACH",IF(AND(C40&gt;0,J40="NECESSÁRIO AJUSTAR"),"Pendência de TACH",IF(AND(C40&gt;0,J40="Aguardando Aprovação"),"Pendência de TACH",IF(AND(C40&gt;0,J40="Aprovado"),"Sem Pendência de TACH",IF(AND(C40&gt;0,K40="Finalizado"),"Pendência de TACH",IF(AND(C40&gt;0,K40="Não Criado"),"Pendência de TACH",IF(AND(C40&gt;0,K40="Rascunho"),"Pendência de TACH",IF(AND(C40&gt;0,K40="NECESSÁRIO AJUSTAR"),"Pendência de TACH",IF(AND(C40&gt;0,K40="Aguardando Aprovação"),"Pendência de TACH",IF(AND(C40&gt;0,K40="Aprovado"),"Sem Pendência de TACH",IF(AND(C40&gt;0,KL="Finalizado"),"Pendência de TACH",IF(AND(C40&gt;0,KL="Não Criado"),"Pendência de TACH",IF(AND(C40&gt;0,KL="Rascunho"),"Pendência de TACH",IF(AND(C40&gt;0,L40="NECESSÁRIO AJUSTAR"),"Pendência de TACH",IF(AND(C40&gt;0,L40="Aguardando Aprovação"),"Pendência de TACH",IF(AND(C40&gt;0,L40="Aprovado"),"Sem Pendência de TACH"))))))))))))))))))))))))</f>
        <v>Pendência de TACH</v>
      </c>
    </row>
    <row r="41" spans="1:14">
      <c r="A41">
        <v>31954</v>
      </c>
      <c r="B41" t="s">
        <v>208</v>
      </c>
      <c r="C41" s="2">
        <v>40</v>
      </c>
      <c r="D41" s="2">
        <v>0</v>
      </c>
      <c r="E41" t="s">
        <v>6</v>
      </c>
      <c r="F41" t="s">
        <v>210</v>
      </c>
      <c r="G41" t="s">
        <v>178</v>
      </c>
      <c r="H41" t="s">
        <v>131</v>
      </c>
      <c r="I41" t="s">
        <v>131</v>
      </c>
      <c r="J41" t="s">
        <v>131</v>
      </c>
      <c r="K41" t="s">
        <v>131</v>
      </c>
      <c r="L41" t="s">
        <v>131</v>
      </c>
      <c r="M41" t="str">
        <f t="shared" si="0"/>
        <v>Sem Pendência</v>
      </c>
      <c r="N41" t="str" cm="1">
        <f t="array" ref="N41">IF(AND(C41&gt;0,I41="Finalizado"),"Pendência de TACH",IF(AND(C41&gt;0,I41="Não Criado"),"Pendência de TACH",IF(AND(C41&gt;0,I41="Rascunho"),"Pendência de TACH",IF(AND(C41&gt;0,I41="NECESSÁRIO AJUSTAR"),"Pendência de TACH",IF(AND(C41&gt;0,I41="Aguardando Aprovação"),"Pendência de TACH",IF(AND(C41&gt;0,I41="Aprovado"),"Sem Pendência de TACH",IF(AND(C41&gt;0,J41="Finalizado"),"Pendência de TACH",IF(AND(C41&gt;0,J41="Não Criado"),"Pendência de TACH",IF(AND(C41&gt;0,J41="Rascunho"),"Pendência de TACH",IF(AND(C41&gt;0,J41="NECESSÁRIO AJUSTAR"),"Pendência de TACH",IF(AND(C41&gt;0,J41="Aguardando Aprovação"),"Pendência de TACH",IF(AND(C41&gt;0,J41="Aprovado"),"Sem Pendência de TACH",IF(AND(C41&gt;0,K41="Finalizado"),"Pendência de TACH",IF(AND(C41&gt;0,K41="Não Criado"),"Pendência de TACH",IF(AND(C41&gt;0,K41="Rascunho"),"Pendência de TACH",IF(AND(C41&gt;0,K41="NECESSÁRIO AJUSTAR"),"Pendência de TACH",IF(AND(C41&gt;0,K41="Aguardando Aprovação"),"Pendência de TACH",IF(AND(C41&gt;0,K41="Aprovado"),"Sem Pendência de TACH",IF(AND(C41&gt;0,KL="Finalizado"),"Pendência de TACH",IF(AND(C41&gt;0,KL="Não Criado"),"Pendência de TACH",IF(AND(C41&gt;0,KL="Rascunho"),"Pendência de TACH",IF(AND(C41&gt;0,L41="NECESSÁRIO AJUSTAR"),"Pendência de TACH",IF(AND(C41&gt;0,L41="Aguardando Aprovação"),"Pendência de TACH",IF(AND(C41&gt;0,L41="Aprovado"),"Sem Pendência de TACH"))))))))))))))))))))))))</f>
        <v>Pendência de TACH</v>
      </c>
    </row>
    <row r="42" spans="1:14">
      <c r="A42">
        <v>90002145</v>
      </c>
      <c r="B42" t="s">
        <v>209</v>
      </c>
      <c r="C42" s="2">
        <v>4</v>
      </c>
      <c r="D42" s="2">
        <v>0</v>
      </c>
      <c r="E42" t="s">
        <v>6</v>
      </c>
      <c r="F42" t="s">
        <v>212</v>
      </c>
      <c r="G42" t="s">
        <v>163</v>
      </c>
      <c r="H42" t="s">
        <v>131</v>
      </c>
      <c r="I42" t="s">
        <v>131</v>
      </c>
      <c r="J42" t="s">
        <v>131</v>
      </c>
      <c r="K42" t="s">
        <v>133</v>
      </c>
      <c r="L42" t="s">
        <v>133</v>
      </c>
      <c r="M42" t="str">
        <f t="shared" si="0"/>
        <v>Sem Pendência</v>
      </c>
      <c r="N42" t="str" cm="1">
        <f t="array" ref="N42">IF(AND(C42&gt;0,I42="Finalizado"),"Pendência de TACH",IF(AND(C42&gt;0,I42="Não Criado"),"Pendência de TACH",IF(AND(C42&gt;0,I42="Rascunho"),"Pendência de TACH",IF(AND(C42&gt;0,I42="NECESSÁRIO AJUSTAR"),"Pendência de TACH",IF(AND(C42&gt;0,I42="Aguardando Aprovação"),"Pendência de TACH",IF(AND(C42&gt;0,I42="Aprovado"),"Sem Pendência de TACH",IF(AND(C42&gt;0,J42="Finalizado"),"Pendência de TACH",IF(AND(C42&gt;0,J42="Não Criado"),"Pendência de TACH",IF(AND(C42&gt;0,J42="Rascunho"),"Pendência de TACH",IF(AND(C42&gt;0,J42="NECESSÁRIO AJUSTAR"),"Pendência de TACH",IF(AND(C42&gt;0,J42="Aguardando Aprovação"),"Pendência de TACH",IF(AND(C42&gt;0,J42="Aprovado"),"Sem Pendência de TACH",IF(AND(C42&gt;0,K42="Finalizado"),"Pendência de TACH",IF(AND(C42&gt;0,K42="Não Criado"),"Pendência de TACH",IF(AND(C42&gt;0,K42="Rascunho"),"Pendência de TACH",IF(AND(C42&gt;0,K42="NECESSÁRIO AJUSTAR"),"Pendência de TACH",IF(AND(C42&gt;0,K42="Aguardando Aprovação"),"Pendência de TACH",IF(AND(C42&gt;0,K42="Aprovado"),"Sem Pendência de TACH",IF(AND(C42&gt;0,KL="Finalizado"),"Pendência de TACH",IF(AND(C42&gt;0,KL="Não Criado"),"Pendência de TACH",IF(AND(C42&gt;0,KL="Rascunho"),"Pendência de TACH",IF(AND(C42&gt;0,L42="NECESSÁRIO AJUSTAR"),"Pendência de TACH",IF(AND(C42&gt;0,L42="Aguardando Aprovação"),"Pendência de TACH",IF(AND(C42&gt;0,L42="Aprovado"),"Sem Pendência de TACH"))))))))))))))))))))))))</f>
        <v>Pendência de TACH</v>
      </c>
    </row>
    <row r="43" spans="1:14">
      <c r="A43">
        <v>20857</v>
      </c>
      <c r="B43" t="s">
        <v>114</v>
      </c>
      <c r="C43" s="2">
        <v>34</v>
      </c>
      <c r="D43" s="2">
        <v>0</v>
      </c>
      <c r="E43" t="s">
        <v>6</v>
      </c>
      <c r="F43" t="s">
        <v>124</v>
      </c>
      <c r="G43" t="s">
        <v>178</v>
      </c>
      <c r="H43" t="s">
        <v>131</v>
      </c>
      <c r="I43" t="s">
        <v>131</v>
      </c>
      <c r="J43" t="s">
        <v>131</v>
      </c>
      <c r="K43" t="s">
        <v>131</v>
      </c>
      <c r="L43" t="s">
        <v>131</v>
      </c>
      <c r="M43" t="str">
        <f t="shared" si="0"/>
        <v>Sem Pendência</v>
      </c>
      <c r="N43" t="str" cm="1">
        <f t="array" ref="N43">IF(AND(C43&gt;0,I43="Finalizado"),"Pendência de TACH",IF(AND(C43&gt;0,I43="Não Criado"),"Pendência de TACH",IF(AND(C43&gt;0,I43="Rascunho"),"Pendência de TACH",IF(AND(C43&gt;0,I43="NECESSÁRIO AJUSTAR"),"Pendência de TACH",IF(AND(C43&gt;0,I43="Aguardando Aprovação"),"Pendência de TACH",IF(AND(C43&gt;0,I43="Aprovado"),"Sem Pendência de TACH",IF(AND(C43&gt;0,J43="Finalizado"),"Pendência de TACH",IF(AND(C43&gt;0,J43="Não Criado"),"Pendência de TACH",IF(AND(C43&gt;0,J43="Rascunho"),"Pendência de TACH",IF(AND(C43&gt;0,J43="NECESSÁRIO AJUSTAR"),"Pendência de TACH",IF(AND(C43&gt;0,J43="Aguardando Aprovação"),"Pendência de TACH",IF(AND(C43&gt;0,J43="Aprovado"),"Sem Pendência de TACH",IF(AND(C43&gt;0,K43="Finalizado"),"Pendência de TACH",IF(AND(C43&gt;0,K43="Não Criado"),"Pendência de TACH",IF(AND(C43&gt;0,K43="Rascunho"),"Pendência de TACH",IF(AND(C43&gt;0,K43="NECESSÁRIO AJUSTAR"),"Pendência de TACH",IF(AND(C43&gt;0,K43="Aguardando Aprovação"),"Pendência de TACH",IF(AND(C43&gt;0,K43="Aprovado"),"Sem Pendência de TACH",IF(AND(C43&gt;0,KL="Finalizado"),"Pendência de TACH",IF(AND(C43&gt;0,KL="Não Criado"),"Pendência de TACH",IF(AND(C43&gt;0,KL="Rascunho"),"Pendência de TACH",IF(AND(C43&gt;0,L43="NECESSÁRIO AJUSTAR"),"Pendência de TACH",IF(AND(C43&gt;0,L43="Aguardando Aprovação"),"Pendência de TACH",IF(AND(C43&gt;0,L43="Aprovado"),"Sem Pendência de TACH"))))))))))))))))))))))))</f>
        <v>Pendência de TACH</v>
      </c>
    </row>
    <row r="44" spans="1:14">
      <c r="A44">
        <v>24108</v>
      </c>
      <c r="B44" s="12" t="s">
        <v>196</v>
      </c>
      <c r="C44" s="2">
        <v>9</v>
      </c>
      <c r="D44" s="2">
        <v>0</v>
      </c>
      <c r="E44" t="s">
        <v>6</v>
      </c>
      <c r="F44" t="s">
        <v>210</v>
      </c>
      <c r="G44" t="s">
        <v>163</v>
      </c>
      <c r="H44" t="s">
        <v>130</v>
      </c>
      <c r="I44" t="s">
        <v>131</v>
      </c>
      <c r="J44" t="s">
        <v>131</v>
      </c>
      <c r="K44" t="s">
        <v>131</v>
      </c>
      <c r="L44" t="s">
        <v>131</v>
      </c>
      <c r="M44" t="str">
        <f t="shared" si="0"/>
        <v>Sem Pendência</v>
      </c>
      <c r="N44" t="str" cm="1">
        <f t="array" ref="N44">IF(AND(C44&gt;0,I44="Finalizado"),"Pendência de TACH",IF(AND(C44&gt;0,I44="Não Criado"),"Pendência de TACH",IF(AND(C44&gt;0,I44="Rascunho"),"Pendência de TACH",IF(AND(C44&gt;0,I44="NECESSÁRIO AJUSTAR"),"Pendência de TACH",IF(AND(C44&gt;0,I44="Aguardando Aprovação"),"Pendência de TACH",IF(AND(C44&gt;0,I44="Aprovado"),"Sem Pendência de TACH",IF(AND(C44&gt;0,J44="Finalizado"),"Pendência de TACH",IF(AND(C44&gt;0,J44="Não Criado"),"Pendência de TACH",IF(AND(C44&gt;0,J44="Rascunho"),"Pendência de TACH",IF(AND(C44&gt;0,J44="NECESSÁRIO AJUSTAR"),"Pendência de TACH",IF(AND(C44&gt;0,J44="Aguardando Aprovação"),"Pendência de TACH",IF(AND(C44&gt;0,J44="Aprovado"),"Sem Pendência de TACH",IF(AND(C44&gt;0,K44="Finalizado"),"Pendência de TACH",IF(AND(C44&gt;0,K44="Não Criado"),"Pendência de TACH",IF(AND(C44&gt;0,K44="Rascunho"),"Pendência de TACH",IF(AND(C44&gt;0,K44="NECESSÁRIO AJUSTAR"),"Pendência de TACH",IF(AND(C44&gt;0,K44="Aguardando Aprovação"),"Pendência de TACH",IF(AND(C44&gt;0,K44="Aprovado"),"Sem Pendência de TACH",IF(AND(C44&gt;0,KL="Finalizado"),"Pendência de TACH",IF(AND(C44&gt;0,KL="Não Criado"),"Pendência de TACH",IF(AND(C44&gt;0,KL="Rascunho"),"Pendência de TACH",IF(AND(C44&gt;0,L44="NECESSÁRIO AJUSTAR"),"Pendência de TACH",IF(AND(C44&gt;0,L44="Aguardando Aprovação"),"Pendência de TACH",IF(AND(C44&gt;0,L44="Aprovado"),"Sem Pendência de TACH"))))))))))))))))))))))))</f>
        <v>Pendência de TACH</v>
      </c>
    </row>
    <row r="45" spans="1:14">
      <c r="A45">
        <v>23850</v>
      </c>
      <c r="B45" t="s">
        <v>115</v>
      </c>
      <c r="C45" s="2">
        <v>40</v>
      </c>
      <c r="D45" s="2">
        <v>0</v>
      </c>
      <c r="E45" t="s">
        <v>6</v>
      </c>
      <c r="F45" t="s">
        <v>220</v>
      </c>
      <c r="G45" t="s">
        <v>178</v>
      </c>
      <c r="H45" t="s">
        <v>131</v>
      </c>
      <c r="I45" t="s">
        <v>131</v>
      </c>
      <c r="J45" t="s">
        <v>131</v>
      </c>
      <c r="K45" t="s">
        <v>131</v>
      </c>
      <c r="L45" t="s">
        <v>131</v>
      </c>
      <c r="M45" t="str">
        <f t="shared" si="0"/>
        <v>Sem Pendência</v>
      </c>
      <c r="N45" t="str" cm="1">
        <f t="array" ref="N45">IF(AND(C45&gt;0,I45="Finalizado"),"Pendência de TACH",IF(AND(C45&gt;0,I45="Não Criado"),"Pendência de TACH",IF(AND(C45&gt;0,I45="Rascunho"),"Pendência de TACH",IF(AND(C45&gt;0,I45="NECESSÁRIO AJUSTAR"),"Pendência de TACH",IF(AND(C45&gt;0,I45="Aguardando Aprovação"),"Pendência de TACH",IF(AND(C45&gt;0,I45="Aprovado"),"Sem Pendência de TACH",IF(AND(C45&gt;0,J45="Finalizado"),"Pendência de TACH",IF(AND(C45&gt;0,J45="Não Criado"),"Pendência de TACH",IF(AND(C45&gt;0,J45="Rascunho"),"Pendência de TACH",IF(AND(C45&gt;0,J45="NECESSÁRIO AJUSTAR"),"Pendência de TACH",IF(AND(C45&gt;0,J45="Aguardando Aprovação"),"Pendência de TACH",IF(AND(C45&gt;0,J45="Aprovado"),"Sem Pendência de TACH",IF(AND(C45&gt;0,K45="Finalizado"),"Pendência de TACH",IF(AND(C45&gt;0,K45="Não Criado"),"Pendência de TACH",IF(AND(C45&gt;0,K45="Rascunho"),"Pendência de TACH",IF(AND(C45&gt;0,K45="NECESSÁRIO AJUSTAR"),"Pendência de TACH",IF(AND(C45&gt;0,K45="Aguardando Aprovação"),"Pendência de TACH",IF(AND(C45&gt;0,K45="Aprovado"),"Sem Pendência de TACH",IF(AND(C45&gt;0,KL="Finalizado"),"Pendência de TACH",IF(AND(C45&gt;0,KL="Não Criado"),"Pendência de TACH",IF(AND(C45&gt;0,KL="Rascunho"),"Pendência de TACH",IF(AND(C45&gt;0,L45="NECESSÁRIO AJUSTAR"),"Pendência de TACH",IF(AND(C45&gt;0,L45="Aguardando Aprovação"),"Pendência de TACH",IF(AND(C45&gt;0,L45="Aprovado"),"Sem Pendência de TACH"))))))))))))))))))))))))</f>
        <v>Pendência de TACH</v>
      </c>
    </row>
    <row r="46" spans="1:14">
      <c r="A46">
        <v>1030</v>
      </c>
      <c r="B46" t="s">
        <v>172</v>
      </c>
      <c r="C46" s="2">
        <v>36</v>
      </c>
      <c r="D46" s="2">
        <v>0</v>
      </c>
      <c r="E46" t="s">
        <v>6</v>
      </c>
      <c r="F46" t="s">
        <v>176</v>
      </c>
      <c r="G46" t="s">
        <v>178</v>
      </c>
      <c r="H46" t="s">
        <v>134</v>
      </c>
      <c r="I46" t="s">
        <v>131</v>
      </c>
      <c r="J46" t="s">
        <v>133</v>
      </c>
      <c r="K46" t="s">
        <v>133</v>
      </c>
      <c r="L46" t="s">
        <v>133</v>
      </c>
      <c r="M46" t="str">
        <f t="shared" si="0"/>
        <v>Sem Pendência</v>
      </c>
      <c r="N46" t="str" cm="1">
        <f t="array" ref="N46">IF(AND(C46&gt;0,I46="Finalizado"),"Pendência de TACH",IF(AND(C46&gt;0,I46="Não Criado"),"Pendência de TACH",IF(AND(C46&gt;0,I46="Rascunho"),"Pendência de TACH",IF(AND(C46&gt;0,I46="NECESSÁRIO AJUSTAR"),"Pendência de TACH",IF(AND(C46&gt;0,I46="Aguardando Aprovação"),"Pendência de TACH",IF(AND(C46&gt;0,I46="Aprovado"),"Sem Pendência de TACH",IF(AND(C46&gt;0,J46="Finalizado"),"Pendência de TACH",IF(AND(C46&gt;0,J46="Não Criado"),"Pendência de TACH",IF(AND(C46&gt;0,J46="Rascunho"),"Pendência de TACH",IF(AND(C46&gt;0,J46="NECESSÁRIO AJUSTAR"),"Pendência de TACH",IF(AND(C46&gt;0,J46="Aguardando Aprovação"),"Pendência de TACH",IF(AND(C46&gt;0,J46="Aprovado"),"Sem Pendência de TACH",IF(AND(C46&gt;0,K46="Finalizado"),"Pendência de TACH",IF(AND(C46&gt;0,K46="Não Criado"),"Pendência de TACH",IF(AND(C46&gt;0,K46="Rascunho"),"Pendência de TACH",IF(AND(C46&gt;0,K46="NECESSÁRIO AJUSTAR"),"Pendência de TACH",IF(AND(C46&gt;0,K46="Aguardando Aprovação"),"Pendência de TACH",IF(AND(C46&gt;0,K46="Aprovado"),"Sem Pendência de TACH",IF(AND(C46&gt;0,KL="Finalizado"),"Pendência de TACH",IF(AND(C46&gt;0,KL="Não Criado"),"Pendência de TACH",IF(AND(C46&gt;0,KL="Rascunho"),"Pendência de TACH",IF(AND(C46&gt;0,L46="NECESSÁRIO AJUSTAR"),"Pendência de TACH",IF(AND(C46&gt;0,L46="Aguardando Aprovação"),"Pendência de TACH",IF(AND(C46&gt;0,L46="Aprovado"),"Sem Pendência de TACH"))))))))))))))))))))))))</f>
        <v>Pendência de TACH</v>
      </c>
    </row>
    <row r="47" spans="1:14">
      <c r="A47">
        <v>90011183</v>
      </c>
      <c r="B47" s="12" t="s">
        <v>42</v>
      </c>
      <c r="C47" s="2">
        <v>4</v>
      </c>
      <c r="D47" s="2">
        <v>0</v>
      </c>
      <c r="E47" t="s">
        <v>6</v>
      </c>
      <c r="F47" t="s">
        <v>213</v>
      </c>
      <c r="G47" t="s">
        <v>163</v>
      </c>
      <c r="H47" t="s">
        <v>132</v>
      </c>
      <c r="I47" t="s">
        <v>132</v>
      </c>
      <c r="J47" t="s">
        <v>132</v>
      </c>
      <c r="K47" t="s">
        <v>132</v>
      </c>
      <c r="L47" t="s">
        <v>134</v>
      </c>
      <c r="M47" t="str">
        <f t="shared" si="0"/>
        <v>Sem Pendência</v>
      </c>
      <c r="N47" t="str" cm="1">
        <f t="array" ref="N47">IF(AND(C47&gt;0,I47="Finalizado"),"Pendência de TACH",IF(AND(C47&gt;0,I47="Não Criado"),"Pendência de TACH",IF(AND(C47&gt;0,I47="Rascunho"),"Pendência de TACH",IF(AND(C47&gt;0,I47="NECESSÁRIO AJUSTAR"),"Pendência de TACH",IF(AND(C47&gt;0,I47="Aguardando Aprovação"),"Pendência de TACH",IF(AND(C47&gt;0,I47="Aprovado"),"Sem Pendência de TACH",IF(AND(C47&gt;0,J47="Finalizado"),"Pendência de TACH",IF(AND(C47&gt;0,J47="Não Criado"),"Pendência de TACH",IF(AND(C47&gt;0,J47="Rascunho"),"Pendência de TACH",IF(AND(C47&gt;0,J47="NECESSÁRIO AJUSTAR"),"Pendência de TACH",IF(AND(C47&gt;0,J47="Aguardando Aprovação"),"Pendência de TACH",IF(AND(C47&gt;0,J47="Aprovado"),"Sem Pendência de TACH",IF(AND(C47&gt;0,K47="Finalizado"),"Pendência de TACH",IF(AND(C47&gt;0,K47="Não Criado"),"Pendência de TACH",IF(AND(C47&gt;0,K47="Rascunho"),"Pendência de TACH",IF(AND(C47&gt;0,K47="NECESSÁRIO AJUSTAR"),"Pendência de TACH",IF(AND(C47&gt;0,K47="Aguardando Aprovação"),"Pendência de TACH",IF(AND(C47&gt;0,K47="Aprovado"),"Sem Pendência de TACH",IF(AND(C47&gt;0,KL="Finalizado"),"Pendência de TACH",IF(AND(C47&gt;0,KL="Não Criado"),"Pendência de TACH",IF(AND(C47&gt;0,KL="Rascunho"),"Pendência de TACH",IF(AND(C47&gt;0,L47="NECESSÁRIO AJUSTAR"),"Pendência de TACH",IF(AND(C47&gt;0,L47="Aguardando Aprovação"),"Pendência de TACH",IF(AND(C47&gt;0,L47="Aprovado"),"Sem Pendência de TACH"))))))))))))))))))))))))</f>
        <v>Pendência de TACH</v>
      </c>
    </row>
    <row r="48" spans="1:14">
      <c r="A48">
        <v>90006746</v>
      </c>
      <c r="B48" s="12" t="s">
        <v>47</v>
      </c>
      <c r="C48" s="2">
        <v>8</v>
      </c>
      <c r="D48" s="2">
        <v>0</v>
      </c>
      <c r="E48" t="s">
        <v>6</v>
      </c>
      <c r="F48" t="s">
        <v>123</v>
      </c>
      <c r="G48" t="s">
        <v>163</v>
      </c>
      <c r="H48" t="s">
        <v>135</v>
      </c>
      <c r="I48" t="s">
        <v>135</v>
      </c>
      <c r="J48" t="s">
        <v>135</v>
      </c>
      <c r="K48" t="s">
        <v>135</v>
      </c>
      <c r="L48" t="s">
        <v>135</v>
      </c>
      <c r="M48" t="str">
        <f t="shared" si="0"/>
        <v>Sem Pendência</v>
      </c>
      <c r="N48" t="str" cm="1">
        <f t="array" ref="N48">IF(AND(C48&gt;0,I48="Finalizado"),"Pendência de TACH",IF(AND(C48&gt;0,I48="Não Criado"),"Pendência de TACH",IF(AND(C48&gt;0,I48="Rascunho"),"Pendência de TACH",IF(AND(C48&gt;0,I48="NECESSÁRIO AJUSTAR"),"Pendência de TACH",IF(AND(C48&gt;0,I48="Aguardando Aprovação"),"Pendência de TACH",IF(AND(C48&gt;0,I48="Aprovado"),"Sem Pendência de TACH",IF(AND(C48&gt;0,J48="Finalizado"),"Pendência de TACH",IF(AND(C48&gt;0,J48="Não Criado"),"Pendência de TACH",IF(AND(C48&gt;0,J48="Rascunho"),"Pendência de TACH",IF(AND(C48&gt;0,J48="NECESSÁRIO AJUSTAR"),"Pendência de TACH",IF(AND(C48&gt;0,J48="Aguardando Aprovação"),"Pendência de TACH",IF(AND(C48&gt;0,J48="Aprovado"),"Sem Pendência de TACH",IF(AND(C48&gt;0,K48="Finalizado"),"Pendência de TACH",IF(AND(C48&gt;0,K48="Não Criado"),"Pendência de TACH",IF(AND(C48&gt;0,K48="Rascunho"),"Pendência de TACH",IF(AND(C48&gt;0,K48="NECESSÁRIO AJUSTAR"),"Pendência de TACH",IF(AND(C48&gt;0,K48="Aguardando Aprovação"),"Pendência de TACH",IF(AND(C48&gt;0,K48="Aprovado"),"Sem Pendência de TACH",IF(AND(C48&gt;0,KL="Finalizado"),"Pendência de TACH",IF(AND(C48&gt;0,KL="Não Criado"),"Pendência de TACH",IF(AND(C48&gt;0,KL="Rascunho"),"Pendência de TACH",IF(AND(C48&gt;0,L48="NECESSÁRIO AJUSTAR"),"Pendência de TACH",IF(AND(C48&gt;0,L48="Aguardando Aprovação"),"Pendência de TACH",IF(AND(C48&gt;0,L48="Aprovado"),"Sem Pendência de TACH"))))))))))))))))))))))))</f>
        <v>Pendência de TACH</v>
      </c>
    </row>
    <row r="49" spans="1:14">
      <c r="A49">
        <v>90013147</v>
      </c>
      <c r="B49" s="12" t="s">
        <v>154</v>
      </c>
      <c r="C49" s="2">
        <v>21</v>
      </c>
      <c r="D49" s="2">
        <v>0</v>
      </c>
      <c r="E49" t="s">
        <v>6</v>
      </c>
      <c r="F49" t="s">
        <v>123</v>
      </c>
      <c r="G49" t="s">
        <v>163</v>
      </c>
      <c r="H49" t="s">
        <v>130</v>
      </c>
      <c r="I49" t="s">
        <v>131</v>
      </c>
      <c r="J49" t="s">
        <v>131</v>
      </c>
      <c r="K49" t="s">
        <v>133</v>
      </c>
      <c r="L49" t="s">
        <v>133</v>
      </c>
      <c r="M49" t="str">
        <f t="shared" si="0"/>
        <v>Sem Pendência</v>
      </c>
      <c r="N49" t="str" cm="1">
        <f t="array" ref="N49">IF(AND(C49&gt;0,I49="Finalizado"),"Pendência de TACH",IF(AND(C49&gt;0,I49="Não Criado"),"Pendência de TACH",IF(AND(C49&gt;0,I49="Rascunho"),"Pendência de TACH",IF(AND(C49&gt;0,I49="NECESSÁRIO AJUSTAR"),"Pendência de TACH",IF(AND(C49&gt;0,I49="Aguardando Aprovação"),"Pendência de TACH",IF(AND(C49&gt;0,I49="Aprovado"),"Sem Pendência de TACH",IF(AND(C49&gt;0,J49="Finalizado"),"Pendência de TACH",IF(AND(C49&gt;0,J49="Não Criado"),"Pendência de TACH",IF(AND(C49&gt;0,J49="Rascunho"),"Pendência de TACH",IF(AND(C49&gt;0,J49="NECESSÁRIO AJUSTAR"),"Pendência de TACH",IF(AND(C49&gt;0,J49="Aguardando Aprovação"),"Pendência de TACH",IF(AND(C49&gt;0,J49="Aprovado"),"Sem Pendência de TACH",IF(AND(C49&gt;0,K49="Finalizado"),"Pendência de TACH",IF(AND(C49&gt;0,K49="Não Criado"),"Pendência de TACH",IF(AND(C49&gt;0,K49="Rascunho"),"Pendência de TACH",IF(AND(C49&gt;0,K49="NECESSÁRIO AJUSTAR"),"Pendência de TACH",IF(AND(C49&gt;0,K49="Aguardando Aprovação"),"Pendência de TACH",IF(AND(C49&gt;0,K49="Aprovado"),"Sem Pendência de TACH",IF(AND(C49&gt;0,KL="Finalizado"),"Pendência de TACH",IF(AND(C49&gt;0,KL="Não Criado"),"Pendência de TACH",IF(AND(C49&gt;0,KL="Rascunho"),"Pendência de TACH",IF(AND(C49&gt;0,L49="NECESSÁRIO AJUSTAR"),"Pendência de TACH",IF(AND(C49&gt;0,L49="Aguardando Aprovação"),"Pendência de TACH",IF(AND(C49&gt;0,L49="Aprovado"),"Sem Pendência de TACH"))))))))))))))))))))))))</f>
        <v>Pendência de TACH</v>
      </c>
    </row>
    <row r="50" spans="1:14">
      <c r="A50">
        <v>90004950</v>
      </c>
      <c r="B50" s="12" t="s">
        <v>57</v>
      </c>
      <c r="C50" s="2">
        <v>5</v>
      </c>
      <c r="D50" s="2">
        <v>0</v>
      </c>
      <c r="E50" t="s">
        <v>6</v>
      </c>
      <c r="F50" t="s">
        <v>123</v>
      </c>
      <c r="G50" t="s">
        <v>163</v>
      </c>
      <c r="H50" t="s">
        <v>134</v>
      </c>
      <c r="I50" t="s">
        <v>134</v>
      </c>
      <c r="J50" t="s">
        <v>134</v>
      </c>
      <c r="K50" t="s">
        <v>134</v>
      </c>
      <c r="L50" t="s">
        <v>134</v>
      </c>
      <c r="M50" t="str">
        <f t="shared" si="0"/>
        <v>Sem Pendência</v>
      </c>
      <c r="N50" t="str" cm="1">
        <f t="array" ref="N50">IF(AND(C50&gt;0,I50="Finalizado"),"Pendência de TACH",IF(AND(C50&gt;0,I50="Não Criado"),"Pendência de TACH",IF(AND(C50&gt;0,I50="Rascunho"),"Pendência de TACH",IF(AND(C50&gt;0,I50="NECESSÁRIO AJUSTAR"),"Pendência de TACH",IF(AND(C50&gt;0,I50="Aguardando Aprovação"),"Pendência de TACH",IF(AND(C50&gt;0,I50="Aprovado"),"Sem Pendência de TACH",IF(AND(C50&gt;0,J50="Finalizado"),"Pendência de TACH",IF(AND(C50&gt;0,J50="Não Criado"),"Pendência de TACH",IF(AND(C50&gt;0,J50="Rascunho"),"Pendência de TACH",IF(AND(C50&gt;0,J50="NECESSÁRIO AJUSTAR"),"Pendência de TACH",IF(AND(C50&gt;0,J50="Aguardando Aprovação"),"Pendência de TACH",IF(AND(C50&gt;0,J50="Aprovado"),"Sem Pendência de TACH",IF(AND(C50&gt;0,K50="Finalizado"),"Pendência de TACH",IF(AND(C50&gt;0,K50="Não Criado"),"Pendência de TACH",IF(AND(C50&gt;0,K50="Rascunho"),"Pendência de TACH",IF(AND(C50&gt;0,K50="NECESSÁRIO AJUSTAR"),"Pendência de TACH",IF(AND(C50&gt;0,K50="Aguardando Aprovação"),"Pendência de TACH",IF(AND(C50&gt;0,K50="Aprovado"),"Sem Pendência de TACH",IF(AND(C50&gt;0,KL="Finalizado"),"Pendência de TACH",IF(AND(C50&gt;0,KL="Não Criado"),"Pendência de TACH",IF(AND(C50&gt;0,KL="Rascunho"),"Pendência de TACH",IF(AND(C50&gt;0,L50="NECESSÁRIO AJUSTAR"),"Pendência de TACH",IF(AND(C50&gt;0,L50="Aguardando Aprovação"),"Pendência de TACH",IF(AND(C50&gt;0,L50="Aprovado"),"Sem Pendência de TACH"))))))))))))))))))))))))</f>
        <v>Pendência de TACH</v>
      </c>
    </row>
    <row r="51" spans="1:14">
      <c r="A51">
        <v>7319</v>
      </c>
      <c r="B51" t="s">
        <v>214</v>
      </c>
      <c r="C51" s="2">
        <v>40</v>
      </c>
      <c r="D51" s="2">
        <v>0</v>
      </c>
      <c r="E51" t="s">
        <v>6</v>
      </c>
      <c r="F51" t="s">
        <v>177</v>
      </c>
      <c r="G51" t="s">
        <v>178</v>
      </c>
      <c r="H51" t="s">
        <v>131</v>
      </c>
      <c r="I51" t="s">
        <v>131</v>
      </c>
      <c r="J51" t="s">
        <v>131</v>
      </c>
      <c r="K51" t="s">
        <v>131</v>
      </c>
      <c r="L51" t="s">
        <v>131</v>
      </c>
      <c r="M51" t="str">
        <f t="shared" si="0"/>
        <v>Sem Pendência</v>
      </c>
      <c r="N51" t="str" cm="1">
        <f t="array" ref="N51">IF(AND(C51&gt;0,I51="Finalizado"),"Pendência de TACH",IF(AND(C51&gt;0,I51="Não Criado"),"Pendência de TACH",IF(AND(C51&gt;0,I51="Rascunho"),"Pendência de TACH",IF(AND(C51&gt;0,I51="NECESSÁRIO AJUSTAR"),"Pendência de TACH",IF(AND(C51&gt;0,I51="Aguardando Aprovação"),"Pendência de TACH",IF(AND(C51&gt;0,I51="Aprovado"),"Sem Pendência de TACH",IF(AND(C51&gt;0,J51="Finalizado"),"Pendência de TACH",IF(AND(C51&gt;0,J51="Não Criado"),"Pendência de TACH",IF(AND(C51&gt;0,J51="Rascunho"),"Pendência de TACH",IF(AND(C51&gt;0,J51="NECESSÁRIO AJUSTAR"),"Pendência de TACH",IF(AND(C51&gt;0,J51="Aguardando Aprovação"),"Pendência de TACH",IF(AND(C51&gt;0,J51="Aprovado"),"Sem Pendência de TACH",IF(AND(C51&gt;0,K51="Finalizado"),"Pendência de TACH",IF(AND(C51&gt;0,K51="Não Criado"),"Pendência de TACH",IF(AND(C51&gt;0,K51="Rascunho"),"Pendência de TACH",IF(AND(C51&gt;0,K51="NECESSÁRIO AJUSTAR"),"Pendência de TACH",IF(AND(C51&gt;0,K51="Aguardando Aprovação"),"Pendência de TACH",IF(AND(C51&gt;0,K51="Aprovado"),"Sem Pendência de TACH",IF(AND(C51&gt;0,KL="Finalizado"),"Pendência de TACH",IF(AND(C51&gt;0,KL="Não Criado"),"Pendência de TACH",IF(AND(C51&gt;0,KL="Rascunho"),"Pendência de TACH",IF(AND(C51&gt;0,L51="NECESSÁRIO AJUSTAR"),"Pendência de TACH",IF(AND(C51&gt;0,L51="Aguardando Aprovação"),"Pendência de TACH",IF(AND(C51&gt;0,L51="Aprovado"),"Sem Pendência de TACH"))))))))))))))))))))))))</f>
        <v>Pendência de TACH</v>
      </c>
    </row>
    <row r="52" spans="1:14">
      <c r="A52">
        <v>7388</v>
      </c>
      <c r="B52" t="s">
        <v>215</v>
      </c>
      <c r="C52" s="2">
        <v>40</v>
      </c>
      <c r="D52" s="2">
        <v>0</v>
      </c>
      <c r="E52" t="s">
        <v>6</v>
      </c>
      <c r="F52" t="s">
        <v>127</v>
      </c>
      <c r="G52" t="s">
        <v>178</v>
      </c>
      <c r="H52" t="s">
        <v>131</v>
      </c>
      <c r="I52" t="s">
        <v>131</v>
      </c>
      <c r="J52" t="s">
        <v>131</v>
      </c>
      <c r="K52" t="s">
        <v>131</v>
      </c>
      <c r="L52" t="s">
        <v>131</v>
      </c>
      <c r="M52" t="str">
        <f t="shared" si="0"/>
        <v>Sem Pendência</v>
      </c>
      <c r="N52" t="str" cm="1">
        <f t="array" ref="N52">IF(AND(C52&gt;0,I52="Finalizado"),"Pendência de TACH",IF(AND(C52&gt;0,I52="Não Criado"),"Pendência de TACH",IF(AND(C52&gt;0,I52="Rascunho"),"Pendência de TACH",IF(AND(C52&gt;0,I52="NECESSÁRIO AJUSTAR"),"Pendência de TACH",IF(AND(C52&gt;0,I52="Aguardando Aprovação"),"Pendência de TACH",IF(AND(C52&gt;0,I52="Aprovado"),"Sem Pendência de TACH",IF(AND(C52&gt;0,J52="Finalizado"),"Pendência de TACH",IF(AND(C52&gt;0,J52="Não Criado"),"Pendência de TACH",IF(AND(C52&gt;0,J52="Rascunho"),"Pendência de TACH",IF(AND(C52&gt;0,J52="NECESSÁRIO AJUSTAR"),"Pendência de TACH",IF(AND(C52&gt;0,J52="Aguardando Aprovação"),"Pendência de TACH",IF(AND(C52&gt;0,J52="Aprovado"),"Sem Pendência de TACH",IF(AND(C52&gt;0,K52="Finalizado"),"Pendência de TACH",IF(AND(C52&gt;0,K52="Não Criado"),"Pendência de TACH",IF(AND(C52&gt;0,K52="Rascunho"),"Pendência de TACH",IF(AND(C52&gt;0,K52="NECESSÁRIO AJUSTAR"),"Pendência de TACH",IF(AND(C52&gt;0,K52="Aguardando Aprovação"),"Pendência de TACH",IF(AND(C52&gt;0,K52="Aprovado"),"Sem Pendência de TACH",IF(AND(C52&gt;0,KL="Finalizado"),"Pendência de TACH",IF(AND(C52&gt;0,KL="Não Criado"),"Pendência de TACH",IF(AND(C52&gt;0,KL="Rascunho"),"Pendência de TACH",IF(AND(C52&gt;0,L52="NECESSÁRIO AJUSTAR"),"Pendência de TACH",IF(AND(C52&gt;0,L52="Aguardando Aprovação"),"Pendência de TACH",IF(AND(C52&gt;0,L52="Aprovado"),"Sem Pendência de TACH"))))))))))))))))))))))))</f>
        <v>Pendência de TACH</v>
      </c>
    </row>
    <row r="53" spans="1:14">
      <c r="A53">
        <v>6622</v>
      </c>
      <c r="B53" t="s">
        <v>216</v>
      </c>
      <c r="C53" s="2">
        <v>37</v>
      </c>
      <c r="D53" s="2">
        <v>0</v>
      </c>
      <c r="E53" t="s">
        <v>6</v>
      </c>
      <c r="F53" t="s">
        <v>212</v>
      </c>
      <c r="G53" t="s">
        <v>178</v>
      </c>
      <c r="H53" t="s">
        <v>131</v>
      </c>
      <c r="I53" t="s">
        <v>131</v>
      </c>
      <c r="J53" t="s">
        <v>131</v>
      </c>
      <c r="K53" t="s">
        <v>133</v>
      </c>
      <c r="L53" t="s">
        <v>133</v>
      </c>
      <c r="M53" t="str">
        <f t="shared" si="0"/>
        <v>Sem Pendência</v>
      </c>
      <c r="N53" t="str" cm="1">
        <f t="array" ref="N53">IF(AND(C53&gt;0,I53="Finalizado"),"Pendência de TACH",IF(AND(C53&gt;0,I53="Não Criado"),"Pendência de TACH",IF(AND(C53&gt;0,I53="Rascunho"),"Pendência de TACH",IF(AND(C53&gt;0,I53="NECESSÁRIO AJUSTAR"),"Pendência de TACH",IF(AND(C53&gt;0,I53="Aguardando Aprovação"),"Pendência de TACH",IF(AND(C53&gt;0,I53="Aprovado"),"Sem Pendência de TACH",IF(AND(C53&gt;0,J53="Finalizado"),"Pendência de TACH",IF(AND(C53&gt;0,J53="Não Criado"),"Pendência de TACH",IF(AND(C53&gt;0,J53="Rascunho"),"Pendência de TACH",IF(AND(C53&gt;0,J53="NECESSÁRIO AJUSTAR"),"Pendência de TACH",IF(AND(C53&gt;0,J53="Aguardando Aprovação"),"Pendência de TACH",IF(AND(C53&gt;0,J53="Aprovado"),"Sem Pendência de TACH",IF(AND(C53&gt;0,K53="Finalizado"),"Pendência de TACH",IF(AND(C53&gt;0,K53="Não Criado"),"Pendência de TACH",IF(AND(C53&gt;0,K53="Rascunho"),"Pendência de TACH",IF(AND(C53&gt;0,K53="NECESSÁRIO AJUSTAR"),"Pendência de TACH",IF(AND(C53&gt;0,K53="Aguardando Aprovação"),"Pendência de TACH",IF(AND(C53&gt;0,K53="Aprovado"),"Sem Pendência de TACH",IF(AND(C53&gt;0,KL="Finalizado"),"Pendência de TACH",IF(AND(C53&gt;0,KL="Não Criado"),"Pendência de TACH",IF(AND(C53&gt;0,KL="Rascunho"),"Pendência de TACH",IF(AND(C53&gt;0,L53="NECESSÁRIO AJUSTAR"),"Pendência de TACH",IF(AND(C53&gt;0,L53="Aguardando Aprovação"),"Pendência de TACH",IF(AND(C53&gt;0,L53="Aprovado"),"Sem Pendência de TACH"))))))))))))))))))))))))</f>
        <v>Pendência de TACH</v>
      </c>
    </row>
    <row r="54" spans="1:14">
      <c r="A54">
        <v>90001974</v>
      </c>
      <c r="B54" s="12" t="s">
        <v>198</v>
      </c>
      <c r="C54" s="2">
        <v>2</v>
      </c>
      <c r="D54" s="2">
        <v>0</v>
      </c>
      <c r="E54" t="s">
        <v>22</v>
      </c>
      <c r="F54" t="s">
        <v>174</v>
      </c>
      <c r="G54" t="s">
        <v>163</v>
      </c>
      <c r="H54" t="s">
        <v>130</v>
      </c>
      <c r="I54" t="s">
        <v>130</v>
      </c>
      <c r="J54" t="s">
        <v>131</v>
      </c>
      <c r="K54" t="s">
        <v>131</v>
      </c>
      <c r="L54" t="s">
        <v>131</v>
      </c>
      <c r="M54" t="str">
        <f t="shared" ref="M54:M93" si="1">IF(AND(G54="SIM",D54&gt;0),"Pendência de Agenda",IF(AND(G54="NÃO",D54=0),"Sem Pendência",IF(AND(G54="Sim",D54=0),"Sem Pendência","")))</f>
        <v>Sem Pendência</v>
      </c>
      <c r="N54" t="str" cm="1">
        <f t="array" ref="N54">IF(AND(C54&gt;0,I54="Finalizado"),"Pendência de TACH",IF(AND(C54&gt;0,I54="Não Criado"),"Pendência de TACH",IF(AND(C54&gt;0,I54="Rascunho"),"Pendência de TACH",IF(AND(C54&gt;0,I54="NECESSÁRIO AJUSTAR"),"Pendência de TACH",IF(AND(C54&gt;0,I54="Aguardando Aprovação"),"Pendência de TACH",IF(AND(C54&gt;0,I54="Aprovado"),"Sem Pendência de TACH",IF(AND(C54&gt;0,J54="Finalizado"),"Pendência de TACH",IF(AND(C54&gt;0,J54="Não Criado"),"Pendência de TACH",IF(AND(C54&gt;0,J54="Rascunho"),"Pendência de TACH",IF(AND(C54&gt;0,J54="NECESSÁRIO AJUSTAR"),"Pendência de TACH",IF(AND(C54&gt;0,J54="Aguardando Aprovação"),"Pendência de TACH",IF(AND(C54&gt;0,J54="Aprovado"),"Sem Pendência de TACH",IF(AND(C54&gt;0,K54="Finalizado"),"Pendência de TACH",IF(AND(C54&gt;0,K54="Não Criado"),"Pendência de TACH",IF(AND(C54&gt;0,K54="Rascunho"),"Pendência de TACH",IF(AND(C54&gt;0,K54="NECESSÁRIO AJUSTAR"),"Pendência de TACH",IF(AND(C54&gt;0,K54="Aguardando Aprovação"),"Pendência de TACH",IF(AND(C54&gt;0,K54="Aprovado"),"Sem Pendência de TACH",IF(AND(C54&gt;0,KL="Finalizado"),"Pendência de TACH",IF(AND(C54&gt;0,KL="Não Criado"),"Pendência de TACH",IF(AND(C54&gt;0,KL="Rascunho"),"Pendência de TACH",IF(AND(C54&gt;0,L54="NECESSÁRIO AJUSTAR"),"Pendência de TACH",IF(AND(C54&gt;0,L54="Aguardando Aprovação"),"Pendência de TACH",IF(AND(C54&gt;0,L54="Aprovado"),"Sem Pendência de TACH"))))))))))))))))))))))))</f>
        <v>Pendência de TACH</v>
      </c>
    </row>
    <row r="55" spans="1:14">
      <c r="A55">
        <v>90006508</v>
      </c>
      <c r="B55" s="12" t="s">
        <v>199</v>
      </c>
      <c r="C55" s="2">
        <v>17</v>
      </c>
      <c r="D55" s="2">
        <v>0</v>
      </c>
      <c r="E55" t="s">
        <v>6</v>
      </c>
      <c r="F55" t="s">
        <v>218</v>
      </c>
      <c r="G55" t="s">
        <v>163</v>
      </c>
      <c r="H55" t="s">
        <v>130</v>
      </c>
      <c r="I55" t="s">
        <v>130</v>
      </c>
      <c r="J55" t="s">
        <v>131</v>
      </c>
      <c r="K55" t="s">
        <v>131</v>
      </c>
      <c r="L55" t="s">
        <v>131</v>
      </c>
      <c r="M55" t="str">
        <f t="shared" si="1"/>
        <v>Sem Pendência</v>
      </c>
      <c r="N55" t="str" cm="1">
        <f t="array" ref="N55">IF(AND(C55&gt;0,I55="Finalizado"),"Pendência de TACH",IF(AND(C55&gt;0,I55="Não Criado"),"Pendência de TACH",IF(AND(C55&gt;0,I55="Rascunho"),"Pendência de TACH",IF(AND(C55&gt;0,I55="NECESSÁRIO AJUSTAR"),"Pendência de TACH",IF(AND(C55&gt;0,I55="Aguardando Aprovação"),"Pendência de TACH",IF(AND(C55&gt;0,I55="Aprovado"),"Sem Pendência de TACH",IF(AND(C55&gt;0,J55="Finalizado"),"Pendência de TACH",IF(AND(C55&gt;0,J55="Não Criado"),"Pendência de TACH",IF(AND(C55&gt;0,J55="Rascunho"),"Pendência de TACH",IF(AND(C55&gt;0,J55="NECESSÁRIO AJUSTAR"),"Pendência de TACH",IF(AND(C55&gt;0,J55="Aguardando Aprovação"),"Pendência de TACH",IF(AND(C55&gt;0,J55="Aprovado"),"Sem Pendência de TACH",IF(AND(C55&gt;0,K55="Finalizado"),"Pendência de TACH",IF(AND(C55&gt;0,K55="Não Criado"),"Pendência de TACH",IF(AND(C55&gt;0,K55="Rascunho"),"Pendência de TACH",IF(AND(C55&gt;0,K55="NECESSÁRIO AJUSTAR"),"Pendência de TACH",IF(AND(C55&gt;0,K55="Aguardando Aprovação"),"Pendência de TACH",IF(AND(C55&gt;0,K55="Aprovado"),"Sem Pendência de TACH",IF(AND(C55&gt;0,KL="Finalizado"),"Pendência de TACH",IF(AND(C55&gt;0,KL="Não Criado"),"Pendência de TACH",IF(AND(C55&gt;0,KL="Rascunho"),"Pendência de TACH",IF(AND(C55&gt;0,L55="NECESSÁRIO AJUSTAR"),"Pendência de TACH",IF(AND(C55&gt;0,L55="Aguardando Aprovação"),"Pendência de TACH",IF(AND(C55&gt;0,L55="Aprovado"),"Sem Pendência de TACH"))))))))))))))))))))))))</f>
        <v>Pendência de TACH</v>
      </c>
    </row>
    <row r="56" spans="1:14">
      <c r="A56">
        <v>20852</v>
      </c>
      <c r="B56" t="s">
        <v>217</v>
      </c>
      <c r="C56" s="2">
        <v>30</v>
      </c>
      <c r="D56" s="2">
        <v>0</v>
      </c>
      <c r="E56" t="s">
        <v>6</v>
      </c>
      <c r="F56" t="s">
        <v>212</v>
      </c>
      <c r="G56" t="s">
        <v>178</v>
      </c>
      <c r="H56" t="s">
        <v>131</v>
      </c>
      <c r="I56" t="s">
        <v>131</v>
      </c>
      <c r="J56" t="s">
        <v>131</v>
      </c>
      <c r="K56" t="s">
        <v>131</v>
      </c>
      <c r="L56" t="s">
        <v>131</v>
      </c>
      <c r="M56" t="str">
        <f t="shared" si="1"/>
        <v>Sem Pendência</v>
      </c>
      <c r="N56" t="str" cm="1">
        <f t="array" ref="N56">IF(AND(C56&gt;0,I56="Finalizado"),"Pendência de TACH",IF(AND(C56&gt;0,I56="Não Criado"),"Pendência de TACH",IF(AND(C56&gt;0,I56="Rascunho"),"Pendência de TACH",IF(AND(C56&gt;0,I56="NECESSÁRIO AJUSTAR"),"Pendência de TACH",IF(AND(C56&gt;0,I56="Aguardando Aprovação"),"Pendência de TACH",IF(AND(C56&gt;0,I56="Aprovado"),"Sem Pendência de TACH",IF(AND(C56&gt;0,J56="Finalizado"),"Pendência de TACH",IF(AND(C56&gt;0,J56="Não Criado"),"Pendência de TACH",IF(AND(C56&gt;0,J56="Rascunho"),"Pendência de TACH",IF(AND(C56&gt;0,J56="NECESSÁRIO AJUSTAR"),"Pendência de TACH",IF(AND(C56&gt;0,J56="Aguardando Aprovação"),"Pendência de TACH",IF(AND(C56&gt;0,J56="Aprovado"),"Sem Pendência de TACH",IF(AND(C56&gt;0,K56="Finalizado"),"Pendência de TACH",IF(AND(C56&gt;0,K56="Não Criado"),"Pendência de TACH",IF(AND(C56&gt;0,K56="Rascunho"),"Pendência de TACH",IF(AND(C56&gt;0,K56="NECESSÁRIO AJUSTAR"),"Pendência de TACH",IF(AND(C56&gt;0,K56="Aguardando Aprovação"),"Pendência de TACH",IF(AND(C56&gt;0,K56="Aprovado"),"Sem Pendência de TACH",IF(AND(C56&gt;0,KL="Finalizado"),"Pendência de TACH",IF(AND(C56&gt;0,KL="Não Criado"),"Pendência de TACH",IF(AND(C56&gt;0,KL="Rascunho"),"Pendência de TACH",IF(AND(C56&gt;0,L56="NECESSÁRIO AJUSTAR"),"Pendência de TACH",IF(AND(C56&gt;0,L56="Aguardando Aprovação"),"Pendência de TACH",IF(AND(C56&gt;0,L56="Aprovado"),"Sem Pendência de TACH"))))))))))))))))))))))))</f>
        <v>Pendência de TACH</v>
      </c>
    </row>
    <row r="57" spans="1:14">
      <c r="A57">
        <v>90013573</v>
      </c>
      <c r="B57" s="12" t="s">
        <v>221</v>
      </c>
      <c r="C57" s="2">
        <v>12</v>
      </c>
      <c r="D57" s="2">
        <v>0</v>
      </c>
      <c r="E57" t="s">
        <v>6</v>
      </c>
      <c r="F57" t="s">
        <v>222</v>
      </c>
      <c r="G57" t="s">
        <v>163</v>
      </c>
      <c r="H57" t="s">
        <v>130</v>
      </c>
      <c r="I57" t="s">
        <v>130</v>
      </c>
      <c r="J57" t="s">
        <v>130</v>
      </c>
      <c r="K57" t="s">
        <v>130</v>
      </c>
      <c r="L57" t="s">
        <v>130</v>
      </c>
      <c r="M57" t="str">
        <f t="shared" si="1"/>
        <v>Sem Pendência</v>
      </c>
      <c r="N57" t="str" cm="1">
        <f t="array" ref="N57">IF(AND(C57&gt;0,I57="Finalizado"),"Pendência de TACH",IF(AND(C57&gt;0,I57="Não Criado"),"Pendência de TACH",IF(AND(C57&gt;0,I57="Rascunho"),"Pendência de TACH",IF(AND(C57&gt;0,I57="NECESSÁRIO AJUSTAR"),"Pendência de TACH",IF(AND(C57&gt;0,I57="Aguardando Aprovação"),"Pendência de TACH",IF(AND(C57&gt;0,I57="Aprovado"),"Sem Pendência de TACH",IF(AND(C57&gt;0,J57="Finalizado"),"Pendência de TACH",IF(AND(C57&gt;0,J57="Não Criado"),"Pendência de TACH",IF(AND(C57&gt;0,J57="Rascunho"),"Pendência de TACH",IF(AND(C57&gt;0,J57="NECESSÁRIO AJUSTAR"),"Pendência de TACH",IF(AND(C57&gt;0,J57="Aguardando Aprovação"),"Pendência de TACH",IF(AND(C57&gt;0,J57="Aprovado"),"Sem Pendência de TACH",IF(AND(C57&gt;0,K57="Finalizado"),"Pendência de TACH",IF(AND(C57&gt;0,K57="Não Criado"),"Pendência de TACH",IF(AND(C57&gt;0,K57="Rascunho"),"Pendência de TACH",IF(AND(C57&gt;0,K57="NECESSÁRIO AJUSTAR"),"Pendência de TACH",IF(AND(C57&gt;0,K57="Aguardando Aprovação"),"Pendência de TACH",IF(AND(C57&gt;0,K57="Aprovado"),"Sem Pendência de TACH",IF(AND(C57&gt;0,KL="Finalizado"),"Pendência de TACH",IF(AND(C57&gt;0,KL="Não Criado"),"Pendência de TACH",IF(AND(C57&gt;0,KL="Rascunho"),"Pendência de TACH",IF(AND(C57&gt;0,L57="NECESSÁRIO AJUSTAR"),"Pendência de TACH",IF(AND(C57&gt;0,L57="Aguardando Aprovação"),"Pendência de TACH",IF(AND(C57&gt;0,L57="Aprovado"),"Sem Pendência de TACH"))))))))))))))))))))))))</f>
        <v>Pendência de TACH</v>
      </c>
    </row>
    <row r="58" spans="1:14">
      <c r="A58" s="1"/>
      <c r="C58" s="2"/>
      <c r="M58" t="str">
        <f t="shared" si="1"/>
        <v/>
      </c>
      <c r="N58" t="e" cm="1">
        <f t="array" ref="N58">IF(AND(C58&gt;0,I58="Finalizado"),"Pendência de TACH",IF(AND(C58&gt;0,I58="Não Criado"),"Pendência de TACH",IF(AND(C58&gt;0,I58="Rascunho"),"Pendência de TACH",IF(AND(C58&gt;0,I58="NECESSÁRIO AJUSTAR"),"Pendência de TACH",IF(AND(C58&gt;0,I58="Aguardando Aprovação"),"Pendência de TACH",IF(AND(C58&gt;0,I58="Aprovado"),"Sem Pendência de TACH",IF(AND(C58&gt;0,J58="Finalizado"),"Pendência de TACH",IF(AND(C58&gt;0,J58="Não Criado"),"Pendência de TACH",IF(AND(C58&gt;0,J58="Rascunho"),"Pendência de TACH",IF(AND(C58&gt;0,J58="NECESSÁRIO AJUSTAR"),"Pendência de TACH",IF(AND(C58&gt;0,J58="Aguardando Aprovação"),"Pendência de TACH",IF(AND(C58&gt;0,J58="Aprovado"),"Sem Pendência de TACH",IF(AND(C58&gt;0,K58="Finalizado"),"Pendência de TACH",IF(AND(C58&gt;0,K58="Não Criado"),"Pendência de TACH",IF(AND(C58&gt;0,K58="Rascunho"),"Pendência de TACH",IF(AND(C58&gt;0,K58="NECESSÁRIO AJUSTAR"),"Pendência de TACH",IF(AND(C58&gt;0,K58="Aguardando Aprovação"),"Pendência de TACH",IF(AND(C58&gt;0,K58="Aprovado"),"Sem Pendência de TACH",IF(AND(C58&gt;0,KL="Finalizado"),"Pendência de TACH",IF(AND(C58&gt;0,KL="Não Criado"),"Pendência de TACH",IF(AND(C58&gt;0,KL="Rascunho"),"Pendência de TACH",IF(AND(C58&gt;0,L58="NECESSÁRIO AJUSTAR"),"Pendência de TACH",IF(AND(C58&gt;0,L58="Aguardando Aprovação"),"Pendência de TACH",IF(AND(C58&gt;0,L58="Aprovado"),"Sem Pendência de TACH"))))))))))))))))))))))))</f>
        <v>#NAME?</v>
      </c>
    </row>
    <row r="59" spans="1:14">
      <c r="A59" s="1"/>
      <c r="C59" s="2"/>
      <c r="M59" t="str">
        <f t="shared" si="1"/>
        <v/>
      </c>
      <c r="N59" t="e" cm="1">
        <f t="array" ref="N59">IF(AND(C59&gt;0,I59="Finalizado"),"Pendência de TACH",IF(AND(C59&gt;0,I59="Não Criado"),"Pendência de TACH",IF(AND(C59&gt;0,I59="Rascunho"),"Pendência de TACH",IF(AND(C59&gt;0,I59="NECESSÁRIO AJUSTAR"),"Pendência de TACH",IF(AND(C59&gt;0,I59="Aguardando Aprovação"),"Pendência de TACH",IF(AND(C59&gt;0,I59="Aprovado"),"Sem Pendência de TACH",IF(AND(C59&gt;0,J59="Finalizado"),"Pendência de TACH",IF(AND(C59&gt;0,J59="Não Criado"),"Pendência de TACH",IF(AND(C59&gt;0,J59="Rascunho"),"Pendência de TACH",IF(AND(C59&gt;0,J59="NECESSÁRIO AJUSTAR"),"Pendência de TACH",IF(AND(C59&gt;0,J59="Aguardando Aprovação"),"Pendência de TACH",IF(AND(C59&gt;0,J59="Aprovado"),"Sem Pendência de TACH",IF(AND(C59&gt;0,K59="Finalizado"),"Pendência de TACH",IF(AND(C59&gt;0,K59="Não Criado"),"Pendência de TACH",IF(AND(C59&gt;0,K59="Rascunho"),"Pendência de TACH",IF(AND(C59&gt;0,K59="NECESSÁRIO AJUSTAR"),"Pendência de TACH",IF(AND(C59&gt;0,K59="Aguardando Aprovação"),"Pendência de TACH",IF(AND(C59&gt;0,K59="Aprovado"),"Sem Pendência de TACH",IF(AND(C59&gt;0,KL="Finalizado"),"Pendência de TACH",IF(AND(C59&gt;0,KL="Não Criado"),"Pendência de TACH",IF(AND(C59&gt;0,KL="Rascunho"),"Pendência de TACH",IF(AND(C59&gt;0,L59="NECESSÁRIO AJUSTAR"),"Pendência de TACH",IF(AND(C59&gt;0,L59="Aguardando Aprovação"),"Pendência de TACH",IF(AND(C59&gt;0,L59="Aprovado"),"Sem Pendência de TACH"))))))))))))))))))))))))</f>
        <v>#NAME?</v>
      </c>
    </row>
    <row r="60" spans="1:14">
      <c r="A60" s="1"/>
      <c r="C60" s="2"/>
      <c r="M60" t="str">
        <f t="shared" si="1"/>
        <v/>
      </c>
      <c r="N60" t="e" cm="1">
        <f t="array" ref="N60">IF(AND(C60&gt;0,I60="Finalizado"),"Pendência de TACH",IF(AND(C60&gt;0,I60="Não Criado"),"Pendência de TACH",IF(AND(C60&gt;0,I60="Rascunho"),"Pendência de TACH",IF(AND(C60&gt;0,I60="NECESSÁRIO AJUSTAR"),"Pendência de TACH",IF(AND(C60&gt;0,I60="Aguardando Aprovação"),"Pendência de TACH",IF(AND(C60&gt;0,I60="Aprovado"),"Sem Pendência de TACH",IF(AND(C60&gt;0,J60="Finalizado"),"Pendência de TACH",IF(AND(C60&gt;0,J60="Não Criado"),"Pendência de TACH",IF(AND(C60&gt;0,J60="Rascunho"),"Pendência de TACH",IF(AND(C60&gt;0,J60="NECESSÁRIO AJUSTAR"),"Pendência de TACH",IF(AND(C60&gt;0,J60="Aguardando Aprovação"),"Pendência de TACH",IF(AND(C60&gt;0,J60="Aprovado"),"Sem Pendência de TACH",IF(AND(C60&gt;0,K60="Finalizado"),"Pendência de TACH",IF(AND(C60&gt;0,K60="Não Criado"),"Pendência de TACH",IF(AND(C60&gt;0,K60="Rascunho"),"Pendência de TACH",IF(AND(C60&gt;0,K60="NECESSÁRIO AJUSTAR"),"Pendência de TACH",IF(AND(C60&gt;0,K60="Aguardando Aprovação"),"Pendência de TACH",IF(AND(C60&gt;0,K60="Aprovado"),"Sem Pendência de TACH",IF(AND(C60&gt;0,KL="Finalizado"),"Pendência de TACH",IF(AND(C60&gt;0,KL="Não Criado"),"Pendência de TACH",IF(AND(C60&gt;0,KL="Rascunho"),"Pendência de TACH",IF(AND(C60&gt;0,L60="NECESSÁRIO AJUSTAR"),"Pendência de TACH",IF(AND(C60&gt;0,L60="Aguardando Aprovação"),"Pendência de TACH",IF(AND(C60&gt;0,L60="Aprovado"),"Sem Pendência de TACH"))))))))))))))))))))))))</f>
        <v>#NAME?</v>
      </c>
    </row>
    <row r="61" spans="1:14">
      <c r="A61" s="1"/>
      <c r="C61" s="2"/>
      <c r="M61" t="str">
        <f t="shared" si="1"/>
        <v/>
      </c>
      <c r="N61" t="e" cm="1">
        <f t="array" ref="N61">IF(AND(C61&gt;0,I61="Finalizado"),"Pendência de TACH",IF(AND(C61&gt;0,I61="Não Criado"),"Pendência de TACH",IF(AND(C61&gt;0,I61="Rascunho"),"Pendência de TACH",IF(AND(C61&gt;0,I61="NECESSÁRIO AJUSTAR"),"Pendência de TACH",IF(AND(C61&gt;0,I61="Aguardando Aprovação"),"Pendência de TACH",IF(AND(C61&gt;0,I61="Aprovado"),"Sem Pendência de TACH",IF(AND(C61&gt;0,J61="Finalizado"),"Pendência de TACH",IF(AND(C61&gt;0,J61="Não Criado"),"Pendência de TACH",IF(AND(C61&gt;0,J61="Rascunho"),"Pendência de TACH",IF(AND(C61&gt;0,J61="NECESSÁRIO AJUSTAR"),"Pendência de TACH",IF(AND(C61&gt;0,J61="Aguardando Aprovação"),"Pendência de TACH",IF(AND(C61&gt;0,J61="Aprovado"),"Sem Pendência de TACH",IF(AND(C61&gt;0,K61="Finalizado"),"Pendência de TACH",IF(AND(C61&gt;0,K61="Não Criado"),"Pendência de TACH",IF(AND(C61&gt;0,K61="Rascunho"),"Pendência de TACH",IF(AND(C61&gt;0,K61="NECESSÁRIO AJUSTAR"),"Pendência de TACH",IF(AND(C61&gt;0,K61="Aguardando Aprovação"),"Pendência de TACH",IF(AND(C61&gt;0,K61="Aprovado"),"Sem Pendência de TACH",IF(AND(C61&gt;0,KL="Finalizado"),"Pendência de TACH",IF(AND(C61&gt;0,KL="Não Criado"),"Pendência de TACH",IF(AND(C61&gt;0,KL="Rascunho"),"Pendência de TACH",IF(AND(C61&gt;0,L61="NECESSÁRIO AJUSTAR"),"Pendência de TACH",IF(AND(C61&gt;0,L61="Aguardando Aprovação"),"Pendência de TACH",IF(AND(C61&gt;0,L61="Aprovado"),"Sem Pendência de TACH"))))))))))))))))))))))))</f>
        <v>#NAME?</v>
      </c>
    </row>
    <row r="62" spans="1:14">
      <c r="A62" s="1"/>
      <c r="C62" s="2"/>
      <c r="M62" t="str">
        <f t="shared" si="1"/>
        <v/>
      </c>
      <c r="N62" t="e" cm="1">
        <f t="array" ref="N62">IF(AND(C62&gt;0,I62="Finalizado"),"Pendência de TACH",IF(AND(C62&gt;0,I62="Não Criado"),"Pendência de TACH",IF(AND(C62&gt;0,I62="Rascunho"),"Pendência de TACH",IF(AND(C62&gt;0,I62="NECESSÁRIO AJUSTAR"),"Pendência de TACH",IF(AND(C62&gt;0,I62="Aguardando Aprovação"),"Pendência de TACH",IF(AND(C62&gt;0,I62="Aprovado"),"Sem Pendência de TACH",IF(AND(C62&gt;0,J62="Finalizado"),"Pendência de TACH",IF(AND(C62&gt;0,J62="Não Criado"),"Pendência de TACH",IF(AND(C62&gt;0,J62="Rascunho"),"Pendência de TACH",IF(AND(C62&gt;0,J62="NECESSÁRIO AJUSTAR"),"Pendência de TACH",IF(AND(C62&gt;0,J62="Aguardando Aprovação"),"Pendência de TACH",IF(AND(C62&gt;0,J62="Aprovado"),"Sem Pendência de TACH",IF(AND(C62&gt;0,K62="Finalizado"),"Pendência de TACH",IF(AND(C62&gt;0,K62="Não Criado"),"Pendência de TACH",IF(AND(C62&gt;0,K62="Rascunho"),"Pendência de TACH",IF(AND(C62&gt;0,K62="NECESSÁRIO AJUSTAR"),"Pendência de TACH",IF(AND(C62&gt;0,K62="Aguardando Aprovação"),"Pendência de TACH",IF(AND(C62&gt;0,K62="Aprovado"),"Sem Pendência de TACH",IF(AND(C62&gt;0,KL="Finalizado"),"Pendência de TACH",IF(AND(C62&gt;0,KL="Não Criado"),"Pendência de TACH",IF(AND(C62&gt;0,KL="Rascunho"),"Pendência de TACH",IF(AND(C62&gt;0,L62="NECESSÁRIO AJUSTAR"),"Pendência de TACH",IF(AND(C62&gt;0,L62="Aguardando Aprovação"),"Pendência de TACH",IF(AND(C62&gt;0,L62="Aprovado"),"Sem Pendência de TACH"))))))))))))))))))))))))</f>
        <v>#NAME?</v>
      </c>
    </row>
    <row r="63" spans="1:14">
      <c r="A63" s="1"/>
      <c r="C63" s="2"/>
      <c r="M63" t="str">
        <f t="shared" si="1"/>
        <v/>
      </c>
      <c r="N63" t="e" cm="1">
        <f t="array" ref="N63">IF(AND(C63&gt;0,I63="Finalizado"),"Pendência de TACH",IF(AND(C63&gt;0,I63="Não Criado"),"Pendência de TACH",IF(AND(C63&gt;0,I63="Rascunho"),"Pendência de TACH",IF(AND(C63&gt;0,I63="NECESSÁRIO AJUSTAR"),"Pendência de TACH",IF(AND(C63&gt;0,I63="Aguardando Aprovação"),"Pendência de TACH",IF(AND(C63&gt;0,I63="Aprovado"),"Sem Pendência de TACH",IF(AND(C63&gt;0,J63="Finalizado"),"Pendência de TACH",IF(AND(C63&gt;0,J63="Não Criado"),"Pendência de TACH",IF(AND(C63&gt;0,J63="Rascunho"),"Pendência de TACH",IF(AND(C63&gt;0,J63="NECESSÁRIO AJUSTAR"),"Pendência de TACH",IF(AND(C63&gt;0,J63="Aguardando Aprovação"),"Pendência de TACH",IF(AND(C63&gt;0,J63="Aprovado"),"Sem Pendência de TACH",IF(AND(C63&gt;0,K63="Finalizado"),"Pendência de TACH",IF(AND(C63&gt;0,K63="Não Criado"),"Pendência de TACH",IF(AND(C63&gt;0,K63="Rascunho"),"Pendência de TACH",IF(AND(C63&gt;0,K63="NECESSÁRIO AJUSTAR"),"Pendência de TACH",IF(AND(C63&gt;0,K63="Aguardando Aprovação"),"Pendência de TACH",IF(AND(C63&gt;0,K63="Aprovado"),"Sem Pendência de TACH",IF(AND(C63&gt;0,KL="Finalizado"),"Pendência de TACH",IF(AND(C63&gt;0,KL="Não Criado"),"Pendência de TACH",IF(AND(C63&gt;0,KL="Rascunho"),"Pendência de TACH",IF(AND(C63&gt;0,L63="NECESSÁRIO AJUSTAR"),"Pendência de TACH",IF(AND(C63&gt;0,L63="Aguardando Aprovação"),"Pendência de TACH",IF(AND(C63&gt;0,L63="Aprovado"),"Sem Pendência de TACH"))))))))))))))))))))))))</f>
        <v>#NAME?</v>
      </c>
    </row>
    <row r="64" spans="1:14">
      <c r="A64" s="1"/>
      <c r="C64" s="2"/>
      <c r="M64" t="str">
        <f t="shared" si="1"/>
        <v/>
      </c>
      <c r="N64" t="e" cm="1">
        <f t="array" ref="N64">IF(AND(C64&gt;0,I64="Finalizado"),"Pendência de TACH",IF(AND(C64&gt;0,I64="Não Criado"),"Pendência de TACH",IF(AND(C64&gt;0,I64="Rascunho"),"Pendência de TACH",IF(AND(C64&gt;0,I64="NECESSÁRIO AJUSTAR"),"Pendência de TACH",IF(AND(C64&gt;0,I64="Aguardando Aprovação"),"Pendência de TACH",IF(AND(C64&gt;0,I64="Aprovado"),"Sem Pendência de TACH",IF(AND(C64&gt;0,J64="Finalizado"),"Pendência de TACH",IF(AND(C64&gt;0,J64="Não Criado"),"Pendência de TACH",IF(AND(C64&gt;0,J64="Rascunho"),"Pendência de TACH",IF(AND(C64&gt;0,J64="NECESSÁRIO AJUSTAR"),"Pendência de TACH",IF(AND(C64&gt;0,J64="Aguardando Aprovação"),"Pendência de TACH",IF(AND(C64&gt;0,J64="Aprovado"),"Sem Pendência de TACH",IF(AND(C64&gt;0,K64="Finalizado"),"Pendência de TACH",IF(AND(C64&gt;0,K64="Não Criado"),"Pendência de TACH",IF(AND(C64&gt;0,K64="Rascunho"),"Pendência de TACH",IF(AND(C64&gt;0,K64="NECESSÁRIO AJUSTAR"),"Pendência de TACH",IF(AND(C64&gt;0,K64="Aguardando Aprovação"),"Pendência de TACH",IF(AND(C64&gt;0,K64="Aprovado"),"Sem Pendência de TACH",IF(AND(C64&gt;0,KL="Finalizado"),"Pendência de TACH",IF(AND(C64&gt;0,KL="Não Criado"),"Pendência de TACH",IF(AND(C64&gt;0,KL="Rascunho"),"Pendência de TACH",IF(AND(C64&gt;0,L64="NECESSÁRIO AJUSTAR"),"Pendência de TACH",IF(AND(C64&gt;0,L64="Aguardando Aprovação"),"Pendência de TACH",IF(AND(C64&gt;0,L64="Aprovado"),"Sem Pendência de TACH"))))))))))))))))))))))))</f>
        <v>#NAME?</v>
      </c>
    </row>
    <row r="65" spans="3:14">
      <c r="C65" s="2"/>
      <c r="M65" t="str">
        <f t="shared" si="1"/>
        <v/>
      </c>
      <c r="N65" t="e" cm="1">
        <f t="array" ref="N65">IF(AND(C65&gt;0,I65="Finalizado"),"Pendência de TACH",IF(AND(C65&gt;0,I65="Não Criado"),"Pendência de TACH",IF(AND(C65&gt;0,I65="Rascunho"),"Pendência de TACH",IF(AND(C65&gt;0,I65="NECESSÁRIO AJUSTAR"),"Pendência de TACH",IF(AND(C65&gt;0,I65="Aguardando Aprovação"),"Pendência de TACH",IF(AND(C65&gt;0,I65="Aprovado"),"Sem Pendência de TACH",IF(AND(C65&gt;0,J65="Finalizado"),"Pendência de TACH",IF(AND(C65&gt;0,J65="Não Criado"),"Pendência de TACH",IF(AND(C65&gt;0,J65="Rascunho"),"Pendência de TACH",IF(AND(C65&gt;0,J65="NECESSÁRIO AJUSTAR"),"Pendência de TACH",IF(AND(C65&gt;0,J65="Aguardando Aprovação"),"Pendência de TACH",IF(AND(C65&gt;0,J65="Aprovado"),"Sem Pendência de TACH",IF(AND(C65&gt;0,K65="Finalizado"),"Pendência de TACH",IF(AND(C65&gt;0,K65="Não Criado"),"Pendência de TACH",IF(AND(C65&gt;0,K65="Rascunho"),"Pendência de TACH",IF(AND(C65&gt;0,K65="NECESSÁRIO AJUSTAR"),"Pendência de TACH",IF(AND(C65&gt;0,K65="Aguardando Aprovação"),"Pendência de TACH",IF(AND(C65&gt;0,K65="Aprovado"),"Sem Pendência de TACH",IF(AND(C65&gt;0,KL="Finalizado"),"Pendência de TACH",IF(AND(C65&gt;0,KL="Não Criado"),"Pendência de TACH",IF(AND(C65&gt;0,KL="Rascunho"),"Pendência de TACH",IF(AND(C65&gt;0,L65="NECESSÁRIO AJUSTAR"),"Pendência de TACH",IF(AND(C65&gt;0,L65="Aguardando Aprovação"),"Pendência de TACH",IF(AND(C65&gt;0,L65="Aprovado"),"Sem Pendência de TACH"))))))))))))))))))))))))</f>
        <v>#NAME?</v>
      </c>
    </row>
    <row r="66" spans="3:14">
      <c r="C66" s="2"/>
      <c r="M66" t="str">
        <f t="shared" si="1"/>
        <v/>
      </c>
      <c r="N66" t="e" cm="1">
        <f t="array" ref="N66">IF(AND(C66&gt;0,I66="Finalizado"),"Pendência de TACH",IF(AND(C66&gt;0,I66="Não Criado"),"Pendência de TACH",IF(AND(C66&gt;0,I66="Rascunho"),"Pendência de TACH",IF(AND(C66&gt;0,I66="NECESSÁRIO AJUSTAR"),"Pendência de TACH",IF(AND(C66&gt;0,I66="Aguardando Aprovação"),"Pendência de TACH",IF(AND(C66&gt;0,I66="Aprovado"),"Sem Pendência de TACH",IF(AND(C66&gt;0,J66="Finalizado"),"Pendência de TACH",IF(AND(C66&gt;0,J66="Não Criado"),"Pendência de TACH",IF(AND(C66&gt;0,J66="Rascunho"),"Pendência de TACH",IF(AND(C66&gt;0,J66="NECESSÁRIO AJUSTAR"),"Pendência de TACH",IF(AND(C66&gt;0,J66="Aguardando Aprovação"),"Pendência de TACH",IF(AND(C66&gt;0,J66="Aprovado"),"Sem Pendência de TACH",IF(AND(C66&gt;0,K66="Finalizado"),"Pendência de TACH",IF(AND(C66&gt;0,K66="Não Criado"),"Pendência de TACH",IF(AND(C66&gt;0,K66="Rascunho"),"Pendência de TACH",IF(AND(C66&gt;0,K66="NECESSÁRIO AJUSTAR"),"Pendência de TACH",IF(AND(C66&gt;0,K66="Aguardando Aprovação"),"Pendência de TACH",IF(AND(C66&gt;0,K66="Aprovado"),"Sem Pendência de TACH",IF(AND(C66&gt;0,KL="Finalizado"),"Pendência de TACH",IF(AND(C66&gt;0,KL="Não Criado"),"Pendência de TACH",IF(AND(C66&gt;0,KL="Rascunho"),"Pendência de TACH",IF(AND(C66&gt;0,L66="NECESSÁRIO AJUSTAR"),"Pendência de TACH",IF(AND(C66&gt;0,L66="Aguardando Aprovação"),"Pendência de TACH",IF(AND(C66&gt;0,L66="Aprovado"),"Sem Pendência de TACH"))))))))))))))))))))))))</f>
        <v>#NAME?</v>
      </c>
    </row>
    <row r="67" spans="3:14">
      <c r="C67" s="2"/>
      <c r="M67" t="str">
        <f t="shared" si="1"/>
        <v/>
      </c>
      <c r="N67" t="e" cm="1">
        <f t="array" ref="N67">IF(AND(C67&gt;0,I67="Finalizado"),"Pendência de TACH",IF(AND(C67&gt;0,I67="Não Criado"),"Pendência de TACH",IF(AND(C67&gt;0,I67="Rascunho"),"Pendência de TACH",IF(AND(C67&gt;0,I67="NECESSÁRIO AJUSTAR"),"Pendência de TACH",IF(AND(C67&gt;0,I67="Aguardando Aprovação"),"Pendência de TACH",IF(AND(C67&gt;0,I67="Aprovado"),"Sem Pendência de TACH",IF(AND(C67&gt;0,J67="Finalizado"),"Pendência de TACH",IF(AND(C67&gt;0,J67="Não Criado"),"Pendência de TACH",IF(AND(C67&gt;0,J67="Rascunho"),"Pendência de TACH",IF(AND(C67&gt;0,J67="NECESSÁRIO AJUSTAR"),"Pendência de TACH",IF(AND(C67&gt;0,J67="Aguardando Aprovação"),"Pendência de TACH",IF(AND(C67&gt;0,J67="Aprovado"),"Sem Pendência de TACH",IF(AND(C67&gt;0,K67="Finalizado"),"Pendência de TACH",IF(AND(C67&gt;0,K67="Não Criado"),"Pendência de TACH",IF(AND(C67&gt;0,K67="Rascunho"),"Pendência de TACH",IF(AND(C67&gt;0,K67="NECESSÁRIO AJUSTAR"),"Pendência de TACH",IF(AND(C67&gt;0,K67="Aguardando Aprovação"),"Pendência de TACH",IF(AND(C67&gt;0,K67="Aprovado"),"Sem Pendência de TACH",IF(AND(C67&gt;0,KL="Finalizado"),"Pendência de TACH",IF(AND(C67&gt;0,KL="Não Criado"),"Pendência de TACH",IF(AND(C67&gt;0,KL="Rascunho"),"Pendência de TACH",IF(AND(C67&gt;0,L67="NECESSÁRIO AJUSTAR"),"Pendência de TACH",IF(AND(C67&gt;0,L67="Aguardando Aprovação"),"Pendência de TACH",IF(AND(C67&gt;0,L67="Aprovado"),"Sem Pendência de TACH"))))))))))))))))))))))))</f>
        <v>#NAME?</v>
      </c>
    </row>
    <row r="68" spans="3:14">
      <c r="C68" s="2"/>
      <c r="M68" t="str">
        <f t="shared" si="1"/>
        <v/>
      </c>
      <c r="N68" t="e" cm="1">
        <f t="array" ref="N68">IF(AND(C68&gt;0,I68="Finalizado"),"Pendência de TACH",IF(AND(C68&gt;0,I68="Não Criado"),"Pendência de TACH",IF(AND(C68&gt;0,I68="Rascunho"),"Pendência de TACH",IF(AND(C68&gt;0,I68="NECESSÁRIO AJUSTAR"),"Pendência de TACH",IF(AND(C68&gt;0,I68="Aguardando Aprovação"),"Pendência de TACH",IF(AND(C68&gt;0,I68="Aprovado"),"Sem Pendência de TACH",IF(AND(C68&gt;0,J68="Finalizado"),"Pendência de TACH",IF(AND(C68&gt;0,J68="Não Criado"),"Pendência de TACH",IF(AND(C68&gt;0,J68="Rascunho"),"Pendência de TACH",IF(AND(C68&gt;0,J68="NECESSÁRIO AJUSTAR"),"Pendência de TACH",IF(AND(C68&gt;0,J68="Aguardando Aprovação"),"Pendência de TACH",IF(AND(C68&gt;0,J68="Aprovado"),"Sem Pendência de TACH",IF(AND(C68&gt;0,K68="Finalizado"),"Pendência de TACH",IF(AND(C68&gt;0,K68="Não Criado"),"Pendência de TACH",IF(AND(C68&gt;0,K68="Rascunho"),"Pendência de TACH",IF(AND(C68&gt;0,K68="NECESSÁRIO AJUSTAR"),"Pendência de TACH",IF(AND(C68&gt;0,K68="Aguardando Aprovação"),"Pendência de TACH",IF(AND(C68&gt;0,K68="Aprovado"),"Sem Pendência de TACH",IF(AND(C68&gt;0,KL="Finalizado"),"Pendência de TACH",IF(AND(C68&gt;0,KL="Não Criado"),"Pendência de TACH",IF(AND(C68&gt;0,KL="Rascunho"),"Pendência de TACH",IF(AND(C68&gt;0,L68="NECESSÁRIO AJUSTAR"),"Pendência de TACH",IF(AND(C68&gt;0,L68="Aguardando Aprovação"),"Pendência de TACH",IF(AND(C68&gt;0,L68="Aprovado"),"Sem Pendência de TACH"))))))))))))))))))))))))</f>
        <v>#NAME?</v>
      </c>
    </row>
    <row r="69" spans="3:14">
      <c r="C69" s="2"/>
      <c r="M69" t="str">
        <f t="shared" si="1"/>
        <v/>
      </c>
      <c r="N69" t="e" cm="1">
        <f t="array" ref="N69">IF(AND(C69&gt;0,I69="Finalizado"),"Pendência de TACH",IF(AND(C69&gt;0,I69="Não Criado"),"Pendência de TACH",IF(AND(C69&gt;0,I69="Rascunho"),"Pendência de TACH",IF(AND(C69&gt;0,I69="NECESSÁRIO AJUSTAR"),"Pendência de TACH",IF(AND(C69&gt;0,I69="Aguardando Aprovação"),"Pendência de TACH",IF(AND(C69&gt;0,I69="Aprovado"),"Sem Pendência de TACH",IF(AND(C69&gt;0,J69="Finalizado"),"Pendência de TACH",IF(AND(C69&gt;0,J69="Não Criado"),"Pendência de TACH",IF(AND(C69&gt;0,J69="Rascunho"),"Pendência de TACH",IF(AND(C69&gt;0,J69="NECESSÁRIO AJUSTAR"),"Pendência de TACH",IF(AND(C69&gt;0,J69="Aguardando Aprovação"),"Pendência de TACH",IF(AND(C69&gt;0,J69="Aprovado"),"Sem Pendência de TACH",IF(AND(C69&gt;0,K69="Finalizado"),"Pendência de TACH",IF(AND(C69&gt;0,K69="Não Criado"),"Pendência de TACH",IF(AND(C69&gt;0,K69="Rascunho"),"Pendência de TACH",IF(AND(C69&gt;0,K69="NECESSÁRIO AJUSTAR"),"Pendência de TACH",IF(AND(C69&gt;0,K69="Aguardando Aprovação"),"Pendência de TACH",IF(AND(C69&gt;0,K69="Aprovado"),"Sem Pendência de TACH",IF(AND(C69&gt;0,KL="Finalizado"),"Pendência de TACH",IF(AND(C69&gt;0,KL="Não Criado"),"Pendência de TACH",IF(AND(C69&gt;0,KL="Rascunho"),"Pendência de TACH",IF(AND(C69&gt;0,L69="NECESSÁRIO AJUSTAR"),"Pendência de TACH",IF(AND(C69&gt;0,L69="Aguardando Aprovação"),"Pendência de TACH",IF(AND(C69&gt;0,L69="Aprovado"),"Sem Pendência de TACH"))))))))))))))))))))))))</f>
        <v>#NAME?</v>
      </c>
    </row>
    <row r="70" spans="3:14">
      <c r="C70" s="2"/>
      <c r="M70" t="str">
        <f t="shared" si="1"/>
        <v/>
      </c>
      <c r="N70" t="e" cm="1">
        <f t="array" ref="N70">IF(AND(C70&gt;0,I70="Finalizado"),"Pendência de TACH",IF(AND(C70&gt;0,I70="Não Criado"),"Pendência de TACH",IF(AND(C70&gt;0,I70="Rascunho"),"Pendência de TACH",IF(AND(C70&gt;0,I70="NECESSÁRIO AJUSTAR"),"Pendência de TACH",IF(AND(C70&gt;0,I70="Aguardando Aprovação"),"Pendência de TACH",IF(AND(C70&gt;0,I70="Aprovado"),"Sem Pendência de TACH",IF(AND(C70&gt;0,J70="Finalizado"),"Pendência de TACH",IF(AND(C70&gt;0,J70="Não Criado"),"Pendência de TACH",IF(AND(C70&gt;0,J70="Rascunho"),"Pendência de TACH",IF(AND(C70&gt;0,J70="NECESSÁRIO AJUSTAR"),"Pendência de TACH",IF(AND(C70&gt;0,J70="Aguardando Aprovação"),"Pendência de TACH",IF(AND(C70&gt;0,J70="Aprovado"),"Sem Pendência de TACH",IF(AND(C70&gt;0,K70="Finalizado"),"Pendência de TACH",IF(AND(C70&gt;0,K70="Não Criado"),"Pendência de TACH",IF(AND(C70&gt;0,K70="Rascunho"),"Pendência de TACH",IF(AND(C70&gt;0,K70="NECESSÁRIO AJUSTAR"),"Pendência de TACH",IF(AND(C70&gt;0,K70="Aguardando Aprovação"),"Pendência de TACH",IF(AND(C70&gt;0,K70="Aprovado"),"Sem Pendência de TACH",IF(AND(C70&gt;0,KL="Finalizado"),"Pendência de TACH",IF(AND(C70&gt;0,KL="Não Criado"),"Pendência de TACH",IF(AND(C70&gt;0,KL="Rascunho"),"Pendência de TACH",IF(AND(C70&gt;0,L70="NECESSÁRIO AJUSTAR"),"Pendência de TACH",IF(AND(C70&gt;0,L70="Aguardando Aprovação"),"Pendência de TACH",IF(AND(C70&gt;0,L70="Aprovado"),"Sem Pendência de TACH"))))))))))))))))))))))))</f>
        <v>#NAME?</v>
      </c>
    </row>
    <row r="71" spans="3:14">
      <c r="C71" s="2"/>
      <c r="M71" t="str">
        <f t="shared" si="1"/>
        <v/>
      </c>
      <c r="N71" t="e" cm="1">
        <f t="array" ref="N71">IF(AND(C71&gt;0,I71="Finalizado"),"Pendência de TACH",IF(AND(C71&gt;0,I71="Não Criado"),"Pendência de TACH",IF(AND(C71&gt;0,I71="Rascunho"),"Pendência de TACH",IF(AND(C71&gt;0,I71="NECESSÁRIO AJUSTAR"),"Pendência de TACH",IF(AND(C71&gt;0,I71="Aguardando Aprovação"),"Pendência de TACH",IF(AND(C71&gt;0,I71="Aprovado"),"Sem Pendência de TACH",IF(AND(C71&gt;0,J71="Finalizado"),"Pendência de TACH",IF(AND(C71&gt;0,J71="Não Criado"),"Pendência de TACH",IF(AND(C71&gt;0,J71="Rascunho"),"Pendência de TACH",IF(AND(C71&gt;0,J71="NECESSÁRIO AJUSTAR"),"Pendência de TACH",IF(AND(C71&gt;0,J71="Aguardando Aprovação"),"Pendência de TACH",IF(AND(C71&gt;0,J71="Aprovado"),"Sem Pendência de TACH",IF(AND(C71&gt;0,K71="Finalizado"),"Pendência de TACH",IF(AND(C71&gt;0,K71="Não Criado"),"Pendência de TACH",IF(AND(C71&gt;0,K71="Rascunho"),"Pendência de TACH",IF(AND(C71&gt;0,K71="NECESSÁRIO AJUSTAR"),"Pendência de TACH",IF(AND(C71&gt;0,K71="Aguardando Aprovação"),"Pendência de TACH",IF(AND(C71&gt;0,K71="Aprovado"),"Sem Pendência de TACH",IF(AND(C71&gt;0,KL="Finalizado"),"Pendência de TACH",IF(AND(C71&gt;0,KL="Não Criado"),"Pendência de TACH",IF(AND(C71&gt;0,KL="Rascunho"),"Pendência de TACH",IF(AND(C71&gt;0,L71="NECESSÁRIO AJUSTAR"),"Pendência de TACH",IF(AND(C71&gt;0,L71="Aguardando Aprovação"),"Pendência de TACH",IF(AND(C71&gt;0,L71="Aprovado"),"Sem Pendência de TACH"))))))))))))))))))))))))</f>
        <v>#NAME?</v>
      </c>
    </row>
    <row r="72" spans="3:14">
      <c r="C72" s="2"/>
      <c r="M72" t="str">
        <f t="shared" si="1"/>
        <v/>
      </c>
      <c r="N72" t="e" cm="1">
        <f t="array" ref="N72">IF(AND(C72&gt;0,I72="Finalizado"),"Pendência de TACH",IF(AND(C72&gt;0,I72="Não Criado"),"Pendência de TACH",IF(AND(C72&gt;0,I72="Rascunho"),"Pendência de TACH",IF(AND(C72&gt;0,I72="NECESSÁRIO AJUSTAR"),"Pendência de TACH",IF(AND(C72&gt;0,I72="Aguardando Aprovação"),"Pendência de TACH",IF(AND(C72&gt;0,I72="Aprovado"),"Sem Pendência de TACH",IF(AND(C72&gt;0,J72="Finalizado"),"Pendência de TACH",IF(AND(C72&gt;0,J72="Não Criado"),"Pendência de TACH",IF(AND(C72&gt;0,J72="Rascunho"),"Pendência de TACH",IF(AND(C72&gt;0,J72="NECESSÁRIO AJUSTAR"),"Pendência de TACH",IF(AND(C72&gt;0,J72="Aguardando Aprovação"),"Pendência de TACH",IF(AND(C72&gt;0,J72="Aprovado"),"Sem Pendência de TACH",IF(AND(C72&gt;0,K72="Finalizado"),"Pendência de TACH",IF(AND(C72&gt;0,K72="Não Criado"),"Pendência de TACH",IF(AND(C72&gt;0,K72="Rascunho"),"Pendência de TACH",IF(AND(C72&gt;0,K72="NECESSÁRIO AJUSTAR"),"Pendência de TACH",IF(AND(C72&gt;0,K72="Aguardando Aprovação"),"Pendência de TACH",IF(AND(C72&gt;0,K72="Aprovado"),"Sem Pendência de TACH",IF(AND(C72&gt;0,KL="Finalizado"),"Pendência de TACH",IF(AND(C72&gt;0,KL="Não Criado"),"Pendência de TACH",IF(AND(C72&gt;0,KL="Rascunho"),"Pendência de TACH",IF(AND(C72&gt;0,L72="NECESSÁRIO AJUSTAR"),"Pendência de TACH",IF(AND(C72&gt;0,L72="Aguardando Aprovação"),"Pendência de TACH",IF(AND(C72&gt;0,L72="Aprovado"),"Sem Pendência de TACH"))))))))))))))))))))))))</f>
        <v>#NAME?</v>
      </c>
    </row>
    <row r="73" spans="3:14">
      <c r="C73" s="2"/>
      <c r="M73" t="str">
        <f t="shared" si="1"/>
        <v/>
      </c>
      <c r="N73" t="e" cm="1">
        <f t="array" ref="N73">IF(AND(C73&gt;0,I73="Finalizado"),"Pendência de TACH",IF(AND(C73&gt;0,I73="Não Criado"),"Pendência de TACH",IF(AND(C73&gt;0,I73="Rascunho"),"Pendência de TACH",IF(AND(C73&gt;0,I73="NECESSÁRIO AJUSTAR"),"Pendência de TACH",IF(AND(C73&gt;0,I73="Aguardando Aprovação"),"Pendência de TACH",IF(AND(C73&gt;0,I73="Aprovado"),"Sem Pendência de TACH",IF(AND(C73&gt;0,J73="Finalizado"),"Pendência de TACH",IF(AND(C73&gt;0,J73="Não Criado"),"Pendência de TACH",IF(AND(C73&gt;0,J73="Rascunho"),"Pendência de TACH",IF(AND(C73&gt;0,J73="NECESSÁRIO AJUSTAR"),"Pendência de TACH",IF(AND(C73&gt;0,J73="Aguardando Aprovação"),"Pendência de TACH",IF(AND(C73&gt;0,J73="Aprovado"),"Sem Pendência de TACH",IF(AND(C73&gt;0,K73="Finalizado"),"Pendência de TACH",IF(AND(C73&gt;0,K73="Não Criado"),"Pendência de TACH",IF(AND(C73&gt;0,K73="Rascunho"),"Pendência de TACH",IF(AND(C73&gt;0,K73="NECESSÁRIO AJUSTAR"),"Pendência de TACH",IF(AND(C73&gt;0,K73="Aguardando Aprovação"),"Pendência de TACH",IF(AND(C73&gt;0,K73="Aprovado"),"Sem Pendência de TACH",IF(AND(C73&gt;0,KL="Finalizado"),"Pendência de TACH",IF(AND(C73&gt;0,KL="Não Criado"),"Pendência de TACH",IF(AND(C73&gt;0,KL="Rascunho"),"Pendência de TACH",IF(AND(C73&gt;0,L73="NECESSÁRIO AJUSTAR"),"Pendência de TACH",IF(AND(C73&gt;0,L73="Aguardando Aprovação"),"Pendência de TACH",IF(AND(C73&gt;0,L73="Aprovado"),"Sem Pendência de TACH"))))))))))))))))))))))))</f>
        <v>#NAME?</v>
      </c>
    </row>
    <row r="74" spans="3:14">
      <c r="C74" s="2"/>
      <c r="M74" t="str">
        <f t="shared" si="1"/>
        <v/>
      </c>
      <c r="N74" t="e" cm="1">
        <f t="array" ref="N74">IF(AND(C74&gt;0,I74="Finalizado"),"Pendência de TACH",IF(AND(C74&gt;0,I74="Não Criado"),"Pendência de TACH",IF(AND(C74&gt;0,I74="Rascunho"),"Pendência de TACH",IF(AND(C74&gt;0,I74="NECESSÁRIO AJUSTAR"),"Pendência de TACH",IF(AND(C74&gt;0,I74="Aguardando Aprovação"),"Pendência de TACH",IF(AND(C74&gt;0,I74="Aprovado"),"Sem Pendência de TACH",IF(AND(C74&gt;0,J74="Finalizado"),"Pendência de TACH",IF(AND(C74&gt;0,J74="Não Criado"),"Pendência de TACH",IF(AND(C74&gt;0,J74="Rascunho"),"Pendência de TACH",IF(AND(C74&gt;0,J74="NECESSÁRIO AJUSTAR"),"Pendência de TACH",IF(AND(C74&gt;0,J74="Aguardando Aprovação"),"Pendência de TACH",IF(AND(C74&gt;0,J74="Aprovado"),"Sem Pendência de TACH",IF(AND(C74&gt;0,K74="Finalizado"),"Pendência de TACH",IF(AND(C74&gt;0,K74="Não Criado"),"Pendência de TACH",IF(AND(C74&gt;0,K74="Rascunho"),"Pendência de TACH",IF(AND(C74&gt;0,K74="NECESSÁRIO AJUSTAR"),"Pendência de TACH",IF(AND(C74&gt;0,K74="Aguardando Aprovação"),"Pendência de TACH",IF(AND(C74&gt;0,K74="Aprovado"),"Sem Pendência de TACH",IF(AND(C74&gt;0,KL="Finalizado"),"Pendência de TACH",IF(AND(C74&gt;0,KL="Não Criado"),"Pendência de TACH",IF(AND(C74&gt;0,KL="Rascunho"),"Pendência de TACH",IF(AND(C74&gt;0,L74="NECESSÁRIO AJUSTAR"),"Pendência de TACH",IF(AND(C74&gt;0,L74="Aguardando Aprovação"),"Pendência de TACH",IF(AND(C74&gt;0,L74="Aprovado"),"Sem Pendência de TACH"))))))))))))))))))))))))</f>
        <v>#NAME?</v>
      </c>
    </row>
    <row r="75" spans="3:14">
      <c r="C75" s="2"/>
      <c r="M75" t="str">
        <f t="shared" si="1"/>
        <v/>
      </c>
      <c r="N75" t="e" cm="1">
        <f t="array" ref="N75">IF(AND(C75&gt;0,I75="Finalizado"),"Pendência de TACH",IF(AND(C75&gt;0,I75="Não Criado"),"Pendência de TACH",IF(AND(C75&gt;0,I75="Rascunho"),"Pendência de TACH",IF(AND(C75&gt;0,I75="NECESSÁRIO AJUSTAR"),"Pendência de TACH",IF(AND(C75&gt;0,I75="Aguardando Aprovação"),"Pendência de TACH",IF(AND(C75&gt;0,I75="Aprovado"),"Sem Pendência de TACH",IF(AND(C75&gt;0,J75="Finalizado"),"Pendência de TACH",IF(AND(C75&gt;0,J75="Não Criado"),"Pendência de TACH",IF(AND(C75&gt;0,J75="Rascunho"),"Pendência de TACH",IF(AND(C75&gt;0,J75="NECESSÁRIO AJUSTAR"),"Pendência de TACH",IF(AND(C75&gt;0,J75="Aguardando Aprovação"),"Pendência de TACH",IF(AND(C75&gt;0,J75="Aprovado"),"Sem Pendência de TACH",IF(AND(C75&gt;0,K75="Finalizado"),"Pendência de TACH",IF(AND(C75&gt;0,K75="Não Criado"),"Pendência de TACH",IF(AND(C75&gt;0,K75="Rascunho"),"Pendência de TACH",IF(AND(C75&gt;0,K75="NECESSÁRIO AJUSTAR"),"Pendência de TACH",IF(AND(C75&gt;0,K75="Aguardando Aprovação"),"Pendência de TACH",IF(AND(C75&gt;0,K75="Aprovado"),"Sem Pendência de TACH",IF(AND(C75&gt;0,KL="Finalizado"),"Pendência de TACH",IF(AND(C75&gt;0,KL="Não Criado"),"Pendência de TACH",IF(AND(C75&gt;0,KL="Rascunho"),"Pendência de TACH",IF(AND(C75&gt;0,L75="NECESSÁRIO AJUSTAR"),"Pendência de TACH",IF(AND(C75&gt;0,L75="Aguardando Aprovação"),"Pendência de TACH",IF(AND(C75&gt;0,L75="Aprovado"),"Sem Pendência de TACH"))))))))))))))))))))))))</f>
        <v>#NAME?</v>
      </c>
    </row>
    <row r="76" spans="3:14">
      <c r="C76" s="2"/>
      <c r="M76" t="str">
        <f t="shared" si="1"/>
        <v/>
      </c>
      <c r="N76" t="e" cm="1">
        <f t="array" ref="N76">IF(AND(C76&gt;0,I76="Finalizado"),"Pendência de TACH",IF(AND(C76&gt;0,I76="Não Criado"),"Pendência de TACH",IF(AND(C76&gt;0,I76="Rascunho"),"Pendência de TACH",IF(AND(C76&gt;0,I76="NECESSÁRIO AJUSTAR"),"Pendência de TACH",IF(AND(C76&gt;0,I76="Aguardando Aprovação"),"Pendência de TACH",IF(AND(C76&gt;0,I76="Aprovado"),"Sem Pendência de TACH",IF(AND(C76&gt;0,J76="Finalizado"),"Pendência de TACH",IF(AND(C76&gt;0,J76="Não Criado"),"Pendência de TACH",IF(AND(C76&gt;0,J76="Rascunho"),"Pendência de TACH",IF(AND(C76&gt;0,J76="NECESSÁRIO AJUSTAR"),"Pendência de TACH",IF(AND(C76&gt;0,J76="Aguardando Aprovação"),"Pendência de TACH",IF(AND(C76&gt;0,J76="Aprovado"),"Sem Pendência de TACH",IF(AND(C76&gt;0,K76="Finalizado"),"Pendência de TACH",IF(AND(C76&gt;0,K76="Não Criado"),"Pendência de TACH",IF(AND(C76&gt;0,K76="Rascunho"),"Pendência de TACH",IF(AND(C76&gt;0,K76="NECESSÁRIO AJUSTAR"),"Pendência de TACH",IF(AND(C76&gt;0,K76="Aguardando Aprovação"),"Pendência de TACH",IF(AND(C76&gt;0,K76="Aprovado"),"Sem Pendência de TACH",IF(AND(C76&gt;0,KL="Finalizado"),"Pendência de TACH",IF(AND(C76&gt;0,KL="Não Criado"),"Pendência de TACH",IF(AND(C76&gt;0,KL="Rascunho"),"Pendência de TACH",IF(AND(C76&gt;0,L76="NECESSÁRIO AJUSTAR"),"Pendência de TACH",IF(AND(C76&gt;0,L76="Aguardando Aprovação"),"Pendência de TACH",IF(AND(C76&gt;0,L76="Aprovado"),"Sem Pendência de TACH"))))))))))))))))))))))))</f>
        <v>#NAME?</v>
      </c>
    </row>
    <row r="77" spans="3:14">
      <c r="C77" s="2"/>
      <c r="M77" t="str">
        <f t="shared" si="1"/>
        <v/>
      </c>
      <c r="N77" t="e" cm="1">
        <f t="array" ref="N77">IF(AND(C77&gt;0,I77="Finalizado"),"Pendência de TACH",IF(AND(C77&gt;0,I77="Não Criado"),"Pendência de TACH",IF(AND(C77&gt;0,I77="Rascunho"),"Pendência de TACH",IF(AND(C77&gt;0,I77="NECESSÁRIO AJUSTAR"),"Pendência de TACH",IF(AND(C77&gt;0,I77="Aguardando Aprovação"),"Pendência de TACH",IF(AND(C77&gt;0,I77="Aprovado"),"Sem Pendência de TACH",IF(AND(C77&gt;0,J77="Finalizado"),"Pendência de TACH",IF(AND(C77&gt;0,J77="Não Criado"),"Pendência de TACH",IF(AND(C77&gt;0,J77="Rascunho"),"Pendência de TACH",IF(AND(C77&gt;0,J77="NECESSÁRIO AJUSTAR"),"Pendência de TACH",IF(AND(C77&gt;0,J77="Aguardando Aprovação"),"Pendência de TACH",IF(AND(C77&gt;0,J77="Aprovado"),"Sem Pendência de TACH",IF(AND(C77&gt;0,K77="Finalizado"),"Pendência de TACH",IF(AND(C77&gt;0,K77="Não Criado"),"Pendência de TACH",IF(AND(C77&gt;0,K77="Rascunho"),"Pendência de TACH",IF(AND(C77&gt;0,K77="NECESSÁRIO AJUSTAR"),"Pendência de TACH",IF(AND(C77&gt;0,K77="Aguardando Aprovação"),"Pendência de TACH",IF(AND(C77&gt;0,K77="Aprovado"),"Sem Pendência de TACH",IF(AND(C77&gt;0,KL="Finalizado"),"Pendência de TACH",IF(AND(C77&gt;0,KL="Não Criado"),"Pendência de TACH",IF(AND(C77&gt;0,KL="Rascunho"),"Pendência de TACH",IF(AND(C77&gt;0,L77="NECESSÁRIO AJUSTAR"),"Pendência de TACH",IF(AND(C77&gt;0,L77="Aguardando Aprovação"),"Pendência de TACH",IF(AND(C77&gt;0,L77="Aprovado"),"Sem Pendência de TACH"))))))))))))))))))))))))</f>
        <v>#NAME?</v>
      </c>
    </row>
    <row r="78" spans="3:14">
      <c r="C78" s="2"/>
      <c r="M78" t="str">
        <f t="shared" si="1"/>
        <v/>
      </c>
      <c r="N78" t="e" cm="1">
        <f t="array" ref="N78">IF(AND(C78&gt;0,I78="Finalizado"),"Pendência de TACH",IF(AND(C78&gt;0,I78="Não Criado"),"Pendência de TACH",IF(AND(C78&gt;0,I78="Rascunho"),"Pendência de TACH",IF(AND(C78&gt;0,I78="NECESSÁRIO AJUSTAR"),"Pendência de TACH",IF(AND(C78&gt;0,I78="Aguardando Aprovação"),"Pendência de TACH",IF(AND(C78&gt;0,I78="Aprovado"),"Sem Pendência de TACH",IF(AND(C78&gt;0,J78="Finalizado"),"Pendência de TACH",IF(AND(C78&gt;0,J78="Não Criado"),"Pendência de TACH",IF(AND(C78&gt;0,J78="Rascunho"),"Pendência de TACH",IF(AND(C78&gt;0,J78="NECESSÁRIO AJUSTAR"),"Pendência de TACH",IF(AND(C78&gt;0,J78="Aguardando Aprovação"),"Pendência de TACH",IF(AND(C78&gt;0,J78="Aprovado"),"Sem Pendência de TACH",IF(AND(C78&gt;0,K78="Finalizado"),"Pendência de TACH",IF(AND(C78&gt;0,K78="Não Criado"),"Pendência de TACH",IF(AND(C78&gt;0,K78="Rascunho"),"Pendência de TACH",IF(AND(C78&gt;0,K78="NECESSÁRIO AJUSTAR"),"Pendência de TACH",IF(AND(C78&gt;0,K78="Aguardando Aprovação"),"Pendência de TACH",IF(AND(C78&gt;0,K78="Aprovado"),"Sem Pendência de TACH",IF(AND(C78&gt;0,KL="Finalizado"),"Pendência de TACH",IF(AND(C78&gt;0,KL="Não Criado"),"Pendência de TACH",IF(AND(C78&gt;0,KL="Rascunho"),"Pendência de TACH",IF(AND(C78&gt;0,L78="NECESSÁRIO AJUSTAR"),"Pendência de TACH",IF(AND(C78&gt;0,L78="Aguardando Aprovação"),"Pendência de TACH",IF(AND(C78&gt;0,L78="Aprovado"),"Sem Pendência de TACH"))))))))))))))))))))))))</f>
        <v>#NAME?</v>
      </c>
    </row>
    <row r="79" spans="3:14">
      <c r="C79" s="2"/>
      <c r="M79" t="str">
        <f t="shared" si="1"/>
        <v/>
      </c>
      <c r="N79" t="e" cm="1">
        <f t="array" ref="N79">IF(AND(C79&gt;0,I79="Finalizado"),"Pendência de TACH",IF(AND(C79&gt;0,I79="Não Criado"),"Pendência de TACH",IF(AND(C79&gt;0,I79="Rascunho"),"Pendência de TACH",IF(AND(C79&gt;0,I79="NECESSÁRIO AJUSTAR"),"Pendência de TACH",IF(AND(C79&gt;0,I79="Aguardando Aprovação"),"Pendência de TACH",IF(AND(C79&gt;0,I79="Aprovado"),"Sem Pendência de TACH",IF(AND(C79&gt;0,J79="Finalizado"),"Pendência de TACH",IF(AND(C79&gt;0,J79="Não Criado"),"Pendência de TACH",IF(AND(C79&gt;0,J79="Rascunho"),"Pendência de TACH",IF(AND(C79&gt;0,J79="NECESSÁRIO AJUSTAR"),"Pendência de TACH",IF(AND(C79&gt;0,J79="Aguardando Aprovação"),"Pendência de TACH",IF(AND(C79&gt;0,J79="Aprovado"),"Sem Pendência de TACH",IF(AND(C79&gt;0,K79="Finalizado"),"Pendência de TACH",IF(AND(C79&gt;0,K79="Não Criado"),"Pendência de TACH",IF(AND(C79&gt;0,K79="Rascunho"),"Pendência de TACH",IF(AND(C79&gt;0,K79="NECESSÁRIO AJUSTAR"),"Pendência de TACH",IF(AND(C79&gt;0,K79="Aguardando Aprovação"),"Pendência de TACH",IF(AND(C79&gt;0,K79="Aprovado"),"Sem Pendência de TACH",IF(AND(C79&gt;0,KL="Finalizado"),"Pendência de TACH",IF(AND(C79&gt;0,KL="Não Criado"),"Pendência de TACH",IF(AND(C79&gt;0,KL="Rascunho"),"Pendência de TACH",IF(AND(C79&gt;0,L79="NECESSÁRIO AJUSTAR"),"Pendência de TACH",IF(AND(C79&gt;0,L79="Aguardando Aprovação"),"Pendência de TACH",IF(AND(C79&gt;0,L79="Aprovado"),"Sem Pendência de TACH"))))))))))))))))))))))))</f>
        <v>#NAME?</v>
      </c>
    </row>
    <row r="80" spans="3:14">
      <c r="C80" s="2"/>
      <c r="M80" t="str">
        <f t="shared" si="1"/>
        <v/>
      </c>
      <c r="N80" t="e" cm="1">
        <f t="array" ref="N80">IF(AND(C80&gt;0,I80="Finalizado"),"Pendência de TACH",IF(AND(C80&gt;0,I80="Não Criado"),"Pendência de TACH",IF(AND(C80&gt;0,I80="Rascunho"),"Pendência de TACH",IF(AND(C80&gt;0,I80="NECESSÁRIO AJUSTAR"),"Pendência de TACH",IF(AND(C80&gt;0,I80="Aguardando Aprovação"),"Pendência de TACH",IF(AND(C80&gt;0,I80="Aprovado"),"Sem Pendência de TACH",IF(AND(C80&gt;0,J80="Finalizado"),"Pendência de TACH",IF(AND(C80&gt;0,J80="Não Criado"),"Pendência de TACH",IF(AND(C80&gt;0,J80="Rascunho"),"Pendência de TACH",IF(AND(C80&gt;0,J80="NECESSÁRIO AJUSTAR"),"Pendência de TACH",IF(AND(C80&gt;0,J80="Aguardando Aprovação"),"Pendência de TACH",IF(AND(C80&gt;0,J80="Aprovado"),"Sem Pendência de TACH",IF(AND(C80&gt;0,K80="Finalizado"),"Pendência de TACH",IF(AND(C80&gt;0,K80="Não Criado"),"Pendência de TACH",IF(AND(C80&gt;0,K80="Rascunho"),"Pendência de TACH",IF(AND(C80&gt;0,K80="NECESSÁRIO AJUSTAR"),"Pendência de TACH",IF(AND(C80&gt;0,K80="Aguardando Aprovação"),"Pendência de TACH",IF(AND(C80&gt;0,K80="Aprovado"),"Sem Pendência de TACH",IF(AND(C80&gt;0,KL="Finalizado"),"Pendência de TACH",IF(AND(C80&gt;0,KL="Não Criado"),"Pendência de TACH",IF(AND(C80&gt;0,KL="Rascunho"),"Pendência de TACH",IF(AND(C80&gt;0,L80="NECESSÁRIO AJUSTAR"),"Pendência de TACH",IF(AND(C80&gt;0,L80="Aguardando Aprovação"),"Pendência de TACH",IF(AND(C80&gt;0,L80="Aprovado"),"Sem Pendência de TACH"))))))))))))))))))))))))</f>
        <v>#NAME?</v>
      </c>
    </row>
    <row r="81" spans="3:14">
      <c r="C81" s="2"/>
      <c r="M81" t="str">
        <f t="shared" si="1"/>
        <v/>
      </c>
      <c r="N81" t="e" cm="1">
        <f t="array" ref="N81">IF(AND(C81&gt;0,I81="Finalizado"),"Pendência de TACH",IF(AND(C81&gt;0,I81="Não Criado"),"Pendência de TACH",IF(AND(C81&gt;0,I81="Rascunho"),"Pendência de TACH",IF(AND(C81&gt;0,I81="NECESSÁRIO AJUSTAR"),"Pendência de TACH",IF(AND(C81&gt;0,I81="Aguardando Aprovação"),"Pendência de TACH",IF(AND(C81&gt;0,I81="Aprovado"),"Sem Pendência de TACH",IF(AND(C81&gt;0,J81="Finalizado"),"Pendência de TACH",IF(AND(C81&gt;0,J81="Não Criado"),"Pendência de TACH",IF(AND(C81&gt;0,J81="Rascunho"),"Pendência de TACH",IF(AND(C81&gt;0,J81="NECESSÁRIO AJUSTAR"),"Pendência de TACH",IF(AND(C81&gt;0,J81="Aguardando Aprovação"),"Pendência de TACH",IF(AND(C81&gt;0,J81="Aprovado"),"Sem Pendência de TACH",IF(AND(C81&gt;0,K81="Finalizado"),"Pendência de TACH",IF(AND(C81&gt;0,K81="Não Criado"),"Pendência de TACH",IF(AND(C81&gt;0,K81="Rascunho"),"Pendência de TACH",IF(AND(C81&gt;0,K81="NECESSÁRIO AJUSTAR"),"Pendência de TACH",IF(AND(C81&gt;0,K81="Aguardando Aprovação"),"Pendência de TACH",IF(AND(C81&gt;0,K81="Aprovado"),"Sem Pendência de TACH",IF(AND(C81&gt;0,KL="Finalizado"),"Pendência de TACH",IF(AND(C81&gt;0,KL="Não Criado"),"Pendência de TACH",IF(AND(C81&gt;0,KL="Rascunho"),"Pendência de TACH",IF(AND(C81&gt;0,L81="NECESSÁRIO AJUSTAR"),"Pendência de TACH",IF(AND(C81&gt;0,L81="Aguardando Aprovação"),"Pendência de TACH",IF(AND(C81&gt;0,L81="Aprovado"),"Sem Pendência de TACH"))))))))))))))))))))))))</f>
        <v>#NAME?</v>
      </c>
    </row>
    <row r="82" spans="3:14">
      <c r="C82" s="2"/>
      <c r="M82" t="str">
        <f t="shared" si="1"/>
        <v/>
      </c>
      <c r="N82" t="e" cm="1">
        <f t="array" ref="N82">IF(AND(C82&gt;0,I82="Finalizado"),"Pendência de TACH",IF(AND(C82&gt;0,I82="Não Criado"),"Pendência de TACH",IF(AND(C82&gt;0,I82="Rascunho"),"Pendência de TACH",IF(AND(C82&gt;0,I82="NECESSÁRIO AJUSTAR"),"Pendência de TACH",IF(AND(C82&gt;0,I82="Aguardando Aprovação"),"Pendência de TACH",IF(AND(C82&gt;0,I82="Aprovado"),"Sem Pendência de TACH",IF(AND(C82&gt;0,J82="Finalizado"),"Pendência de TACH",IF(AND(C82&gt;0,J82="Não Criado"),"Pendência de TACH",IF(AND(C82&gt;0,J82="Rascunho"),"Pendência de TACH",IF(AND(C82&gt;0,J82="NECESSÁRIO AJUSTAR"),"Pendência de TACH",IF(AND(C82&gt;0,J82="Aguardando Aprovação"),"Pendência de TACH",IF(AND(C82&gt;0,J82="Aprovado"),"Sem Pendência de TACH",IF(AND(C82&gt;0,K82="Finalizado"),"Pendência de TACH",IF(AND(C82&gt;0,K82="Não Criado"),"Pendência de TACH",IF(AND(C82&gt;0,K82="Rascunho"),"Pendência de TACH",IF(AND(C82&gt;0,K82="NECESSÁRIO AJUSTAR"),"Pendência de TACH",IF(AND(C82&gt;0,K82="Aguardando Aprovação"),"Pendência de TACH",IF(AND(C82&gt;0,K82="Aprovado"),"Sem Pendência de TACH",IF(AND(C82&gt;0,KL="Finalizado"),"Pendência de TACH",IF(AND(C82&gt;0,KL="Não Criado"),"Pendência de TACH",IF(AND(C82&gt;0,KL="Rascunho"),"Pendência de TACH",IF(AND(C82&gt;0,L82="NECESSÁRIO AJUSTAR"),"Pendência de TACH",IF(AND(C82&gt;0,L82="Aguardando Aprovação"),"Pendência de TACH",IF(AND(C82&gt;0,L82="Aprovado"),"Sem Pendência de TACH"))))))))))))))))))))))))</f>
        <v>#NAME?</v>
      </c>
    </row>
    <row r="83" spans="3:14">
      <c r="C83" s="2"/>
      <c r="M83" t="str">
        <f t="shared" si="1"/>
        <v/>
      </c>
      <c r="N83" t="e" cm="1">
        <f t="array" ref="N83">IF(AND(C83&gt;0,I83="Finalizado"),"Pendência de TACH",IF(AND(C83&gt;0,I83="Não Criado"),"Pendência de TACH",IF(AND(C83&gt;0,I83="Rascunho"),"Pendência de TACH",IF(AND(C83&gt;0,I83="NECESSÁRIO AJUSTAR"),"Pendência de TACH",IF(AND(C83&gt;0,I83="Aguardando Aprovação"),"Pendência de TACH",IF(AND(C83&gt;0,I83="Aprovado"),"Sem Pendência de TACH",IF(AND(C83&gt;0,J83="Finalizado"),"Pendência de TACH",IF(AND(C83&gt;0,J83="Não Criado"),"Pendência de TACH",IF(AND(C83&gt;0,J83="Rascunho"),"Pendência de TACH",IF(AND(C83&gt;0,J83="NECESSÁRIO AJUSTAR"),"Pendência de TACH",IF(AND(C83&gt;0,J83="Aguardando Aprovação"),"Pendência de TACH",IF(AND(C83&gt;0,J83="Aprovado"),"Sem Pendência de TACH",IF(AND(C83&gt;0,K83="Finalizado"),"Pendência de TACH",IF(AND(C83&gt;0,K83="Não Criado"),"Pendência de TACH",IF(AND(C83&gt;0,K83="Rascunho"),"Pendência de TACH",IF(AND(C83&gt;0,K83="NECESSÁRIO AJUSTAR"),"Pendência de TACH",IF(AND(C83&gt;0,K83="Aguardando Aprovação"),"Pendência de TACH",IF(AND(C83&gt;0,K83="Aprovado"),"Sem Pendência de TACH",IF(AND(C83&gt;0,KL="Finalizado"),"Pendência de TACH",IF(AND(C83&gt;0,KL="Não Criado"),"Pendência de TACH",IF(AND(C83&gt;0,KL="Rascunho"),"Pendência de TACH",IF(AND(C83&gt;0,L83="NECESSÁRIO AJUSTAR"),"Pendência de TACH",IF(AND(C83&gt;0,L83="Aguardando Aprovação"),"Pendência de TACH",IF(AND(C83&gt;0,L83="Aprovado"),"Sem Pendência de TACH"))))))))))))))))))))))))</f>
        <v>#NAME?</v>
      </c>
    </row>
    <row r="84" spans="3:14">
      <c r="C84" s="2"/>
      <c r="M84" t="str">
        <f t="shared" si="1"/>
        <v/>
      </c>
      <c r="N84" t="e" cm="1">
        <f t="array" ref="N84">IF(AND(C84&gt;0,I84="Finalizado"),"Pendência de TACH",IF(AND(C84&gt;0,I84="Não Criado"),"Pendência de TACH",IF(AND(C84&gt;0,I84="Rascunho"),"Pendência de TACH",IF(AND(C84&gt;0,I84="NECESSÁRIO AJUSTAR"),"Pendência de TACH",IF(AND(C84&gt;0,I84="Aguardando Aprovação"),"Pendência de TACH",IF(AND(C84&gt;0,I84="Aprovado"),"Sem Pendência de TACH",IF(AND(C84&gt;0,J84="Finalizado"),"Pendência de TACH",IF(AND(C84&gt;0,J84="Não Criado"),"Pendência de TACH",IF(AND(C84&gt;0,J84="Rascunho"),"Pendência de TACH",IF(AND(C84&gt;0,J84="NECESSÁRIO AJUSTAR"),"Pendência de TACH",IF(AND(C84&gt;0,J84="Aguardando Aprovação"),"Pendência de TACH",IF(AND(C84&gt;0,J84="Aprovado"),"Sem Pendência de TACH",IF(AND(C84&gt;0,K84="Finalizado"),"Pendência de TACH",IF(AND(C84&gt;0,K84="Não Criado"),"Pendência de TACH",IF(AND(C84&gt;0,K84="Rascunho"),"Pendência de TACH",IF(AND(C84&gt;0,K84="NECESSÁRIO AJUSTAR"),"Pendência de TACH",IF(AND(C84&gt;0,K84="Aguardando Aprovação"),"Pendência de TACH",IF(AND(C84&gt;0,K84="Aprovado"),"Sem Pendência de TACH",IF(AND(C84&gt;0,KL="Finalizado"),"Pendência de TACH",IF(AND(C84&gt;0,KL="Não Criado"),"Pendência de TACH",IF(AND(C84&gt;0,KL="Rascunho"),"Pendência de TACH",IF(AND(C84&gt;0,L84="NECESSÁRIO AJUSTAR"),"Pendência de TACH",IF(AND(C84&gt;0,L84="Aguardando Aprovação"),"Pendência de TACH",IF(AND(C84&gt;0,L84="Aprovado"),"Sem Pendência de TACH"))))))))))))))))))))))))</f>
        <v>#NAME?</v>
      </c>
    </row>
    <row r="85" spans="3:14">
      <c r="C85" s="2"/>
      <c r="M85" t="str">
        <f t="shared" si="1"/>
        <v/>
      </c>
      <c r="N85" t="e" cm="1">
        <f t="array" ref="N85">IF(AND(C85&gt;0,I85="Finalizado"),"Pendência de TACH",IF(AND(C85&gt;0,I85="Não Criado"),"Pendência de TACH",IF(AND(C85&gt;0,I85="Rascunho"),"Pendência de TACH",IF(AND(C85&gt;0,I85="NECESSÁRIO AJUSTAR"),"Pendência de TACH",IF(AND(C85&gt;0,I85="Aguardando Aprovação"),"Pendência de TACH",IF(AND(C85&gt;0,I85="Aprovado"),"Sem Pendência de TACH",IF(AND(C85&gt;0,J85="Finalizado"),"Pendência de TACH",IF(AND(C85&gt;0,J85="Não Criado"),"Pendência de TACH",IF(AND(C85&gt;0,J85="Rascunho"),"Pendência de TACH",IF(AND(C85&gt;0,J85="NECESSÁRIO AJUSTAR"),"Pendência de TACH",IF(AND(C85&gt;0,J85="Aguardando Aprovação"),"Pendência de TACH",IF(AND(C85&gt;0,J85="Aprovado"),"Sem Pendência de TACH",IF(AND(C85&gt;0,K85="Finalizado"),"Pendência de TACH",IF(AND(C85&gt;0,K85="Não Criado"),"Pendência de TACH",IF(AND(C85&gt;0,K85="Rascunho"),"Pendência de TACH",IF(AND(C85&gt;0,K85="NECESSÁRIO AJUSTAR"),"Pendência de TACH",IF(AND(C85&gt;0,K85="Aguardando Aprovação"),"Pendência de TACH",IF(AND(C85&gt;0,K85="Aprovado"),"Sem Pendência de TACH",IF(AND(C85&gt;0,KL="Finalizado"),"Pendência de TACH",IF(AND(C85&gt;0,KL="Não Criado"),"Pendência de TACH",IF(AND(C85&gt;0,KL="Rascunho"),"Pendência de TACH",IF(AND(C85&gt;0,L85="NECESSÁRIO AJUSTAR"),"Pendência de TACH",IF(AND(C85&gt;0,L85="Aguardando Aprovação"),"Pendência de TACH",IF(AND(C85&gt;0,L85="Aprovado"),"Sem Pendência de TACH"))))))))))))))))))))))))</f>
        <v>#NAME?</v>
      </c>
    </row>
    <row r="86" spans="3:14">
      <c r="C86" s="2"/>
      <c r="M86" t="str">
        <f t="shared" si="1"/>
        <v/>
      </c>
      <c r="N86" t="e" cm="1">
        <f t="array" ref="N86">IF(AND(C86&gt;0,I86="Finalizado"),"Pendência de TACH",IF(AND(C86&gt;0,I86="Não Criado"),"Pendência de TACH",IF(AND(C86&gt;0,I86="Rascunho"),"Pendência de TACH",IF(AND(C86&gt;0,I86="NECESSÁRIO AJUSTAR"),"Pendência de TACH",IF(AND(C86&gt;0,I86="Aguardando Aprovação"),"Pendência de TACH",IF(AND(C86&gt;0,I86="Aprovado"),"Sem Pendência de TACH",IF(AND(C86&gt;0,J86="Finalizado"),"Pendência de TACH",IF(AND(C86&gt;0,J86="Não Criado"),"Pendência de TACH",IF(AND(C86&gt;0,J86="Rascunho"),"Pendência de TACH",IF(AND(C86&gt;0,J86="NECESSÁRIO AJUSTAR"),"Pendência de TACH",IF(AND(C86&gt;0,J86="Aguardando Aprovação"),"Pendência de TACH",IF(AND(C86&gt;0,J86="Aprovado"),"Sem Pendência de TACH",IF(AND(C86&gt;0,K86="Finalizado"),"Pendência de TACH",IF(AND(C86&gt;0,K86="Não Criado"),"Pendência de TACH",IF(AND(C86&gt;0,K86="Rascunho"),"Pendência de TACH",IF(AND(C86&gt;0,K86="NECESSÁRIO AJUSTAR"),"Pendência de TACH",IF(AND(C86&gt;0,K86="Aguardando Aprovação"),"Pendência de TACH",IF(AND(C86&gt;0,K86="Aprovado"),"Sem Pendência de TACH",IF(AND(C86&gt;0,KL="Finalizado"),"Pendência de TACH",IF(AND(C86&gt;0,KL="Não Criado"),"Pendência de TACH",IF(AND(C86&gt;0,KL="Rascunho"),"Pendência de TACH",IF(AND(C86&gt;0,L86="NECESSÁRIO AJUSTAR"),"Pendência de TACH",IF(AND(C86&gt;0,L86="Aguardando Aprovação"),"Pendência de TACH",IF(AND(C86&gt;0,L86="Aprovado"),"Sem Pendência de TACH"))))))))))))))))))))))))</f>
        <v>#NAME?</v>
      </c>
    </row>
    <row r="87" spans="3:14">
      <c r="C87" s="2"/>
      <c r="M87" t="str">
        <f t="shared" si="1"/>
        <v/>
      </c>
      <c r="N87" t="e" cm="1">
        <f t="array" ref="N87">IF(AND(C87&gt;0,I87="Finalizado"),"Pendência de TACH",IF(AND(C87&gt;0,I87="Não Criado"),"Pendência de TACH",IF(AND(C87&gt;0,I87="Rascunho"),"Pendência de TACH",IF(AND(C87&gt;0,I87="NECESSÁRIO AJUSTAR"),"Pendência de TACH",IF(AND(C87&gt;0,I87="Aguardando Aprovação"),"Pendência de TACH",IF(AND(C87&gt;0,I87="Aprovado"),"Sem Pendência de TACH",IF(AND(C87&gt;0,J87="Finalizado"),"Pendência de TACH",IF(AND(C87&gt;0,J87="Não Criado"),"Pendência de TACH",IF(AND(C87&gt;0,J87="Rascunho"),"Pendência de TACH",IF(AND(C87&gt;0,J87="NECESSÁRIO AJUSTAR"),"Pendência de TACH",IF(AND(C87&gt;0,J87="Aguardando Aprovação"),"Pendência de TACH",IF(AND(C87&gt;0,J87="Aprovado"),"Sem Pendência de TACH",IF(AND(C87&gt;0,K87="Finalizado"),"Pendência de TACH",IF(AND(C87&gt;0,K87="Não Criado"),"Pendência de TACH",IF(AND(C87&gt;0,K87="Rascunho"),"Pendência de TACH",IF(AND(C87&gt;0,K87="NECESSÁRIO AJUSTAR"),"Pendência de TACH",IF(AND(C87&gt;0,K87="Aguardando Aprovação"),"Pendência de TACH",IF(AND(C87&gt;0,K87="Aprovado"),"Sem Pendência de TACH",IF(AND(C87&gt;0,KL="Finalizado"),"Pendência de TACH",IF(AND(C87&gt;0,KL="Não Criado"),"Pendência de TACH",IF(AND(C87&gt;0,KL="Rascunho"),"Pendência de TACH",IF(AND(C87&gt;0,L87="NECESSÁRIO AJUSTAR"),"Pendência de TACH",IF(AND(C87&gt;0,L87="Aguardando Aprovação"),"Pendência de TACH",IF(AND(C87&gt;0,L87="Aprovado"),"Sem Pendência de TACH"))))))))))))))))))))))))</f>
        <v>#NAME?</v>
      </c>
    </row>
    <row r="88" spans="3:14">
      <c r="C88" s="2"/>
      <c r="M88" t="str">
        <f t="shared" si="1"/>
        <v/>
      </c>
      <c r="N88" t="e" cm="1">
        <f t="array" ref="N88">IF(AND(C88&gt;0,I88="Finalizado"),"Pendência de TACH",IF(AND(C88&gt;0,I88="Não Criado"),"Pendência de TACH",IF(AND(C88&gt;0,I88="Rascunho"),"Pendência de TACH",IF(AND(C88&gt;0,I88="NECESSÁRIO AJUSTAR"),"Pendência de TACH",IF(AND(C88&gt;0,I88="Aguardando Aprovação"),"Pendência de TACH",IF(AND(C88&gt;0,I88="Aprovado"),"Sem Pendência de TACH",IF(AND(C88&gt;0,J88="Finalizado"),"Pendência de TACH",IF(AND(C88&gt;0,J88="Não Criado"),"Pendência de TACH",IF(AND(C88&gt;0,J88="Rascunho"),"Pendência de TACH",IF(AND(C88&gt;0,J88="NECESSÁRIO AJUSTAR"),"Pendência de TACH",IF(AND(C88&gt;0,J88="Aguardando Aprovação"),"Pendência de TACH",IF(AND(C88&gt;0,J88="Aprovado"),"Sem Pendência de TACH",IF(AND(C88&gt;0,K88="Finalizado"),"Pendência de TACH",IF(AND(C88&gt;0,K88="Não Criado"),"Pendência de TACH",IF(AND(C88&gt;0,K88="Rascunho"),"Pendência de TACH",IF(AND(C88&gt;0,K88="NECESSÁRIO AJUSTAR"),"Pendência de TACH",IF(AND(C88&gt;0,K88="Aguardando Aprovação"),"Pendência de TACH",IF(AND(C88&gt;0,K88="Aprovado"),"Sem Pendência de TACH",IF(AND(C88&gt;0,KL="Finalizado"),"Pendência de TACH",IF(AND(C88&gt;0,KL="Não Criado"),"Pendência de TACH",IF(AND(C88&gt;0,KL="Rascunho"),"Pendência de TACH",IF(AND(C88&gt;0,L88="NECESSÁRIO AJUSTAR"),"Pendência de TACH",IF(AND(C88&gt;0,L88="Aguardando Aprovação"),"Pendência de TACH",IF(AND(C88&gt;0,L88="Aprovado"),"Sem Pendência de TACH"))))))))))))))))))))))))</f>
        <v>#NAME?</v>
      </c>
    </row>
    <row r="89" spans="3:14">
      <c r="C89" s="2"/>
      <c r="M89" t="str">
        <f t="shared" si="1"/>
        <v/>
      </c>
      <c r="N89" t="e" cm="1">
        <f t="array" ref="N89">IF(AND(C89&gt;0,I89="Finalizado"),"Pendência de TACH",IF(AND(C89&gt;0,I89="Não Criado"),"Pendência de TACH",IF(AND(C89&gt;0,I89="Rascunho"),"Pendência de TACH",IF(AND(C89&gt;0,I89="NECESSÁRIO AJUSTAR"),"Pendência de TACH",IF(AND(C89&gt;0,I89="Aguardando Aprovação"),"Pendência de TACH",IF(AND(C89&gt;0,I89="Aprovado"),"Sem Pendência de TACH",IF(AND(C89&gt;0,J89="Finalizado"),"Pendência de TACH",IF(AND(C89&gt;0,J89="Não Criado"),"Pendência de TACH",IF(AND(C89&gt;0,J89="Rascunho"),"Pendência de TACH",IF(AND(C89&gt;0,J89="NECESSÁRIO AJUSTAR"),"Pendência de TACH",IF(AND(C89&gt;0,J89="Aguardando Aprovação"),"Pendência de TACH",IF(AND(C89&gt;0,J89="Aprovado"),"Sem Pendência de TACH",IF(AND(C89&gt;0,K89="Finalizado"),"Pendência de TACH",IF(AND(C89&gt;0,K89="Não Criado"),"Pendência de TACH",IF(AND(C89&gt;0,K89="Rascunho"),"Pendência de TACH",IF(AND(C89&gt;0,K89="NECESSÁRIO AJUSTAR"),"Pendência de TACH",IF(AND(C89&gt;0,K89="Aguardando Aprovação"),"Pendência de TACH",IF(AND(C89&gt;0,K89="Aprovado"),"Sem Pendência de TACH",IF(AND(C89&gt;0,KL="Finalizado"),"Pendência de TACH",IF(AND(C89&gt;0,KL="Não Criado"),"Pendência de TACH",IF(AND(C89&gt;0,KL="Rascunho"),"Pendência de TACH",IF(AND(C89&gt;0,L89="NECESSÁRIO AJUSTAR"),"Pendência de TACH",IF(AND(C89&gt;0,L89="Aguardando Aprovação"),"Pendência de TACH",IF(AND(C89&gt;0,L89="Aprovado"),"Sem Pendência de TACH"))))))))))))))))))))))))</f>
        <v>#NAME?</v>
      </c>
    </row>
    <row r="90" spans="3:14">
      <c r="C90" s="2"/>
      <c r="M90" t="str">
        <f t="shared" si="1"/>
        <v/>
      </c>
      <c r="N90" t="e" cm="1">
        <f t="array" ref="N90">IF(AND(C90&gt;0,I90="Finalizado"),"Pendência de TACH",IF(AND(C90&gt;0,I90="Não Criado"),"Pendência de TACH",IF(AND(C90&gt;0,I90="Rascunho"),"Pendência de TACH",IF(AND(C90&gt;0,I90="NECESSÁRIO AJUSTAR"),"Pendência de TACH",IF(AND(C90&gt;0,I90="Aguardando Aprovação"),"Pendência de TACH",IF(AND(C90&gt;0,I90="Aprovado"),"Sem Pendência de TACH",IF(AND(C90&gt;0,J90="Finalizado"),"Pendência de TACH",IF(AND(C90&gt;0,J90="Não Criado"),"Pendência de TACH",IF(AND(C90&gt;0,J90="Rascunho"),"Pendência de TACH",IF(AND(C90&gt;0,J90="NECESSÁRIO AJUSTAR"),"Pendência de TACH",IF(AND(C90&gt;0,J90="Aguardando Aprovação"),"Pendência de TACH",IF(AND(C90&gt;0,J90="Aprovado"),"Sem Pendência de TACH",IF(AND(C90&gt;0,K90="Finalizado"),"Pendência de TACH",IF(AND(C90&gt;0,K90="Não Criado"),"Pendência de TACH",IF(AND(C90&gt;0,K90="Rascunho"),"Pendência de TACH",IF(AND(C90&gt;0,K90="NECESSÁRIO AJUSTAR"),"Pendência de TACH",IF(AND(C90&gt;0,K90="Aguardando Aprovação"),"Pendência de TACH",IF(AND(C90&gt;0,K90="Aprovado"),"Sem Pendência de TACH",IF(AND(C90&gt;0,KL="Finalizado"),"Pendência de TACH",IF(AND(C90&gt;0,KL="Não Criado"),"Pendência de TACH",IF(AND(C90&gt;0,KL="Rascunho"),"Pendência de TACH",IF(AND(C90&gt;0,L90="NECESSÁRIO AJUSTAR"),"Pendência de TACH",IF(AND(C90&gt;0,L90="Aguardando Aprovação"),"Pendência de TACH",IF(AND(C90&gt;0,L90="Aprovado"),"Sem Pendência de TACH"))))))))))))))))))))))))</f>
        <v>#NAME?</v>
      </c>
    </row>
    <row r="91" spans="3:14">
      <c r="C91" s="2"/>
      <c r="M91" t="str">
        <f t="shared" si="1"/>
        <v/>
      </c>
      <c r="N91" t="e" cm="1">
        <f t="array" ref="N91">IF(AND(C91&gt;0,I91="Finalizado"),"Pendência de TACH",IF(AND(C91&gt;0,I91="Não Criado"),"Pendência de TACH",IF(AND(C91&gt;0,I91="Rascunho"),"Pendência de TACH",IF(AND(C91&gt;0,I91="NECESSÁRIO AJUSTAR"),"Pendência de TACH",IF(AND(C91&gt;0,I91="Aguardando Aprovação"),"Pendência de TACH",IF(AND(C91&gt;0,I91="Aprovado"),"Sem Pendência de TACH",IF(AND(C91&gt;0,J91="Finalizado"),"Pendência de TACH",IF(AND(C91&gt;0,J91="Não Criado"),"Pendência de TACH",IF(AND(C91&gt;0,J91="Rascunho"),"Pendência de TACH",IF(AND(C91&gt;0,J91="NECESSÁRIO AJUSTAR"),"Pendência de TACH",IF(AND(C91&gt;0,J91="Aguardando Aprovação"),"Pendência de TACH",IF(AND(C91&gt;0,J91="Aprovado"),"Sem Pendência de TACH",IF(AND(C91&gt;0,K91="Finalizado"),"Pendência de TACH",IF(AND(C91&gt;0,K91="Não Criado"),"Pendência de TACH",IF(AND(C91&gt;0,K91="Rascunho"),"Pendência de TACH",IF(AND(C91&gt;0,K91="NECESSÁRIO AJUSTAR"),"Pendência de TACH",IF(AND(C91&gt;0,K91="Aguardando Aprovação"),"Pendência de TACH",IF(AND(C91&gt;0,K91="Aprovado"),"Sem Pendência de TACH",IF(AND(C91&gt;0,KL="Finalizado"),"Pendência de TACH",IF(AND(C91&gt;0,KL="Não Criado"),"Pendência de TACH",IF(AND(C91&gt;0,KL="Rascunho"),"Pendência de TACH",IF(AND(C91&gt;0,L91="NECESSÁRIO AJUSTAR"),"Pendência de TACH",IF(AND(C91&gt;0,L91="Aguardando Aprovação"),"Pendência de TACH",IF(AND(C91&gt;0,L91="Aprovado"),"Sem Pendência de TACH"))))))))))))))))))))))))</f>
        <v>#NAME?</v>
      </c>
    </row>
    <row r="92" spans="3:14">
      <c r="C92" s="2"/>
      <c r="M92" t="str">
        <f t="shared" si="1"/>
        <v/>
      </c>
      <c r="N92" t="e" cm="1">
        <f t="array" ref="N92">IF(AND(C92&gt;0,I92="Finalizado"),"Pendência de TACH",IF(AND(C92&gt;0,I92="Não Criado"),"Pendência de TACH",IF(AND(C92&gt;0,I92="Rascunho"),"Pendência de TACH",IF(AND(C92&gt;0,I92="NECESSÁRIO AJUSTAR"),"Pendência de TACH",IF(AND(C92&gt;0,I92="Aguardando Aprovação"),"Pendência de TACH",IF(AND(C92&gt;0,I92="Aprovado"),"Sem Pendência de TACH",IF(AND(C92&gt;0,J92="Finalizado"),"Pendência de TACH",IF(AND(C92&gt;0,J92="Não Criado"),"Pendência de TACH",IF(AND(C92&gt;0,J92="Rascunho"),"Pendência de TACH",IF(AND(C92&gt;0,J92="NECESSÁRIO AJUSTAR"),"Pendência de TACH",IF(AND(C92&gt;0,J92="Aguardando Aprovação"),"Pendência de TACH",IF(AND(C92&gt;0,J92="Aprovado"),"Sem Pendência de TACH",IF(AND(C92&gt;0,K92="Finalizado"),"Pendência de TACH",IF(AND(C92&gt;0,K92="Não Criado"),"Pendência de TACH",IF(AND(C92&gt;0,K92="Rascunho"),"Pendência de TACH",IF(AND(C92&gt;0,K92="NECESSÁRIO AJUSTAR"),"Pendência de TACH",IF(AND(C92&gt;0,K92="Aguardando Aprovação"),"Pendência de TACH",IF(AND(C92&gt;0,K92="Aprovado"),"Sem Pendência de TACH",IF(AND(C92&gt;0,KL="Finalizado"),"Pendência de TACH",IF(AND(C92&gt;0,KL="Não Criado"),"Pendência de TACH",IF(AND(C92&gt;0,KL="Rascunho"),"Pendência de TACH",IF(AND(C92&gt;0,L92="NECESSÁRIO AJUSTAR"),"Pendência de TACH",IF(AND(C92&gt;0,L92="Aguardando Aprovação"),"Pendência de TACH",IF(AND(C92&gt;0,L92="Aprovado"),"Sem Pendência de TACH"))))))))))))))))))))))))</f>
        <v>#NAME?</v>
      </c>
    </row>
    <row r="93" spans="3:14">
      <c r="C93" s="2"/>
      <c r="M93" t="str">
        <f t="shared" si="1"/>
        <v/>
      </c>
      <c r="N93" t="e" cm="1">
        <f t="array" ref="N93">IF(AND(C93&gt;0,I93="Finalizado"),"Pendência de TACH",IF(AND(C93&gt;0,I93="Não Criado"),"Pendência de TACH",IF(AND(C93&gt;0,I93="Rascunho"),"Pendência de TACH",IF(AND(C93&gt;0,I93="NECESSÁRIO AJUSTAR"),"Pendência de TACH",IF(AND(C93&gt;0,I93="Aguardando Aprovação"),"Pendência de TACH",IF(AND(C93&gt;0,I93="Aprovado"),"Sem Pendência de TACH",IF(AND(C93&gt;0,J93="Finalizado"),"Pendência de TACH",IF(AND(C93&gt;0,J93="Não Criado"),"Pendência de TACH",IF(AND(C93&gt;0,J93="Rascunho"),"Pendência de TACH",IF(AND(C93&gt;0,J93="NECESSÁRIO AJUSTAR"),"Pendência de TACH",IF(AND(C93&gt;0,J93="Aguardando Aprovação"),"Pendência de TACH",IF(AND(C93&gt;0,J93="Aprovado"),"Sem Pendência de TACH",IF(AND(C93&gt;0,K93="Finalizado"),"Pendência de TACH",IF(AND(C93&gt;0,K93="Não Criado"),"Pendência de TACH",IF(AND(C93&gt;0,K93="Rascunho"),"Pendência de TACH",IF(AND(C93&gt;0,K93="NECESSÁRIO AJUSTAR"),"Pendência de TACH",IF(AND(C93&gt;0,K93="Aguardando Aprovação"),"Pendência de TACH",IF(AND(C93&gt;0,K93="Aprovado"),"Sem Pendência de TACH",IF(AND(C93&gt;0,KL="Finalizado"),"Pendência de TACH",IF(AND(C93&gt;0,KL="Não Criado"),"Pendência de TACH",IF(AND(C93&gt;0,KL="Rascunho"),"Pendência de TACH",IF(AND(C93&gt;0,L93="NECESSÁRIO AJUSTAR"),"Pendência de TACH",IF(AND(C93&gt;0,L93="Aguardando Aprovação"),"Pendência de TACH",IF(AND(C93&gt;0,L93="Aprovado"),"Sem Pendência de TACH"))))))))))))))))))))))))</f>
        <v>#NAME?</v>
      </c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840C-F8AE-4605-9E30-4B4B389F60EC}">
  <dimension ref="A1:N85"/>
  <sheetViews>
    <sheetView zoomScale="89" workbookViewId="0">
      <selection activeCell="B52" sqref="B52"/>
    </sheetView>
  </sheetViews>
  <sheetFormatPr defaultRowHeight="15"/>
  <cols>
    <col min="1" max="1" width="11.85546875" bestFit="1" customWidth="1"/>
    <col min="2" max="2" width="45.7109375" customWidth="1"/>
    <col min="3" max="3" width="17.42578125" customWidth="1"/>
    <col min="4" max="4" width="10" customWidth="1"/>
    <col min="5" max="5" width="18.7109375" bestFit="1" customWidth="1"/>
    <col min="6" max="6" width="54.85546875" customWidth="1"/>
    <col min="7" max="7" width="10.7109375" customWidth="1"/>
    <col min="8" max="8" width="17.140625" customWidth="1"/>
    <col min="9" max="9" width="16.5703125" customWidth="1"/>
    <col min="10" max="10" width="15.28515625" customWidth="1"/>
    <col min="11" max="11" width="14.42578125" customWidth="1"/>
    <col min="12" max="12" width="14.7109375" customWidth="1"/>
    <col min="13" max="13" width="19.5703125" bestFit="1" customWidth="1"/>
    <col min="14" max="14" width="17.42578125" bestFit="1" customWidth="1"/>
  </cols>
  <sheetData>
    <row r="1" spans="1:14" ht="30">
      <c r="A1" t="s">
        <v>0</v>
      </c>
      <c r="B1" t="s">
        <v>1</v>
      </c>
      <c r="C1" t="s">
        <v>77</v>
      </c>
      <c r="D1" t="s">
        <v>2</v>
      </c>
      <c r="E1" t="s">
        <v>3</v>
      </c>
      <c r="F1" t="s">
        <v>4</v>
      </c>
      <c r="G1" t="s">
        <v>78</v>
      </c>
      <c r="H1" t="s">
        <v>179</v>
      </c>
      <c r="I1" s="13" t="s">
        <v>239</v>
      </c>
      <c r="J1" t="s">
        <v>180</v>
      </c>
      <c r="K1" t="s">
        <v>181</v>
      </c>
      <c r="L1" t="s">
        <v>182</v>
      </c>
      <c r="M1" t="s">
        <v>75</v>
      </c>
      <c r="N1" t="s">
        <v>76</v>
      </c>
    </row>
    <row r="2" spans="1:14">
      <c r="A2" s="1">
        <v>8306</v>
      </c>
      <c r="B2" t="s">
        <v>7</v>
      </c>
      <c r="C2" s="2">
        <v>2</v>
      </c>
      <c r="D2" t="s">
        <v>8</v>
      </c>
      <c r="E2" t="s">
        <v>6</v>
      </c>
      <c r="F2" t="s">
        <v>9</v>
      </c>
      <c r="G2" t="s">
        <v>163</v>
      </c>
      <c r="H2" t="s">
        <v>132</v>
      </c>
      <c r="J2" t="s">
        <v>132</v>
      </c>
      <c r="K2" t="s">
        <v>132</v>
      </c>
      <c r="L2" t="s">
        <v>132</v>
      </c>
      <c r="M2" t="str">
        <f t="shared" ref="M2:M56" si="0">IF(AND(G2="SIM",D2&gt;0),"Pendência de Agenda",IF(AND(G2="NÃO",D2=0),"Sem Pendência",IF(AND(G2="Sim",D2=0),"Sem Pendência","")))</f>
        <v>Pendência de Agenda</v>
      </c>
      <c r="N2" t="str" cm="1">
        <f t="array" ref="N2">IF(AND(C2&gt;0,I2="Finalizado"),"Pendência de TACH",IF(AND(C2&gt;0,I2="Não Criado"),"Pendência de TACH",IF(AND(C2&gt;0,I2="Rascunho"),"Pendência de TACH",IF(AND(C2&gt;0,I2="NECESSÁRIO AJUSTAR"),"Pendência de TACH",IF(AND(C2&gt;0,I2="Aguardando Aprovação"),"Pendência de TACH",IF(AND(C2&gt;0,I2="Aprovado"),"Sem Pendência de TACH",IF(AND(C2&gt;0,J2="Finalizado"),"Pendência de TACH",IF(AND(C2&gt;0,J2="Não Criado"),"Pendência de TACH",IF(AND(C2&gt;0,J2="Rascunho"),"Pendência de TACH",IF(AND(C2&gt;0,J2="NECESSÁRIO AJUSTAR"),"Pendência de TACH",IF(AND(C2&gt;0,J2="Aguardando Aprovação"),"Pendência de TACH",IF(AND(C2&gt;0,J2="Aprovado"),"Sem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Aprovação"),"Pendência de TACH",IF(AND(C2&gt;0,K2="Aprovado"),"Sem Pendência de TACH",IF(AND(C2&gt;0,KL="Finalizado"),"Pendência de TACH",IF(AND(C2&gt;0,KL="Não Criado"),"Pendência de TACH",IF(AND(C2&gt;0,KL="Rascunho"),"Pendência de TACH",IF(AND(C2&gt;0,L2="NECESSÁRIO AJUSTAR"),"Pendência de TACH",IF(AND(C2&gt;0,L2="Aguardando Aprovação"),"Pendência de TACH",IF(AND(C2&gt;0,L2="Aprovado"),"Sem Pendência de TACH"))))))))))))))))))))))))</f>
        <v>Pendência de TACH</v>
      </c>
    </row>
    <row r="3" spans="1:14">
      <c r="A3" s="1">
        <v>90009703</v>
      </c>
      <c r="B3" t="s">
        <v>24</v>
      </c>
      <c r="C3" s="2">
        <v>18</v>
      </c>
      <c r="D3" t="s">
        <v>25</v>
      </c>
      <c r="E3" t="s">
        <v>6</v>
      </c>
      <c r="F3" t="s">
        <v>10</v>
      </c>
      <c r="G3" t="s">
        <v>163</v>
      </c>
      <c r="H3" t="s">
        <v>134</v>
      </c>
      <c r="J3" t="s">
        <v>134</v>
      </c>
      <c r="K3" t="s">
        <v>134</v>
      </c>
      <c r="L3" t="s">
        <v>134</v>
      </c>
      <c r="M3" t="str">
        <f t="shared" si="0"/>
        <v>Pendência de Agenda</v>
      </c>
      <c r="N3" t="str" cm="1">
        <f t="array" ref="N3">IF(AND(C3&gt;0,I3="Finalizado"),"Pendência de TACH",IF(AND(C3&gt;0,I3="Não Criado"),"Pendência de TACH",IF(AND(C3&gt;0,I3="Rascunho"),"Pendência de TACH",IF(AND(C3&gt;0,I3="NECESSÁRIO AJUSTAR"),"Pendência de TACH",IF(AND(C3&gt;0,I3="Aguardando Aprovação"),"Pendência de TACH",IF(AND(C3&gt;0,I3="Aprovado"),"Sem Pendência de TACH",IF(AND(C3&gt;0,J3="Finalizado"),"Pendência de TACH",IF(AND(C3&gt;0,J3="Não Criado"),"Pendência de TACH",IF(AND(C3&gt;0,J3="Rascunho"),"Pendência de TACH",IF(AND(C3&gt;0,J3="NECESSÁRIO AJUSTAR"),"Pendência de TACH",IF(AND(C3&gt;0,J3="Aguardando Aprovação"),"Pendência de TACH",IF(AND(C3&gt;0,J3="Aprovado"),"Sem Pendência de TACH",IF(AND(C3&gt;0,K3="Finalizado"),"Pendência de TACH",IF(AND(C3&gt;0,K3="Não Criado"),"Pendência de TACH",IF(AND(C3&gt;0,K3="Rascunho"),"Pendência de TACH",IF(AND(C3&gt;0,K3="NECESSÁRIO AJUSTAR"),"Pendência de TACH",IF(AND(C3&gt;0,K3="Aguardando Aprovação"),"Pendência de TACH",IF(AND(C3&gt;0,K3="Aprovado"),"Sem Pendência de TACH",IF(AND(C3&gt;0,KL="Finalizado"),"Pendência de TACH",IF(AND(C3&gt;0,KL="Não Criado"),"Pendência de TACH",IF(AND(C3&gt;0,KL="Rascunho"),"Pendência de TACH",IF(AND(C3&gt;0,L3="NECESSÁRIO AJUSTAR"),"Pendência de TACH",IF(AND(C3&gt;0,L3="Aguardando Aprovação"),"Pendência de TACH",IF(AND(C3&gt;0,L3="Aprovado"),"Sem Pendência de TACH"))))))))))))))))))))))))</f>
        <v>Pendência de TACH</v>
      </c>
    </row>
    <row r="4" spans="1:14">
      <c r="A4" s="1">
        <v>90013014</v>
      </c>
      <c r="B4" t="s">
        <v>169</v>
      </c>
      <c r="C4" s="2">
        <v>7</v>
      </c>
      <c r="D4" t="s">
        <v>12</v>
      </c>
      <c r="E4" t="s">
        <v>22</v>
      </c>
      <c r="F4" t="s">
        <v>205</v>
      </c>
      <c r="G4" t="s">
        <v>163</v>
      </c>
      <c r="H4" t="s">
        <v>130</v>
      </c>
      <c r="J4" t="s">
        <v>130</v>
      </c>
      <c r="K4" t="s">
        <v>130</v>
      </c>
      <c r="L4" t="s">
        <v>131</v>
      </c>
      <c r="M4" t="str">
        <f t="shared" si="0"/>
        <v>Pendência de Agenda</v>
      </c>
      <c r="N4" t="str" cm="1">
        <f t="array" ref="N4">IF(AND(C4&gt;0,I4="Finalizado"),"Pendência de TACH",IF(AND(C4&gt;0,I4="Não Criado"),"Pendência de TACH",IF(AND(C4&gt;0,I4="Rascunho"),"Pendência de TACH",IF(AND(C4&gt;0,I4="NECESSÁRIO AJUSTAR"),"Pendência de TACH",IF(AND(C4&gt;0,I4="Aguardando Aprovação"),"Pendência de TACH",IF(AND(C4&gt;0,I4="Aprovado"),"Sem Pendência de TACH",IF(AND(C4&gt;0,J4="Finalizado"),"Pendência de TACH",IF(AND(C4&gt;0,J4="Não Criado"),"Pendência de TACH",IF(AND(C4&gt;0,J4="Rascunho"),"Pendência de TACH",IF(AND(C4&gt;0,J4="NECESSÁRIO AJUSTAR"),"Pendência de TACH",IF(AND(C4&gt;0,J4="Aguardando Aprovação"),"Pendência de TACH",IF(AND(C4&gt;0,J4="Aprovado"),"Sem Pendência de TACH",IF(AND(C4&gt;0,K4="Finalizado"),"Pendência de TACH",IF(AND(C4&gt;0,K4="Não Criado"),"Pendência de TACH",IF(AND(C4&gt;0,K4="Rascunho"),"Pendência de TACH",IF(AND(C4&gt;0,K4="NECESSÁRIO AJUSTAR"),"Pendência de TACH",IF(AND(C4&gt;0,K4="Aguardando Aprovação"),"Pendência de TACH",IF(AND(C4&gt;0,K4="Aprovado"),"Sem Pendência de TACH",IF(AND(C4&gt;0,KL="Finalizado"),"Pendência de TACH",IF(AND(C4&gt;0,KL="Não Criado"),"Pendência de TACH",IF(AND(C4&gt;0,KL="Rascunho"),"Pendência de TACH",IF(AND(C4&gt;0,L4="NECESSÁRIO AJUSTAR"),"Pendência de TACH",IF(AND(C4&gt;0,L4="Aguardando Aprovação"),"Pendência de TACH",IF(AND(C4&gt;0,L4="Aprovado"),"Sem Pendência de TACH"))))))))))))))))))))))))</f>
        <v>Pendência de TACH</v>
      </c>
    </row>
    <row r="5" spans="1:14">
      <c r="A5" s="1">
        <v>90001484</v>
      </c>
      <c r="B5" t="s">
        <v>206</v>
      </c>
      <c r="C5" s="2">
        <v>28</v>
      </c>
      <c r="D5" t="s">
        <v>46</v>
      </c>
      <c r="E5" t="s">
        <v>6</v>
      </c>
      <c r="F5" t="s">
        <v>28</v>
      </c>
      <c r="G5" t="s">
        <v>163</v>
      </c>
      <c r="H5" t="s">
        <v>130</v>
      </c>
      <c r="J5" t="s">
        <v>130</v>
      </c>
      <c r="K5" t="s">
        <v>131</v>
      </c>
      <c r="L5" t="s">
        <v>131</v>
      </c>
      <c r="M5" t="str">
        <f t="shared" si="0"/>
        <v>Pendência de Agenda</v>
      </c>
      <c r="N5" t="str" cm="1">
        <f t="array" ref="N5">IF(AND(C5&gt;0,I5="Finalizado"),"Pendência de TACH",IF(AND(C5&gt;0,I5="Não Criado"),"Pendência de TACH",IF(AND(C5&gt;0,I5="Rascunho"),"Pendência de TACH",IF(AND(C5&gt;0,I5="NECESSÁRIO AJUSTAR"),"Pendência de TACH",IF(AND(C5&gt;0,I5="Aguardando Aprovação"),"Pendência de TACH",IF(AND(C5&gt;0,I5="Aprovado"),"Sem Pendência de TACH",IF(AND(C5&gt;0,J5="Finalizado"),"Pendência de TACH",IF(AND(C5&gt;0,J5="Não Criado"),"Pendência de TACH",IF(AND(C5&gt;0,J5="Rascunho"),"Pendência de TACH",IF(AND(C5&gt;0,J5="NECESSÁRIO AJUSTAR"),"Pendência de TACH",IF(AND(C5&gt;0,J5="Aguardando Aprovação"),"Pendência de TACH",IF(AND(C5&gt;0,J5="Aprovado"),"Sem Pendência de TACH",IF(AND(C5&gt;0,K5="Finalizado"),"Pendência de TACH",IF(AND(C5&gt;0,K5="Não Criado"),"Pendência de TACH",IF(AND(C5&gt;0,K5="Rascunho"),"Pendência de TACH",IF(AND(C5&gt;0,K5="NECESSÁRIO AJUSTAR"),"Pendência de TACH",IF(AND(C5&gt;0,K5="Aguardando Aprovação"),"Pendência de TACH",IF(AND(C5&gt;0,K5="Aprovado"),"Sem Pendência de TACH",IF(AND(C5&gt;0,KL="Finalizado"),"Pendência de TACH",IF(AND(C5&gt;0,KL="Não Criado"),"Pendência de TACH",IF(AND(C5&gt;0,KL="Rascunho"),"Pendência de TACH",IF(AND(C5&gt;0,L5="NECESSÁRIO AJUSTAR"),"Pendência de TACH",IF(AND(C5&gt;0,L5="Aguardando Aprovação"),"Pendência de TACH",IF(AND(C5&gt;0,L5="Aprovado"),"Sem Pendência de TACH"))))))))))))))))))))))))</f>
        <v>Pendência de TACH</v>
      </c>
    </row>
    <row r="6" spans="1:14">
      <c r="A6" s="1">
        <v>90011695</v>
      </c>
      <c r="B6" t="s">
        <v>193</v>
      </c>
      <c r="C6" s="2">
        <v>23</v>
      </c>
      <c r="D6" t="s">
        <v>21</v>
      </c>
      <c r="E6" t="s">
        <v>22</v>
      </c>
      <c r="F6" t="s">
        <v>23</v>
      </c>
      <c r="G6" t="s">
        <v>163</v>
      </c>
      <c r="H6" t="s">
        <v>130</v>
      </c>
      <c r="J6" t="s">
        <v>130</v>
      </c>
      <c r="K6" t="s">
        <v>130</v>
      </c>
      <c r="L6" t="s">
        <v>130</v>
      </c>
      <c r="M6" t="str">
        <f t="shared" si="0"/>
        <v>Pendência de Agenda</v>
      </c>
      <c r="N6" t="str" cm="1">
        <f t="array" ref="N6">IF(AND(C6&gt;0,I6="Finalizado"),"Pendência de TACH",IF(AND(C6&gt;0,I6="Não Criado"),"Pendência de TACH",IF(AND(C6&gt;0,I6="Rascunho"),"Pendência de TACH",IF(AND(C6&gt;0,I6="NECESSÁRIO AJUSTAR"),"Pendência de TACH",IF(AND(C6&gt;0,I6="Aguardando Aprovação"),"Pendência de TACH",IF(AND(C6&gt;0,I6="Aprovado"),"Sem Pendência de TACH",IF(AND(C6&gt;0,J6="Finalizado"),"Pendência de TACH",IF(AND(C6&gt;0,J6="Não Criado"),"Pendência de TACH",IF(AND(C6&gt;0,J6="Rascunho"),"Pendência de TACH",IF(AND(C6&gt;0,J6="NECESSÁRIO AJUSTAR"),"Pendência de TACH",IF(AND(C6&gt;0,J6="Aguardando Aprovação"),"Pendência de TACH",IF(AND(C6&gt;0,J6="Aprovado"),"Sem Pendência de TACH",IF(AND(C6&gt;0,K6="Finalizado"),"Pendência de TACH",IF(AND(C6&gt;0,K6="Não Criado"),"Pendência de TACH",IF(AND(C6&gt;0,K6="Rascunho"),"Pendência de TACH",IF(AND(C6&gt;0,K6="NECESSÁRIO AJUSTAR"),"Pendência de TACH",IF(AND(C6&gt;0,K6="Aguardando Aprovação"),"Pendência de TACH",IF(AND(C6&gt;0,K6="Aprovado"),"Sem Pendência de TACH",IF(AND(C6&gt;0,KL="Finalizado"),"Pendência de TACH",IF(AND(C6&gt;0,KL="Não Criado"),"Pendência de TACH",IF(AND(C6&gt;0,KL="Rascunho"),"Pendência de TACH",IF(AND(C6&gt;0,L6="NECESSÁRIO AJUSTAR"),"Pendência de TACH",IF(AND(C6&gt;0,L6="Aguardando Aprovação"),"Pendência de TACH",IF(AND(C6&gt;0,L6="Aprovado"),"Sem Pendência de TACH"))))))))))))))))))))))))</f>
        <v>Pendência de TACH</v>
      </c>
    </row>
    <row r="7" spans="1:14">
      <c r="A7" s="1">
        <v>90005226</v>
      </c>
      <c r="B7" t="s">
        <v>31</v>
      </c>
      <c r="C7" s="2">
        <v>14</v>
      </c>
      <c r="D7" t="s">
        <v>46</v>
      </c>
      <c r="E7" t="s">
        <v>22</v>
      </c>
      <c r="F7" t="s">
        <v>23</v>
      </c>
      <c r="G7" t="s">
        <v>163</v>
      </c>
      <c r="H7" t="s">
        <v>132</v>
      </c>
      <c r="J7" t="s">
        <v>132</v>
      </c>
      <c r="K7" t="s">
        <v>132</v>
      </c>
      <c r="L7" t="s">
        <v>132</v>
      </c>
      <c r="M7" t="str">
        <f t="shared" si="0"/>
        <v>Pendência de Agenda</v>
      </c>
      <c r="N7" t="str" cm="1">
        <f t="array" ref="N7">IF(AND(C7&gt;0,I7="Finalizado"),"Pendência de TACH",IF(AND(C7&gt;0,I7="Não Criado"),"Pendência de TACH",IF(AND(C7&gt;0,I7="Rascunho"),"Pendência de TACH",IF(AND(C7&gt;0,I7="NECESSÁRIO AJUSTAR"),"Pendência de TACH",IF(AND(C7&gt;0,I7="Aguardando Aprovação"),"Pendência de TACH",IF(AND(C7&gt;0,I7="Aprovado"),"Sem Pendência de TACH",IF(AND(C7&gt;0,J7="Finalizado"),"Pendência de TACH",IF(AND(C7&gt;0,J7="Não Criado"),"Pendência de TACH",IF(AND(C7&gt;0,J7="Rascunho"),"Pendência de TACH",IF(AND(C7&gt;0,J7="NECESSÁRIO AJUSTAR"),"Pendência de TACH",IF(AND(C7&gt;0,J7="Aguardando Aprovação"),"Pendência de TACH",IF(AND(C7&gt;0,J7="Aprovado"),"Sem Pendência de TACH",IF(AND(C7&gt;0,K7="Finalizado"),"Pendência de TACH",IF(AND(C7&gt;0,K7="Não Criado"),"Pendência de TACH",IF(AND(C7&gt;0,K7="Rascunho"),"Pendência de TACH",IF(AND(C7&gt;0,K7="NECESSÁRIO AJUSTAR"),"Pendência de TACH",IF(AND(C7&gt;0,K7="Aguardando Aprovação"),"Pendência de TACH",IF(AND(C7&gt;0,K7="Aprovado"),"Sem Pendência de TACH",IF(AND(C7&gt;0,KL="Finalizado"),"Pendência de TACH",IF(AND(C7&gt;0,KL="Não Criado"),"Pendência de TACH",IF(AND(C7&gt;0,KL="Rascunho"),"Pendência de TACH",IF(AND(C7&gt;0,L7="NECESSÁRIO AJUSTAR"),"Pendência de TACH",IF(AND(C7&gt;0,L7="Aguardando Aprovação"),"Pendência de TACH",IF(AND(C7&gt;0,L7="Aprovado"),"Sem Pendência de TACH"))))))))))))))))))))))))</f>
        <v>Pendência de TACH</v>
      </c>
    </row>
    <row r="8" spans="1:14">
      <c r="A8" s="1">
        <v>30144</v>
      </c>
      <c r="B8" t="s">
        <v>223</v>
      </c>
      <c r="C8" s="2">
        <v>10</v>
      </c>
      <c r="D8" t="s">
        <v>5</v>
      </c>
      <c r="E8" t="s">
        <v>6</v>
      </c>
      <c r="F8" t="s">
        <v>235</v>
      </c>
      <c r="G8" t="s">
        <v>163</v>
      </c>
      <c r="H8" t="s">
        <v>133</v>
      </c>
      <c r="J8" t="s">
        <v>133</v>
      </c>
      <c r="K8" t="s">
        <v>133</v>
      </c>
      <c r="L8" t="s">
        <v>133</v>
      </c>
      <c r="M8" t="str">
        <f t="shared" si="0"/>
        <v>Pendência de Agenda</v>
      </c>
      <c r="N8" t="str" cm="1">
        <f t="array" ref="N8">IF(AND(C8&gt;0,I8="Finalizado"),"Pendência de TACH",IF(AND(C8&gt;0,I8="Não Criado"),"Pendência de TACH",IF(AND(C8&gt;0,I8="Rascunho"),"Pendência de TACH",IF(AND(C8&gt;0,I8="NECESSÁRIO AJUSTAR"),"Pendência de TACH",IF(AND(C8&gt;0,I8="Aguardando Aprovação"),"Pendência de TACH",IF(AND(C8&gt;0,I8="Aprovado"),"Sem Pendência de TACH",IF(AND(C8&gt;0,J8="Finalizado"),"Pendência de TACH",IF(AND(C8&gt;0,J8="Não Criado"),"Pendência de TACH",IF(AND(C8&gt;0,J8="Rascunho"),"Pendência de TACH",IF(AND(C8&gt;0,J8="NECESSÁRIO AJUSTAR"),"Pendência de TACH",IF(AND(C8&gt;0,J8="Aguardando Aprovação"),"Pendência de TACH",IF(AND(C8&gt;0,J8="Aprovado"),"Sem Pendência de TACH",IF(AND(C8&gt;0,K8="Finalizado"),"Pendência de TACH",IF(AND(C8&gt;0,K8="Não Criado"),"Pendência de TACH",IF(AND(C8&gt;0,K8="Rascunho"),"Pendência de TACH",IF(AND(C8&gt;0,K8="NECESSÁRIO AJUSTAR"),"Pendência de TACH",IF(AND(C8&gt;0,K8="Aguardando Aprovação"),"Pendência de TACH",IF(AND(C8&gt;0,K8="Aprovado"),"Sem Pendência de TACH",IF(AND(C8&gt;0,KL="Finalizado"),"Pendência de TACH",IF(AND(C8&gt;0,KL="Não Criado"),"Pendência de TACH",IF(AND(C8&gt;0,KL="Rascunho"),"Pendência de TACH",IF(AND(C8&gt;0,L8="NECESSÁRIO AJUSTAR"),"Pendência de TACH",IF(AND(C8&gt;0,L8="Aguardando Aprovação"),"Pendência de TACH",IF(AND(C8&gt;0,L8="Aprovado"),"Sem Pendência de TACH"))))))))))))))))))))))))</f>
        <v>Sem Pendência de TACH</v>
      </c>
    </row>
    <row r="9" spans="1:14">
      <c r="A9" s="1">
        <v>9506</v>
      </c>
      <c r="B9" t="s">
        <v>101</v>
      </c>
      <c r="C9" s="2">
        <v>1</v>
      </c>
      <c r="D9" t="s">
        <v>20</v>
      </c>
      <c r="E9" t="s">
        <v>6</v>
      </c>
      <c r="F9" t="s">
        <v>9</v>
      </c>
      <c r="G9" t="s">
        <v>163</v>
      </c>
      <c r="H9" t="s">
        <v>133</v>
      </c>
      <c r="J9" t="s">
        <v>133</v>
      </c>
      <c r="K9" t="s">
        <v>133</v>
      </c>
      <c r="L9" t="s">
        <v>133</v>
      </c>
      <c r="M9" t="str">
        <f t="shared" si="0"/>
        <v>Pendência de Agenda</v>
      </c>
      <c r="N9" t="str" cm="1">
        <f t="array" ref="N9">IF(AND(C9&gt;0,I9="Finalizado"),"Pendência de TACH",IF(AND(C9&gt;0,I9="Não Criado"),"Pendência de TACH",IF(AND(C9&gt;0,I9="Rascunho"),"Pendência de TACH",IF(AND(C9&gt;0,I9="NECESSÁRIO AJUSTAR"),"Pendência de TACH",IF(AND(C9&gt;0,I9="Aguardando Aprovação"),"Pendência de TACH",IF(AND(C9&gt;0,I9="Aprovado"),"Sem Pendência de TACH",IF(AND(C9&gt;0,J9="Finalizado"),"Pendência de TACH",IF(AND(C9&gt;0,J9="Não Criado"),"Pendência de TACH",IF(AND(C9&gt;0,J9="Rascunho"),"Pendência de TACH",IF(AND(C9&gt;0,J9="NECESSÁRIO AJUSTAR"),"Pendência de TACH",IF(AND(C9&gt;0,J9="Aguardando Aprovação"),"Pendência de TACH",IF(AND(C9&gt;0,J9="Aprovado"),"Sem Pendência de TACH",IF(AND(C9&gt;0,K9="Finalizado"),"Pendência de TACH",IF(AND(C9&gt;0,K9="Não Criado"),"Pendência de TACH",IF(AND(C9&gt;0,K9="Rascunho"),"Pendência de TACH",IF(AND(C9&gt;0,K9="NECESSÁRIO AJUSTAR"),"Pendência de TACH",IF(AND(C9&gt;0,K9="Aguardando Aprovação"),"Pendência de TACH",IF(AND(C9&gt;0,K9="Aprovado"),"Sem Pendência de TACH",IF(AND(C9&gt;0,KL="Finalizado"),"Pendência de TACH",IF(AND(C9&gt;0,KL="Não Criado"),"Pendência de TACH",IF(AND(C9&gt;0,KL="Rascunho"),"Pendência de TACH",IF(AND(C9&gt;0,L9="NECESSÁRIO AJUSTAR"),"Pendência de TACH",IF(AND(C9&gt;0,L9="Aguardando Aprovação"),"Pendência de TACH",IF(AND(C9&gt;0,L9="Aprovado"),"Sem Pendência de TACH"))))))))))))))))))))))))</f>
        <v>Sem Pendência de TACH</v>
      </c>
    </row>
    <row r="10" spans="1:14">
      <c r="A10" s="1">
        <v>90013955</v>
      </c>
      <c r="B10" t="s">
        <v>89</v>
      </c>
      <c r="C10" s="2">
        <v>3</v>
      </c>
      <c r="D10" t="s">
        <v>51</v>
      </c>
      <c r="E10" t="s">
        <v>6</v>
      </c>
      <c r="F10" t="s">
        <v>10</v>
      </c>
      <c r="G10" t="s">
        <v>163</v>
      </c>
      <c r="H10" t="s">
        <v>132</v>
      </c>
      <c r="J10" t="s">
        <v>132</v>
      </c>
      <c r="K10" t="s">
        <v>132</v>
      </c>
      <c r="L10" t="s">
        <v>132</v>
      </c>
      <c r="M10" t="str">
        <f t="shared" si="0"/>
        <v>Pendência de Agenda</v>
      </c>
      <c r="N10" t="str" cm="1">
        <f t="array" ref="N10">IF(AND(C10&gt;0,I10="Finalizado"),"Pendência de TACH",IF(AND(C10&gt;0,I10="Não Criado"),"Pendência de TACH",IF(AND(C10&gt;0,I10="Rascunho"),"Pendência de TACH",IF(AND(C10&gt;0,I10="NECESSÁRIO AJUSTAR"),"Pendência de TACH",IF(AND(C10&gt;0,I10="Aguardando Aprovação"),"Pendência de TACH",IF(AND(C10&gt;0,I10="Aprovado"),"Sem Pendência de TACH",IF(AND(C10&gt;0,J10="Finalizado"),"Pendência de TACH",IF(AND(C10&gt;0,J10="Não Criado"),"Pendência de TACH",IF(AND(C10&gt;0,J10="Rascunho"),"Pendência de TACH",IF(AND(C10&gt;0,J10="NECESSÁRIO AJUSTAR"),"Pendência de TACH",IF(AND(C10&gt;0,J10="Aguardando Aprovação"),"Pendência de TACH",IF(AND(C10&gt;0,J10="Aprovado"),"Sem Pendência de TACH",IF(AND(C10&gt;0,K10="Finalizado"),"Pendência de TACH",IF(AND(C10&gt;0,K10="Não Criado"),"Pendência de TACH",IF(AND(C10&gt;0,K10="Rascunho"),"Pendência de TACH",IF(AND(C10&gt;0,K10="NECESSÁRIO AJUSTAR"),"Pendência de TACH",IF(AND(C10&gt;0,K10="Aguardando Aprovação"),"Pendência de TACH",IF(AND(C10&gt;0,K10="Aprovado"),"Sem Pendência de TACH",IF(AND(C10&gt;0,KL="Finalizado"),"Pendência de TACH",IF(AND(C10&gt;0,KL="Não Criado"),"Pendência de TACH",IF(AND(C10&gt;0,KL="Rascunho"),"Pendência de TACH",IF(AND(C10&gt;0,L10="NECESSÁRIO AJUSTAR"),"Pendência de TACH",IF(AND(C10&gt;0,L10="Aguardando Aprovação"),"Pendência de TACH",IF(AND(C10&gt;0,L10="Aprovado"),"Sem Pendência de TACH"))))))))))))))))))))))))</f>
        <v>Pendência de TACH</v>
      </c>
    </row>
    <row r="11" spans="1:14">
      <c r="A11" s="1">
        <v>90010315</v>
      </c>
      <c r="B11" t="s">
        <v>195</v>
      </c>
      <c r="C11" s="2">
        <v>20</v>
      </c>
      <c r="D11" t="s">
        <v>59</v>
      </c>
      <c r="E11" t="s">
        <v>22</v>
      </c>
      <c r="F11" t="s">
        <v>23</v>
      </c>
      <c r="G11" t="s">
        <v>163</v>
      </c>
      <c r="H11" t="s">
        <v>132</v>
      </c>
      <c r="J11" t="s">
        <v>132</v>
      </c>
      <c r="K11" t="s">
        <v>132</v>
      </c>
      <c r="L11" t="s">
        <v>132</v>
      </c>
      <c r="M11" t="str">
        <f t="shared" si="0"/>
        <v>Pendência de Agenda</v>
      </c>
      <c r="N11" t="str" cm="1">
        <f t="array" ref="N11">IF(AND(C11&gt;0,I11="Finalizado"),"Pendência de TACH",IF(AND(C11&gt;0,I11="Não Criado"),"Pendência de TACH",IF(AND(C11&gt;0,I11="Rascunho"),"Pendência de TACH",IF(AND(C11&gt;0,I11="NECESSÁRIO AJUSTAR"),"Pendência de TACH",IF(AND(C11&gt;0,I11="Aguardando Aprovação"),"Pendência de TACH",IF(AND(C11&gt;0,I11="Aprovado"),"Sem Pendência de TACH",IF(AND(C11&gt;0,J11="Finalizado"),"Pendência de TACH",IF(AND(C11&gt;0,J11="Não Criado"),"Pendência de TACH",IF(AND(C11&gt;0,J11="Rascunho"),"Pendência de TACH",IF(AND(C11&gt;0,J11="NECESSÁRIO AJUSTAR"),"Pendência de TACH",IF(AND(C11&gt;0,J11="Aguardando Aprovação"),"Pendência de TACH",IF(AND(C11&gt;0,J11="Aprovado"),"Sem Pendência de TACH",IF(AND(C11&gt;0,K11="Finalizado"),"Pendência de TACH",IF(AND(C11&gt;0,K11="Não Criado"),"Pendência de TACH",IF(AND(C11&gt;0,K11="Rascunho"),"Pendência de TACH",IF(AND(C11&gt;0,K11="NECESSÁRIO AJUSTAR"),"Pendência de TACH",IF(AND(C11&gt;0,K11="Aguardando Aprovação"),"Pendência de TACH",IF(AND(C11&gt;0,K11="Aprovado"),"Sem Pendência de TACH",IF(AND(C11&gt;0,KL="Finalizado"),"Pendência de TACH",IF(AND(C11&gt;0,KL="Não Criado"),"Pendência de TACH",IF(AND(C11&gt;0,KL="Rascunho"),"Pendência de TACH",IF(AND(C11&gt;0,L11="NECESSÁRIO AJUSTAR"),"Pendência de TACH",IF(AND(C11&gt;0,L11="Aguardando Aprovação"),"Pendência de TACH",IF(AND(C11&gt;0,L11="Aprovado"),"Sem Pendência de TACH"))))))))))))))))))))))))</f>
        <v>Pendência de TACH</v>
      </c>
    </row>
    <row r="12" spans="1:14">
      <c r="A12" s="1">
        <v>24108</v>
      </c>
      <c r="B12" t="s">
        <v>196</v>
      </c>
      <c r="C12" s="2">
        <v>9</v>
      </c>
      <c r="D12" t="s">
        <v>96</v>
      </c>
      <c r="E12" t="s">
        <v>6</v>
      </c>
      <c r="F12" t="s">
        <v>9</v>
      </c>
      <c r="G12" t="s">
        <v>163</v>
      </c>
      <c r="H12" t="s">
        <v>131</v>
      </c>
      <c r="J12" t="s">
        <v>131</v>
      </c>
      <c r="K12" t="s">
        <v>131</v>
      </c>
      <c r="L12" t="s">
        <v>133</v>
      </c>
      <c r="M12" t="str">
        <f t="shared" si="0"/>
        <v>Pendência de Agenda</v>
      </c>
      <c r="N12" t="str" cm="1">
        <f t="array" ref="N12">IF(AND(C12&gt;0,I12="Finalizado"),"Pendência de TACH",IF(AND(C12&gt;0,I12="Não Criado"),"Pendência de TACH",IF(AND(C12&gt;0,I12="Rascunho"),"Pendência de TACH",IF(AND(C12&gt;0,I12="NECESSÁRIO AJUSTAR"),"Pendência de TACH",IF(AND(C12&gt;0,I12="Aguardando Aprovação"),"Pendência de TACH",IF(AND(C12&gt;0,I12="Aprovado"),"Sem Pendência de TACH",IF(AND(C12&gt;0,J12="Finalizado"),"Pendência de TACH",IF(AND(C12&gt;0,J12="Não Criado"),"Pendência de TACH",IF(AND(C12&gt;0,J12="Rascunho"),"Pendência de TACH",IF(AND(C12&gt;0,J12="NECESSÁRIO AJUSTAR"),"Pendência de TACH",IF(AND(C12&gt;0,J12="Aguardando Aprovação"),"Pendência de TACH",IF(AND(C12&gt;0,J12="Aprovado"),"Sem Pendência de TACH",IF(AND(C12&gt;0,K12="Finalizado"),"Pendência de TACH",IF(AND(C12&gt;0,K12="Não Criado"),"Pendência de TACH",IF(AND(C12&gt;0,K12="Rascunho"),"Pendência de TACH",IF(AND(C12&gt;0,K12="NECESSÁRIO AJUSTAR"),"Pendência de TACH",IF(AND(C12&gt;0,K12="Aguardando Aprovação"),"Pendência de TACH",IF(AND(C12&gt;0,K12="Aprovado"),"Sem Pendência de TACH",IF(AND(C12&gt;0,KL="Finalizado"),"Pendência de TACH",IF(AND(C12&gt;0,KL="Não Criado"),"Pendência de TACH",IF(AND(C12&gt;0,KL="Rascunho"),"Pendência de TACH",IF(AND(C12&gt;0,L12="NECESSÁRIO AJUSTAR"),"Pendência de TACH",IF(AND(C12&gt;0,L12="Aguardando Aprovação"),"Pendência de TACH",IF(AND(C12&gt;0,L12="Aprovado"),"Sem Pendência de TACH"))))))))))))))))))))))))</f>
        <v>Pendência de TACH</v>
      </c>
    </row>
    <row r="13" spans="1:14">
      <c r="A13" s="1">
        <v>26276</v>
      </c>
      <c r="B13" t="s">
        <v>224</v>
      </c>
      <c r="C13" s="2">
        <v>4</v>
      </c>
      <c r="D13" t="s">
        <v>5</v>
      </c>
      <c r="E13" t="s">
        <v>6</v>
      </c>
      <c r="F13" t="s">
        <v>41</v>
      </c>
      <c r="G13" t="s">
        <v>163</v>
      </c>
      <c r="H13" t="s">
        <v>132</v>
      </c>
      <c r="J13" t="s">
        <v>132</v>
      </c>
      <c r="K13" t="s">
        <v>132</v>
      </c>
      <c r="L13" t="s">
        <v>132</v>
      </c>
      <c r="M13" t="str">
        <f t="shared" si="0"/>
        <v>Pendência de Agenda</v>
      </c>
      <c r="N13" t="str" cm="1">
        <f t="array" ref="N13">IF(AND(C13&gt;0,I13="Finalizado"),"Pendência de TACH",IF(AND(C13&gt;0,I13="Não Criado"),"Pendência de TACH",IF(AND(C13&gt;0,I13="Rascunho"),"Pendência de TACH",IF(AND(C13&gt;0,I13="NECESSÁRIO AJUSTAR"),"Pendência de TACH",IF(AND(C13&gt;0,I13="Aguardando Aprovação"),"Pendência de TACH",IF(AND(C13&gt;0,I13="Aprovado"),"Sem Pendência de TACH",IF(AND(C13&gt;0,J13="Finalizado"),"Pendência de TACH",IF(AND(C13&gt;0,J13="Não Criado"),"Pendência de TACH",IF(AND(C13&gt;0,J13="Rascunho"),"Pendência de TACH",IF(AND(C13&gt;0,J13="NECESSÁRIO AJUSTAR"),"Pendência de TACH",IF(AND(C13&gt;0,J13="Aguardando Aprovação"),"Pendência de TACH",IF(AND(C13&gt;0,J13="Aprovado"),"Sem Pendência de TACH",IF(AND(C13&gt;0,K13="Finalizado"),"Pendência de TACH",IF(AND(C13&gt;0,K13="Não Criado"),"Pendência de TACH",IF(AND(C13&gt;0,K13="Rascunho"),"Pendência de TACH",IF(AND(C13&gt;0,K13="NECESSÁRIO AJUSTAR"),"Pendência de TACH",IF(AND(C13&gt;0,K13="Aguardando Aprovação"),"Pendência de TACH",IF(AND(C13&gt;0,K13="Aprovado"),"Sem Pendência de TACH",IF(AND(C13&gt;0,KL="Finalizado"),"Pendência de TACH",IF(AND(C13&gt;0,KL="Não Criado"),"Pendência de TACH",IF(AND(C13&gt;0,KL="Rascunho"),"Pendência de TACH",IF(AND(C13&gt;0,L13="NECESSÁRIO AJUSTAR"),"Pendência de TACH",IF(AND(C13&gt;0,L13="Aguardando Aprovação"),"Pendência de TACH",IF(AND(C13&gt;0,L13="Aprovado"),"Sem Pendência de TACH"))))))))))))))))))))))))</f>
        <v>Pendência de TACH</v>
      </c>
    </row>
    <row r="14" spans="1:14">
      <c r="A14" s="1">
        <v>27508</v>
      </c>
      <c r="B14" t="s">
        <v>225</v>
      </c>
      <c r="C14" s="2">
        <v>22</v>
      </c>
      <c r="D14" t="s">
        <v>17</v>
      </c>
      <c r="E14" t="s">
        <v>6</v>
      </c>
      <c r="F14" t="s">
        <v>236</v>
      </c>
      <c r="G14" t="s">
        <v>163</v>
      </c>
      <c r="H14" t="s">
        <v>133</v>
      </c>
      <c r="J14" t="s">
        <v>133</v>
      </c>
      <c r="K14" t="s">
        <v>133</v>
      </c>
      <c r="L14" t="s">
        <v>133</v>
      </c>
      <c r="M14" t="str">
        <f t="shared" si="0"/>
        <v>Pendência de Agenda</v>
      </c>
      <c r="N14" t="str" cm="1">
        <f t="array" ref="N14">IF(AND(C14&gt;0,I14="Finalizado"),"Pendência de TACH",IF(AND(C14&gt;0,I14="Não Criado"),"Pendência de TACH",IF(AND(C14&gt;0,I14="Rascunho"),"Pendência de TACH",IF(AND(C14&gt;0,I14="NECESSÁRIO AJUSTAR"),"Pendência de TACH",IF(AND(C14&gt;0,I14="Aguardando Aprovação"),"Pendência de TACH",IF(AND(C14&gt;0,I14="Aprovado"),"Sem Pendência de TACH",IF(AND(C14&gt;0,J14="Finalizado"),"Pendência de TACH",IF(AND(C14&gt;0,J14="Não Criado"),"Pendência de TACH",IF(AND(C14&gt;0,J14="Rascunho"),"Pendência de TACH",IF(AND(C14&gt;0,J14="NECESSÁRIO AJUSTAR"),"Pendência de TACH",IF(AND(C14&gt;0,J14="Aguardando Aprovação"),"Pendência de TACH",IF(AND(C14&gt;0,J14="Aprovado"),"Sem Pendência de TACH",IF(AND(C14&gt;0,K14="Finalizado"),"Pendência de TACH",IF(AND(C14&gt;0,K14="Não Criado"),"Pendência de TACH",IF(AND(C14&gt;0,K14="Rascunho"),"Pendência de TACH",IF(AND(C14&gt;0,K14="NECESSÁRIO AJUSTAR"),"Pendência de TACH",IF(AND(C14&gt;0,K14="Aguardando Aprovação"),"Pendência de TACH",IF(AND(C14&gt;0,K14="Aprovado"),"Sem Pendência de TACH",IF(AND(C14&gt;0,KL="Finalizado"),"Pendência de TACH",IF(AND(C14&gt;0,KL="Não Criado"),"Pendência de TACH",IF(AND(C14&gt;0,KL="Rascunho"),"Pendência de TACH",IF(AND(C14&gt;0,L14="NECESSÁRIO AJUSTAR"),"Pendência de TACH",IF(AND(C14&gt;0,L14="Aguardando Aprovação"),"Pendência de TACH",IF(AND(C14&gt;0,L14="Aprovado"),"Sem Pendência de TACH"))))))))))))))))))))))))</f>
        <v>Sem Pendência de TACH</v>
      </c>
    </row>
    <row r="15" spans="1:14">
      <c r="A15" s="1">
        <v>90011183</v>
      </c>
      <c r="B15" t="s">
        <v>42</v>
      </c>
      <c r="C15" s="2">
        <v>4</v>
      </c>
      <c r="D15" t="s">
        <v>5</v>
      </c>
      <c r="E15" t="s">
        <v>6</v>
      </c>
      <c r="F15" t="s">
        <v>39</v>
      </c>
      <c r="G15" t="s">
        <v>163</v>
      </c>
      <c r="H15" t="s">
        <v>134</v>
      </c>
      <c r="J15" t="s">
        <v>134</v>
      </c>
      <c r="K15" t="s">
        <v>134</v>
      </c>
      <c r="L15" t="s">
        <v>134</v>
      </c>
      <c r="M15" t="str">
        <f t="shared" si="0"/>
        <v>Pendência de Agenda</v>
      </c>
      <c r="N15" t="str" cm="1">
        <f t="array" ref="N15">IF(AND(C15&gt;0,I15="Finalizado"),"Pendência de TACH",IF(AND(C15&gt;0,I15="Não Criado"),"Pendência de TACH",IF(AND(C15&gt;0,I15="Rascunho"),"Pendência de TACH",IF(AND(C15&gt;0,I15="NECESSÁRIO AJUSTAR"),"Pendência de TACH",IF(AND(C15&gt;0,I15="Aguardando Aprovação"),"Pendência de TACH",IF(AND(C15&gt;0,I15="Aprovado"),"Sem Pendência de TACH",IF(AND(C15&gt;0,J15="Finalizado"),"Pendência de TACH",IF(AND(C15&gt;0,J15="Não Criado"),"Pendência de TACH",IF(AND(C15&gt;0,J15="Rascunho"),"Pendência de TACH",IF(AND(C15&gt;0,J15="NECESSÁRIO AJUSTAR"),"Pendência de TACH",IF(AND(C15&gt;0,J15="Aguardando Aprovação"),"Pendência de TACH",IF(AND(C15&gt;0,J15="Aprovado"),"Sem Pendência de TACH",IF(AND(C15&gt;0,K15="Finalizado"),"Pendência de TACH",IF(AND(C15&gt;0,K15="Não Criado"),"Pendência de TACH",IF(AND(C15&gt;0,K15="Rascunho"),"Pendência de TACH",IF(AND(C15&gt;0,K15="NECESSÁRIO AJUSTAR"),"Pendência de TACH",IF(AND(C15&gt;0,K15="Aguardando Aprovação"),"Pendência de TACH",IF(AND(C15&gt;0,K15="Aprovado"),"Sem Pendência de TACH",IF(AND(C15&gt;0,KL="Finalizado"),"Pendência de TACH",IF(AND(C15&gt;0,KL="Não Criado"),"Pendência de TACH",IF(AND(C15&gt;0,KL="Rascunho"),"Pendência de TACH",IF(AND(C15&gt;0,L15="NECESSÁRIO AJUSTAR"),"Pendência de TACH",IF(AND(C15&gt;0,L15="Aguardando Aprovação"),"Pendência de TACH",IF(AND(C15&gt;0,L15="Aprovado"),"Sem Pendência de TACH"))))))))))))))))))))))))</f>
        <v>Pendência de TACH</v>
      </c>
    </row>
    <row r="16" spans="1:14">
      <c r="A16" s="1">
        <v>90003306</v>
      </c>
      <c r="B16" t="s">
        <v>43</v>
      </c>
      <c r="C16" s="2">
        <v>8</v>
      </c>
      <c r="D16" t="s">
        <v>29</v>
      </c>
      <c r="E16" t="s">
        <v>22</v>
      </c>
      <c r="F16" t="s">
        <v>23</v>
      </c>
      <c r="G16" t="s">
        <v>163</v>
      </c>
      <c r="H16" t="s">
        <v>132</v>
      </c>
      <c r="J16" t="s">
        <v>132</v>
      </c>
      <c r="K16" t="s">
        <v>132</v>
      </c>
      <c r="L16" t="s">
        <v>132</v>
      </c>
      <c r="M16" t="str">
        <f t="shared" si="0"/>
        <v>Pendência de Agenda</v>
      </c>
      <c r="N16" t="str" cm="1">
        <f t="array" ref="N16">IF(AND(C16&gt;0,I16="Finalizado"),"Pendência de TACH",IF(AND(C16&gt;0,I16="Não Criado"),"Pendência de TACH",IF(AND(C16&gt;0,I16="Rascunho"),"Pendência de TACH",IF(AND(C16&gt;0,I16="NECESSÁRIO AJUSTAR"),"Pendência de TACH",IF(AND(C16&gt;0,I16="Aguardando Aprovação"),"Pendência de TACH",IF(AND(C16&gt;0,I16="Aprovado"),"Sem Pendência de TACH",IF(AND(C16&gt;0,J16="Finalizado"),"Pendência de TACH",IF(AND(C16&gt;0,J16="Não Criado"),"Pendência de TACH",IF(AND(C16&gt;0,J16="Rascunho"),"Pendência de TACH",IF(AND(C16&gt;0,J16="NECESSÁRIO AJUSTAR"),"Pendência de TACH",IF(AND(C16&gt;0,J16="Aguardando Aprovação"),"Pendência de TACH",IF(AND(C16&gt;0,J16="Aprovado"),"Sem Pendência de TACH",IF(AND(C16&gt;0,K16="Finalizado"),"Pendência de TACH",IF(AND(C16&gt;0,K16="Não Criado"),"Pendência de TACH",IF(AND(C16&gt;0,K16="Rascunho"),"Pendência de TACH",IF(AND(C16&gt;0,K16="NECESSÁRIO AJUSTAR"),"Pendência de TACH",IF(AND(C16&gt;0,K16="Aguardando Aprovação"),"Pendência de TACH",IF(AND(C16&gt;0,K16="Aprovado"),"Sem Pendência de TACH",IF(AND(C16&gt;0,KL="Finalizado"),"Pendência de TACH",IF(AND(C16&gt;0,KL="Não Criado"),"Pendência de TACH",IF(AND(C16&gt;0,KL="Rascunho"),"Pendência de TACH",IF(AND(C16&gt;0,L16="NECESSÁRIO AJUSTAR"),"Pendência de TACH",IF(AND(C16&gt;0,L16="Aguardando Aprovação"),"Pendência de TACH",IF(AND(C16&gt;0,L16="Aprovado"),"Sem Pendência de TACH"))))))))))))))))))))))))</f>
        <v>Pendência de TACH</v>
      </c>
    </row>
    <row r="17" spans="1:14">
      <c r="A17" s="1">
        <v>23702</v>
      </c>
      <c r="B17" t="s">
        <v>226</v>
      </c>
      <c r="C17" s="2">
        <v>22</v>
      </c>
      <c r="D17" t="s">
        <v>12</v>
      </c>
      <c r="E17" t="s">
        <v>6</v>
      </c>
      <c r="F17" t="s">
        <v>237</v>
      </c>
      <c r="G17" t="s">
        <v>163</v>
      </c>
      <c r="H17" t="s">
        <v>130</v>
      </c>
      <c r="J17" t="s">
        <v>130</v>
      </c>
      <c r="K17" t="s">
        <v>130</v>
      </c>
      <c r="L17" t="s">
        <v>130</v>
      </c>
      <c r="M17" t="str">
        <f t="shared" si="0"/>
        <v>Pendência de Agenda</v>
      </c>
      <c r="N17" t="str" cm="1">
        <f t="array" ref="N17">IF(AND(C17&gt;0,I17="Finalizado"),"Pendência de TACH",IF(AND(C17&gt;0,I17="Não Criado"),"Pendência de TACH",IF(AND(C17&gt;0,I17="Rascunho"),"Pendência de TACH",IF(AND(C17&gt;0,I17="NECESSÁRIO AJUSTAR"),"Pendência de TACH",IF(AND(C17&gt;0,I17="Aguardando Aprovação"),"Pendência de TACH",IF(AND(C17&gt;0,I17="Aprovado"),"Sem Pendência de TACH",IF(AND(C17&gt;0,J17="Finalizado"),"Pendência de TACH",IF(AND(C17&gt;0,J17="Não Criado"),"Pendência de TACH",IF(AND(C17&gt;0,J17="Rascunho"),"Pendência de TACH",IF(AND(C17&gt;0,J17="NECESSÁRIO AJUSTAR"),"Pendência de TACH",IF(AND(C17&gt;0,J17="Aguardando Aprovação"),"Pendência de TACH",IF(AND(C17&gt;0,J17="Aprovado"),"Sem Pendência de TACH",IF(AND(C17&gt;0,K17="Finalizado"),"Pendência de TACH",IF(AND(C17&gt;0,K17="Não Criado"),"Pendência de TACH",IF(AND(C17&gt;0,K17="Rascunho"),"Pendência de TACH",IF(AND(C17&gt;0,K17="NECESSÁRIO AJUSTAR"),"Pendência de TACH",IF(AND(C17&gt;0,K17="Aguardando Aprovação"),"Pendência de TACH",IF(AND(C17&gt;0,K17="Aprovado"),"Sem Pendência de TACH",IF(AND(C17&gt;0,KL="Finalizado"),"Pendência de TACH",IF(AND(C17&gt;0,KL="Não Criado"),"Pendência de TACH",IF(AND(C17&gt;0,KL="Rascunho"),"Pendência de TACH",IF(AND(C17&gt;0,L17="NECESSÁRIO AJUSTAR"),"Pendência de TACH",IF(AND(C17&gt;0,L17="Aguardando Aprovação"),"Pendência de TACH",IF(AND(C17&gt;0,L17="Aprovado"),"Sem Pendência de TACH"))))))))))))))))))))))))</f>
        <v>Pendência de TACH</v>
      </c>
    </row>
    <row r="18" spans="1:14">
      <c r="A18" s="1">
        <v>28825</v>
      </c>
      <c r="B18" t="s">
        <v>227</v>
      </c>
      <c r="C18" s="2">
        <v>12</v>
      </c>
      <c r="D18" t="s">
        <v>12</v>
      </c>
      <c r="E18" t="s">
        <v>6</v>
      </c>
      <c r="F18" t="s">
        <v>73</v>
      </c>
      <c r="G18" t="s">
        <v>163</v>
      </c>
      <c r="H18" t="s">
        <v>130</v>
      </c>
      <c r="J18" t="s">
        <v>130</v>
      </c>
      <c r="K18" t="s">
        <v>133</v>
      </c>
      <c r="L18" t="s">
        <v>133</v>
      </c>
      <c r="M18" t="str">
        <f t="shared" si="0"/>
        <v>Pendência de Agenda</v>
      </c>
      <c r="N18" t="str" cm="1">
        <f t="array" ref="N18">IF(AND(C18&gt;0,I18="Finalizado"),"Pendência de TACH",IF(AND(C18&gt;0,I18="Não Criado"),"Pendência de TACH",IF(AND(C18&gt;0,I18="Rascunho"),"Pendência de TACH",IF(AND(C18&gt;0,I18="NECESSÁRIO AJUSTAR"),"Pendência de TACH",IF(AND(C18&gt;0,I18="Aguardando Aprovação"),"Pendência de TACH",IF(AND(C18&gt;0,I18="Aprovado"),"Sem Pendência de TACH",IF(AND(C18&gt;0,J18="Finalizado"),"Pendência de TACH",IF(AND(C18&gt;0,J18="Não Criado"),"Pendência de TACH",IF(AND(C18&gt;0,J18="Rascunho"),"Pendência de TACH",IF(AND(C18&gt;0,J18="NECESSÁRIO AJUSTAR"),"Pendência de TACH",IF(AND(C18&gt;0,J18="Aguardando Aprovação"),"Pendência de TACH",IF(AND(C18&gt;0,J18="Aprovado"),"Sem Pendência de TACH",IF(AND(C18&gt;0,K18="Finalizado"),"Pendência de TACH",IF(AND(C18&gt;0,K18="Não Criado"),"Pendência de TACH",IF(AND(C18&gt;0,K18="Rascunho"),"Pendência de TACH",IF(AND(C18&gt;0,K18="NECESSÁRIO AJUSTAR"),"Pendência de TACH",IF(AND(C18&gt;0,K18="Aguardando Aprovação"),"Pendência de TACH",IF(AND(C18&gt;0,K18="Aprovado"),"Sem Pendência de TACH",IF(AND(C18&gt;0,KL="Finalizado"),"Pendência de TACH",IF(AND(C18&gt;0,KL="Não Criado"),"Pendência de TACH",IF(AND(C18&gt;0,KL="Rascunho"),"Pendência de TACH",IF(AND(C18&gt;0,L18="NECESSÁRIO AJUSTAR"),"Pendência de TACH",IF(AND(C18&gt;0,L18="Aguardando Aprovação"),"Pendência de TACH",IF(AND(C18&gt;0,L18="Aprovado"),"Sem Pendência de TACH"))))))))))))))))))))))))</f>
        <v>Pendência de TACH</v>
      </c>
    </row>
    <row r="19" spans="1:14">
      <c r="A19" s="1">
        <v>90013958</v>
      </c>
      <c r="B19" t="s">
        <v>90</v>
      </c>
      <c r="C19" s="2">
        <v>2</v>
      </c>
      <c r="D19" t="s">
        <v>8</v>
      </c>
      <c r="E19" t="s">
        <v>6</v>
      </c>
      <c r="F19" t="s">
        <v>41</v>
      </c>
      <c r="G19" t="s">
        <v>163</v>
      </c>
      <c r="H19" t="s">
        <v>132</v>
      </c>
      <c r="J19" t="s">
        <v>132</v>
      </c>
      <c r="K19" t="s">
        <v>132</v>
      </c>
      <c r="L19" t="s">
        <v>132</v>
      </c>
      <c r="M19" t="str">
        <f t="shared" si="0"/>
        <v>Pendência de Agenda</v>
      </c>
      <c r="N19" t="str" cm="1">
        <f t="array" ref="N19">IF(AND(C19&gt;0,I19="Finalizado"),"Pendência de TACH",IF(AND(C19&gt;0,I19="Não Criado"),"Pendência de TACH",IF(AND(C19&gt;0,I19="Rascunho"),"Pendência de TACH",IF(AND(C19&gt;0,I19="NECESSÁRIO AJUSTAR"),"Pendência de TACH",IF(AND(C19&gt;0,I19="Aguardando Aprovação"),"Pendência de TACH",IF(AND(C19&gt;0,I19="Aprovado"),"Sem Pendência de TACH",IF(AND(C19&gt;0,J19="Finalizado"),"Pendência de TACH",IF(AND(C19&gt;0,J19="Não Criado"),"Pendência de TACH",IF(AND(C19&gt;0,J19="Rascunho"),"Pendência de TACH",IF(AND(C19&gt;0,J19="NECESSÁRIO AJUSTAR"),"Pendência de TACH",IF(AND(C19&gt;0,J19="Aguardando Aprovação"),"Pendência de TACH",IF(AND(C19&gt;0,J19="Aprovado"),"Sem Pendência de TACH",IF(AND(C19&gt;0,K19="Finalizado"),"Pendência de TACH",IF(AND(C19&gt;0,K19="Não Criado"),"Pendência de TACH",IF(AND(C19&gt;0,K19="Rascunho"),"Pendência de TACH",IF(AND(C19&gt;0,K19="NECESSÁRIO AJUSTAR"),"Pendência de TACH",IF(AND(C19&gt;0,K19="Aguardando Aprovação"),"Pendência de TACH",IF(AND(C19&gt;0,K19="Aprovado"),"Sem Pendência de TACH",IF(AND(C19&gt;0,KL="Finalizado"),"Pendência de TACH",IF(AND(C19&gt;0,KL="Não Criado"),"Pendência de TACH",IF(AND(C19&gt;0,KL="Rascunho"),"Pendência de TACH",IF(AND(C19&gt;0,L19="NECESSÁRIO AJUSTAR"),"Pendência de TACH",IF(AND(C19&gt;0,L19="Aguardando Aprovação"),"Pendência de TACH",IF(AND(C19&gt;0,L19="Aprovado"),"Sem Pendência de TACH"))))))))))))))))))))))))</f>
        <v>Pendência de TACH</v>
      </c>
    </row>
    <row r="20" spans="1:14">
      <c r="A20" s="1">
        <v>90002614</v>
      </c>
      <c r="B20" t="s">
        <v>44</v>
      </c>
      <c r="C20" s="2">
        <v>2</v>
      </c>
      <c r="D20" t="s">
        <v>8</v>
      </c>
      <c r="E20" t="s">
        <v>6</v>
      </c>
      <c r="F20" t="s">
        <v>45</v>
      </c>
      <c r="G20" t="s">
        <v>163</v>
      </c>
      <c r="H20" t="s">
        <v>133</v>
      </c>
      <c r="J20" t="s">
        <v>133</v>
      </c>
      <c r="K20" t="s">
        <v>133</v>
      </c>
      <c r="L20" t="s">
        <v>133</v>
      </c>
      <c r="M20" t="str">
        <f t="shared" si="0"/>
        <v>Pendência de Agenda</v>
      </c>
      <c r="N20" t="str" cm="1">
        <f t="array" ref="N20">IF(AND(C20&gt;0,I20="Finalizado"),"Pendência de TACH",IF(AND(C20&gt;0,I20="Não Criado"),"Pendência de TACH",IF(AND(C20&gt;0,I20="Rascunho"),"Pendência de TACH",IF(AND(C20&gt;0,I20="NECESSÁRIO AJUSTAR"),"Pendência de TACH",IF(AND(C20&gt;0,I20="Aguardando Aprovação"),"Pendência de TACH",IF(AND(C20&gt;0,I20="Aprovado"),"Sem Pendência de TACH",IF(AND(C20&gt;0,J20="Finalizado"),"Pendência de TACH",IF(AND(C20&gt;0,J20="Não Criado"),"Pendência de TACH",IF(AND(C20&gt;0,J20="Rascunho"),"Pendência de TACH",IF(AND(C20&gt;0,J20="NECESSÁRIO AJUSTAR"),"Pendência de TACH",IF(AND(C20&gt;0,J20="Aguardando Aprovação"),"Pendência de TACH",IF(AND(C20&gt;0,J20="Aprovado"),"Sem Pendência de TACH",IF(AND(C20&gt;0,K20="Finalizado"),"Pendência de TACH",IF(AND(C20&gt;0,K20="Não Criado"),"Pendência de TACH",IF(AND(C20&gt;0,K20="Rascunho"),"Pendência de TACH",IF(AND(C20&gt;0,K20="NECESSÁRIO AJUSTAR"),"Pendência de TACH",IF(AND(C20&gt;0,K20="Aguardando Aprovação"),"Pendência de TACH",IF(AND(C20&gt;0,K20="Aprovado"),"Sem Pendência de TACH",IF(AND(C20&gt;0,KL="Finalizado"),"Pendência de TACH",IF(AND(C20&gt;0,KL="Não Criado"),"Pendência de TACH",IF(AND(C20&gt;0,KL="Rascunho"),"Pendência de TACH",IF(AND(C20&gt;0,L20="NECESSÁRIO AJUSTAR"),"Pendência de TACH",IF(AND(C20&gt;0,L20="Aguardando Aprovação"),"Pendência de TACH",IF(AND(C20&gt;0,L20="Aprovado"),"Sem Pendência de TACH"))))))))))))))))))))))))</f>
        <v>Sem Pendência de TACH</v>
      </c>
    </row>
    <row r="21" spans="1:14">
      <c r="A21" s="1">
        <v>90006746</v>
      </c>
      <c r="B21" t="s">
        <v>47</v>
      </c>
      <c r="C21" s="2">
        <v>8</v>
      </c>
      <c r="D21" t="s">
        <v>29</v>
      </c>
      <c r="E21" t="s">
        <v>6</v>
      </c>
      <c r="F21" t="s">
        <v>10</v>
      </c>
      <c r="G21" t="s">
        <v>163</v>
      </c>
      <c r="H21" t="s">
        <v>135</v>
      </c>
      <c r="J21" t="s">
        <v>135</v>
      </c>
      <c r="K21" t="s">
        <v>131</v>
      </c>
      <c r="L21" t="s">
        <v>131</v>
      </c>
      <c r="M21" t="str">
        <f t="shared" si="0"/>
        <v>Pendência de Agenda</v>
      </c>
      <c r="N21" t="str" cm="1">
        <f t="array" ref="N21">IF(AND(C21&gt;0,I21="Finalizado"),"Pendência de TACH",IF(AND(C21&gt;0,I21="Não Criado"),"Pendência de TACH",IF(AND(C21&gt;0,I21="Rascunho"),"Pendência de TACH",IF(AND(C21&gt;0,I21="NECESSÁRIO AJUSTAR"),"Pendência de TACH",IF(AND(C21&gt;0,I21="Aguardando Aprovação"),"Pendência de TACH",IF(AND(C21&gt;0,I21="Aprovado"),"Sem Pendência de TACH",IF(AND(C21&gt;0,J21="Finalizado"),"Pendência de TACH",IF(AND(C21&gt;0,J21="Não Criado"),"Pendência de TACH",IF(AND(C21&gt;0,J21="Rascunho"),"Pendência de TACH",IF(AND(C21&gt;0,J21="NECESSÁRIO AJUSTAR"),"Pendência de TACH",IF(AND(C21&gt;0,J21="Aguardando Aprovação"),"Pendência de TACH",IF(AND(C21&gt;0,J21="Aprovado"),"Sem Pendência de TACH",IF(AND(C21&gt;0,K21="Finalizado"),"Pendência de TACH",IF(AND(C21&gt;0,K21="Não Criado"),"Pendência de TACH",IF(AND(C21&gt;0,K21="Rascunho"),"Pendência de TACH",IF(AND(C21&gt;0,K21="NECESSÁRIO AJUSTAR"),"Pendência de TACH",IF(AND(C21&gt;0,K21="Aguardando Aprovação"),"Pendência de TACH",IF(AND(C21&gt;0,K21="Aprovado"),"Sem Pendência de TACH",IF(AND(C21&gt;0,KL="Finalizado"),"Pendência de TACH",IF(AND(C21&gt;0,KL="Não Criado"),"Pendência de TACH",IF(AND(C21&gt;0,KL="Rascunho"),"Pendência de TACH",IF(AND(C21&gt;0,L21="NECESSÁRIO AJUSTAR"),"Pendência de TACH",IF(AND(C21&gt;0,L21="Aguardando Aprovação"),"Pendência de TACH",IF(AND(C21&gt;0,L21="Aprovado"),"Sem Pendência de TACH"))))))))))))))))))))))))</f>
        <v>Pendência de TACH</v>
      </c>
    </row>
    <row r="22" spans="1:14">
      <c r="A22" s="1">
        <v>90013834</v>
      </c>
      <c r="B22" t="s">
        <v>52</v>
      </c>
      <c r="C22" s="2">
        <v>1</v>
      </c>
      <c r="D22" t="s">
        <v>20</v>
      </c>
      <c r="E22" t="s">
        <v>6</v>
      </c>
      <c r="F22" t="s">
        <v>28</v>
      </c>
      <c r="G22" t="s">
        <v>163</v>
      </c>
      <c r="H22" t="s">
        <v>133</v>
      </c>
      <c r="J22" t="s">
        <v>133</v>
      </c>
      <c r="K22" t="s">
        <v>133</v>
      </c>
      <c r="L22" t="s">
        <v>133</v>
      </c>
      <c r="M22" t="str">
        <f t="shared" si="0"/>
        <v>Pendência de Agenda</v>
      </c>
      <c r="N22" t="str" cm="1">
        <f t="array" ref="N22">IF(AND(C22&gt;0,I22="Finalizado"),"Pendência de TACH",IF(AND(C22&gt;0,I22="Não Criado"),"Pendência de TACH",IF(AND(C22&gt;0,I22="Rascunho"),"Pendência de TACH",IF(AND(C22&gt;0,I22="NECESSÁRIO AJUSTAR"),"Pendência de TACH",IF(AND(C22&gt;0,I22="Aguardando Aprovação"),"Pendência de TACH",IF(AND(C22&gt;0,I22="Aprovado"),"Sem Pendência de TACH",IF(AND(C22&gt;0,J22="Finalizado"),"Pendência de TACH",IF(AND(C22&gt;0,J22="Não Criado"),"Pendência de TACH",IF(AND(C22&gt;0,J22="Rascunho"),"Pendência de TACH",IF(AND(C22&gt;0,J22="NECESSÁRIO AJUSTAR"),"Pendência de TACH",IF(AND(C22&gt;0,J22="Aguardando Aprovação"),"Pendência de TACH",IF(AND(C22&gt;0,J22="Aprovado"),"Sem Pendência de TACH",IF(AND(C22&gt;0,K22="Finalizado"),"Pendência de TACH",IF(AND(C22&gt;0,K22="Não Criado"),"Pendência de TACH",IF(AND(C22&gt;0,K22="Rascunho"),"Pendência de TACH",IF(AND(C22&gt;0,K22="NECESSÁRIO AJUSTAR"),"Pendência de TACH",IF(AND(C22&gt;0,K22="Aguardando Aprovação"),"Pendência de TACH",IF(AND(C22&gt;0,K22="Aprovado"),"Sem Pendência de TACH",IF(AND(C22&gt;0,KL="Finalizado"),"Pendência de TACH",IF(AND(C22&gt;0,KL="Não Criado"),"Pendência de TACH",IF(AND(C22&gt;0,KL="Rascunho"),"Pendência de TACH",IF(AND(C22&gt;0,L22="NECESSÁRIO AJUSTAR"),"Pendência de TACH",IF(AND(C22&gt;0,L22="Aguardando Aprovação"),"Pendência de TACH",IF(AND(C22&gt;0,L22="Aprovado"),"Sem Pendência de TACH"))))))))))))))))))))))))</f>
        <v>Sem Pendência de TACH</v>
      </c>
    </row>
    <row r="23" spans="1:14">
      <c r="A23" s="1">
        <v>90013639</v>
      </c>
      <c r="B23" t="s">
        <v>53</v>
      </c>
      <c r="C23" s="2">
        <v>14</v>
      </c>
      <c r="D23" t="s">
        <v>46</v>
      </c>
      <c r="E23" t="s">
        <v>6</v>
      </c>
      <c r="F23" t="s">
        <v>27</v>
      </c>
      <c r="G23" t="s">
        <v>163</v>
      </c>
      <c r="H23" t="s">
        <v>133</v>
      </c>
      <c r="J23" t="s">
        <v>133</v>
      </c>
      <c r="K23" t="s">
        <v>133</v>
      </c>
      <c r="L23" t="s">
        <v>133</v>
      </c>
      <c r="M23" t="str">
        <f t="shared" si="0"/>
        <v>Pendência de Agenda</v>
      </c>
      <c r="N23" t="str" cm="1">
        <f t="array" ref="N23">IF(AND(C23&gt;0,I23="Finalizado"),"Pendência de TACH",IF(AND(C23&gt;0,I23="Não Criado"),"Pendência de TACH",IF(AND(C23&gt;0,I23="Rascunho"),"Pendência de TACH",IF(AND(C23&gt;0,I23="NECESSÁRIO AJUSTAR"),"Pendência de TACH",IF(AND(C23&gt;0,I23="Aguardando Aprovação"),"Pendência de TACH",IF(AND(C23&gt;0,I23="Aprovado"),"Sem Pendência de TACH",IF(AND(C23&gt;0,J23="Finalizado"),"Pendência de TACH",IF(AND(C23&gt;0,J23="Não Criado"),"Pendência de TACH",IF(AND(C23&gt;0,J23="Rascunho"),"Pendência de TACH",IF(AND(C23&gt;0,J23="NECESSÁRIO AJUSTAR"),"Pendência de TACH",IF(AND(C23&gt;0,J23="Aguardando Aprovação"),"Pendência de TACH",IF(AND(C23&gt;0,J23="Aprovado"),"Sem Pendência de TACH",IF(AND(C23&gt;0,K23="Finalizado"),"Pendência de TACH",IF(AND(C23&gt;0,K23="Não Criado"),"Pendência de TACH",IF(AND(C23&gt;0,K23="Rascunho"),"Pendência de TACH",IF(AND(C23&gt;0,K23="NECESSÁRIO AJUSTAR"),"Pendência de TACH",IF(AND(C23&gt;0,K23="Aguardando Aprovação"),"Pendência de TACH",IF(AND(C23&gt;0,K23="Aprovado"),"Sem Pendência de TACH",IF(AND(C23&gt;0,KL="Finalizado"),"Pendência de TACH",IF(AND(C23&gt;0,KL="Não Criado"),"Pendência de TACH",IF(AND(C23&gt;0,KL="Rascunho"),"Pendência de TACH",IF(AND(C23&gt;0,L23="NECESSÁRIO AJUSTAR"),"Pendência de TACH",IF(AND(C23&gt;0,L23="Aguardando Aprovação"),"Pendência de TACH",IF(AND(C23&gt;0,L23="Aprovado"),"Sem Pendência de TACH"))))))))))))))))))))))))</f>
        <v>Sem Pendência de TACH</v>
      </c>
    </row>
    <row r="24" spans="1:14">
      <c r="A24" s="1">
        <v>90013147</v>
      </c>
      <c r="B24" t="s">
        <v>154</v>
      </c>
      <c r="C24" s="2">
        <v>21</v>
      </c>
      <c r="D24" t="s">
        <v>234</v>
      </c>
      <c r="E24" t="s">
        <v>6</v>
      </c>
      <c r="F24" t="s">
        <v>10</v>
      </c>
      <c r="G24" t="s">
        <v>163</v>
      </c>
      <c r="H24" t="s">
        <v>133</v>
      </c>
      <c r="J24" t="s">
        <v>133</v>
      </c>
      <c r="K24" t="s">
        <v>133</v>
      </c>
      <c r="L24" t="s">
        <v>133</v>
      </c>
      <c r="M24" t="str">
        <f t="shared" si="0"/>
        <v>Pendência de Agenda</v>
      </c>
      <c r="N24" t="str" cm="1">
        <f t="array" ref="N24">IF(AND(C24&gt;0,I24="Finalizado"),"Pendência de TACH",IF(AND(C24&gt;0,I24="Não Criado"),"Pendência de TACH",IF(AND(C24&gt;0,I24="Rascunho"),"Pendência de TACH",IF(AND(C24&gt;0,I24="NECESSÁRIO AJUSTAR"),"Pendência de TACH",IF(AND(C24&gt;0,I24="Aguardando Aprovação"),"Pendência de TACH",IF(AND(C24&gt;0,I24="Aprovado"),"Sem Pendência de TACH",IF(AND(C24&gt;0,J24="Finalizado"),"Pendência de TACH",IF(AND(C24&gt;0,J24="Não Criado"),"Pendência de TACH",IF(AND(C24&gt;0,J24="Rascunho"),"Pendência de TACH",IF(AND(C24&gt;0,J24="NECESSÁRIO AJUSTAR"),"Pendência de TACH",IF(AND(C24&gt;0,J24="Aguardando Aprovação"),"Pendência de TACH",IF(AND(C24&gt;0,J24="Aprovado"),"Sem Pendência de TACH",IF(AND(C24&gt;0,K24="Finalizado"),"Pendência de TACH",IF(AND(C24&gt;0,K24="Não Criado"),"Pendência de TACH",IF(AND(C24&gt;0,K24="Rascunho"),"Pendência de TACH",IF(AND(C24&gt;0,K24="NECESSÁRIO AJUSTAR"),"Pendência de TACH",IF(AND(C24&gt;0,K24="Aguardando Aprovação"),"Pendência de TACH",IF(AND(C24&gt;0,K24="Aprovado"),"Sem Pendência de TACH",IF(AND(C24&gt;0,KL="Finalizado"),"Pendência de TACH",IF(AND(C24&gt;0,KL="Não Criado"),"Pendência de TACH",IF(AND(C24&gt;0,KL="Rascunho"),"Pendência de TACH",IF(AND(C24&gt;0,L24="NECESSÁRIO AJUSTAR"),"Pendência de TACH",IF(AND(C24&gt;0,L24="Aguardando Aprovação"),"Pendência de TACH",IF(AND(C24&gt;0,L24="Aprovado"),"Sem Pendência de TACH"))))))))))))))))))))))))</f>
        <v>Sem Pendência de TACH</v>
      </c>
    </row>
    <row r="25" spans="1:14">
      <c r="A25" s="1">
        <v>90001409</v>
      </c>
      <c r="B25" t="s">
        <v>82</v>
      </c>
      <c r="C25" s="2">
        <v>20</v>
      </c>
      <c r="D25" t="s">
        <v>59</v>
      </c>
      <c r="E25" t="s">
        <v>22</v>
      </c>
      <c r="F25" t="s">
        <v>23</v>
      </c>
      <c r="G25" t="s">
        <v>163</v>
      </c>
      <c r="H25" t="s">
        <v>132</v>
      </c>
      <c r="J25" t="s">
        <v>132</v>
      </c>
      <c r="K25" t="s">
        <v>132</v>
      </c>
      <c r="L25" t="s">
        <v>132</v>
      </c>
      <c r="M25" t="str">
        <f t="shared" si="0"/>
        <v>Pendência de Agenda</v>
      </c>
      <c r="N25" t="str" cm="1">
        <f t="array" ref="N25">IF(AND(C25&gt;0,I25="Finalizado"),"Pendência de TACH",IF(AND(C25&gt;0,I25="Não Criado"),"Pendência de TACH",IF(AND(C25&gt;0,I25="Rascunho"),"Pendência de TACH",IF(AND(C25&gt;0,I25="NECESSÁRIO AJUSTAR"),"Pendência de TACH",IF(AND(C25&gt;0,I25="Aguardando Aprovação"),"Pendência de TACH",IF(AND(C25&gt;0,I25="Aprovado"),"Sem Pendência de TACH",IF(AND(C25&gt;0,J25="Finalizado"),"Pendência de TACH",IF(AND(C25&gt;0,J25="Não Criado"),"Pendência de TACH",IF(AND(C25&gt;0,J25="Rascunho"),"Pendência de TACH",IF(AND(C25&gt;0,J25="NECESSÁRIO AJUSTAR"),"Pendência de TACH",IF(AND(C25&gt;0,J25="Aguardando Aprovação"),"Pendência de TACH",IF(AND(C25&gt;0,J25="Aprovado"),"Sem Pendência de TACH",IF(AND(C25&gt;0,K25="Finalizado"),"Pendência de TACH",IF(AND(C25&gt;0,K25="Não Criado"),"Pendência de TACH",IF(AND(C25&gt;0,K25="Rascunho"),"Pendência de TACH",IF(AND(C25&gt;0,K25="NECESSÁRIO AJUSTAR"),"Pendência de TACH",IF(AND(C25&gt;0,K25="Aguardando Aprovação"),"Pendência de TACH",IF(AND(C25&gt;0,K25="Aprovado"),"Sem Pendência de TACH",IF(AND(C25&gt;0,KL="Finalizado"),"Pendência de TACH",IF(AND(C25&gt;0,KL="Não Criado"),"Pendência de TACH",IF(AND(C25&gt;0,KL="Rascunho"),"Pendência de TACH",IF(AND(C25&gt;0,L25="NECESSÁRIO AJUSTAR"),"Pendência de TACH",IF(AND(C25&gt;0,L25="Aguardando Aprovação"),"Pendência de TACH",IF(AND(C25&gt;0,L25="Aprovado"),"Sem Pendência de TACH"))))))))))))))))))))))))</f>
        <v>Pendência de TACH</v>
      </c>
    </row>
    <row r="26" spans="1:14">
      <c r="A26" s="1">
        <v>6792</v>
      </c>
      <c r="B26" t="s">
        <v>56</v>
      </c>
      <c r="C26" s="2">
        <v>4</v>
      </c>
      <c r="D26" t="s">
        <v>5</v>
      </c>
      <c r="E26" t="s">
        <v>6</v>
      </c>
      <c r="F26" t="s">
        <v>9</v>
      </c>
      <c r="G26" t="s">
        <v>163</v>
      </c>
      <c r="H26" t="s">
        <v>133</v>
      </c>
      <c r="J26" t="s">
        <v>133</v>
      </c>
      <c r="K26" t="s">
        <v>133</v>
      </c>
      <c r="L26" t="s">
        <v>133</v>
      </c>
      <c r="M26" t="str">
        <f t="shared" si="0"/>
        <v>Pendência de Agenda</v>
      </c>
      <c r="N26" t="str" cm="1">
        <f t="array" ref="N26">IF(AND(C26&gt;0,I26="Finalizado"),"Pendência de TACH",IF(AND(C26&gt;0,I26="Não Criado"),"Pendência de TACH",IF(AND(C26&gt;0,I26="Rascunho"),"Pendência de TACH",IF(AND(C26&gt;0,I26="NECESSÁRIO AJUSTAR"),"Pendência de TACH",IF(AND(C26&gt;0,I26="Aguardando Aprovação"),"Pendência de TACH",IF(AND(C26&gt;0,I26="Aprovado"),"Sem Pendência de TACH",IF(AND(C26&gt;0,J26="Finalizado"),"Pendência de TACH",IF(AND(C26&gt;0,J26="Não Criado"),"Pendência de TACH",IF(AND(C26&gt;0,J26="Rascunho"),"Pendência de TACH",IF(AND(C26&gt;0,J26="NECESSÁRIO AJUSTAR"),"Pendência de TACH",IF(AND(C26&gt;0,J26="Aguardando Aprovação"),"Pendência de TACH",IF(AND(C26&gt;0,J26="Aprovado"),"Sem Pendência de TACH",IF(AND(C26&gt;0,K26="Finalizado"),"Pendência de TACH",IF(AND(C26&gt;0,K26="Não Criado"),"Pendência de TACH",IF(AND(C26&gt;0,K26="Rascunho"),"Pendência de TACH",IF(AND(C26&gt;0,K26="NECESSÁRIO AJUSTAR"),"Pendência de TACH",IF(AND(C26&gt;0,K26="Aguardando Aprovação"),"Pendência de TACH",IF(AND(C26&gt;0,K26="Aprovado"),"Sem Pendência de TACH",IF(AND(C26&gt;0,KL="Finalizado"),"Pendência de TACH",IF(AND(C26&gt;0,KL="Não Criado"),"Pendência de TACH",IF(AND(C26&gt;0,KL="Rascunho"),"Pendência de TACH",IF(AND(C26&gt;0,L26="NECESSÁRIO AJUSTAR"),"Pendência de TACH",IF(AND(C26&gt;0,L26="Aguardando Aprovação"),"Pendência de TACH",IF(AND(C26&gt;0,L26="Aprovado"),"Sem Pendência de TACH"))))))))))))))))))))))))</f>
        <v>Sem Pendência de TACH</v>
      </c>
    </row>
    <row r="27" spans="1:14">
      <c r="A27" s="1">
        <v>90004950</v>
      </c>
      <c r="B27" t="s">
        <v>57</v>
      </c>
      <c r="C27" s="2">
        <v>5</v>
      </c>
      <c r="D27" t="s">
        <v>14</v>
      </c>
      <c r="E27" t="s">
        <v>6</v>
      </c>
      <c r="F27" t="s">
        <v>10</v>
      </c>
      <c r="G27" t="s">
        <v>163</v>
      </c>
      <c r="H27" t="s">
        <v>134</v>
      </c>
      <c r="J27" t="s">
        <v>134</v>
      </c>
      <c r="K27" t="s">
        <v>134</v>
      </c>
      <c r="L27" t="s">
        <v>134</v>
      </c>
      <c r="M27" t="str">
        <f t="shared" si="0"/>
        <v>Pendência de Agenda</v>
      </c>
      <c r="N27" t="str" cm="1">
        <f t="array" ref="N27">IF(AND(C27&gt;0,I27="Finalizado"),"Pendência de TACH",IF(AND(C27&gt;0,I27="Não Criado"),"Pendência de TACH",IF(AND(C27&gt;0,I27="Rascunho"),"Pendência de TACH",IF(AND(C27&gt;0,I27="NECESSÁRIO AJUSTAR"),"Pendência de TACH",IF(AND(C27&gt;0,I27="Aguardando Aprovação"),"Pendência de TACH",IF(AND(C27&gt;0,I27="Aprovado"),"Sem Pendência de TACH",IF(AND(C27&gt;0,J27="Finalizado"),"Pendência de TACH",IF(AND(C27&gt;0,J27="Não Criado"),"Pendência de TACH",IF(AND(C27&gt;0,J27="Rascunho"),"Pendência de TACH",IF(AND(C27&gt;0,J27="NECESSÁRIO AJUSTAR"),"Pendência de TACH",IF(AND(C27&gt;0,J27="Aguardando Aprovação"),"Pendência de TACH",IF(AND(C27&gt;0,J27="Aprovado"),"Sem Pendência de TACH",IF(AND(C27&gt;0,K27="Finalizado"),"Pendência de TACH",IF(AND(C27&gt;0,K27="Não Criado"),"Pendência de TACH",IF(AND(C27&gt;0,K27="Rascunho"),"Pendência de TACH",IF(AND(C27&gt;0,K27="NECESSÁRIO AJUSTAR"),"Pendência de TACH",IF(AND(C27&gt;0,K27="Aguardando Aprovação"),"Pendência de TACH",IF(AND(C27&gt;0,K27="Aprovado"),"Sem Pendência de TACH",IF(AND(C27&gt;0,KL="Finalizado"),"Pendência de TACH",IF(AND(C27&gt;0,KL="Não Criado"),"Pendência de TACH",IF(AND(C27&gt;0,KL="Rascunho"),"Pendência de TACH",IF(AND(C27&gt;0,L27="NECESSÁRIO AJUSTAR"),"Pendência de TACH",IF(AND(C27&gt;0,L27="Aguardando Aprovação"),"Pendência de TACH",IF(AND(C27&gt;0,L27="Aprovado"),"Sem Pendência de TACH"))))))))))))))))))))))))</f>
        <v>Pendência de TACH</v>
      </c>
    </row>
    <row r="28" spans="1:14">
      <c r="A28" s="1">
        <v>90006063</v>
      </c>
      <c r="B28" t="s">
        <v>228</v>
      </c>
      <c r="C28" s="2">
        <v>12</v>
      </c>
      <c r="D28" t="s">
        <v>17</v>
      </c>
      <c r="E28" t="s">
        <v>22</v>
      </c>
      <c r="F28" t="s">
        <v>238</v>
      </c>
      <c r="G28" t="s">
        <v>163</v>
      </c>
      <c r="H28" t="s">
        <v>133</v>
      </c>
      <c r="J28" t="s">
        <v>133</v>
      </c>
      <c r="K28" t="s">
        <v>133</v>
      </c>
      <c r="L28" t="s">
        <v>133</v>
      </c>
      <c r="M28" t="str">
        <f t="shared" si="0"/>
        <v>Pendência de Agenda</v>
      </c>
      <c r="N28" t="str" cm="1">
        <f t="array" ref="N28">IF(AND(C28&gt;0,I28="Finalizado"),"Pendência de TACH",IF(AND(C28&gt;0,I28="Não Criado"),"Pendência de TACH",IF(AND(C28&gt;0,I28="Rascunho"),"Pendência de TACH",IF(AND(C28&gt;0,I28="NECESSÁRIO AJUSTAR"),"Pendência de TACH",IF(AND(C28&gt;0,I28="Aguardando Aprovação"),"Pendência de TACH",IF(AND(C28&gt;0,I28="Aprovado"),"Sem Pendência de TACH",IF(AND(C28&gt;0,J28="Finalizado"),"Pendência de TACH",IF(AND(C28&gt;0,J28="Não Criado"),"Pendência de TACH",IF(AND(C28&gt;0,J28="Rascunho"),"Pendência de TACH",IF(AND(C28&gt;0,J28="NECESSÁRIO AJUSTAR"),"Pendência de TACH",IF(AND(C28&gt;0,J28="Aguardando Aprovação"),"Pendência de TACH",IF(AND(C28&gt;0,J28="Aprovado"),"Sem Pendência de TACH",IF(AND(C28&gt;0,K28="Finalizado"),"Pendência de TACH",IF(AND(C28&gt;0,K28="Não Criado"),"Pendência de TACH",IF(AND(C28&gt;0,K28="Rascunho"),"Pendência de TACH",IF(AND(C28&gt;0,K28="NECESSÁRIO AJUSTAR"),"Pendência de TACH",IF(AND(C28&gt;0,K28="Aguardando Aprovação"),"Pendência de TACH",IF(AND(C28&gt;0,K28="Aprovado"),"Sem Pendência de TACH",IF(AND(C28&gt;0,KL="Finalizado"),"Pendência de TACH",IF(AND(C28&gt;0,KL="Não Criado"),"Pendência de TACH",IF(AND(C28&gt;0,KL="Rascunho"),"Pendência de TACH",IF(AND(C28&gt;0,L28="NECESSÁRIO AJUSTAR"),"Pendência de TACH",IF(AND(C28&gt;0,L28="Aguardando Aprovação"),"Pendência de TACH",IF(AND(C28&gt;0,L28="Aprovado"),"Sem Pendência de TACH"))))))))))))))))))))))))</f>
        <v>Sem Pendência de TACH</v>
      </c>
    </row>
    <row r="29" spans="1:14">
      <c r="A29" s="1">
        <v>3363</v>
      </c>
      <c r="B29" t="s">
        <v>91</v>
      </c>
      <c r="C29" s="2">
        <v>4</v>
      </c>
      <c r="D29" t="s">
        <v>5</v>
      </c>
      <c r="E29" t="s">
        <v>6</v>
      </c>
      <c r="F29" t="s">
        <v>9</v>
      </c>
      <c r="G29" t="s">
        <v>163</v>
      </c>
      <c r="H29" t="s">
        <v>132</v>
      </c>
      <c r="J29" t="s">
        <v>132</v>
      </c>
      <c r="K29" t="s">
        <v>131</v>
      </c>
      <c r="L29" t="s">
        <v>131</v>
      </c>
      <c r="M29" t="str">
        <f t="shared" si="0"/>
        <v>Pendência de Agenda</v>
      </c>
      <c r="N29" t="str" cm="1">
        <f t="array" ref="N29">IF(AND(C29&gt;0,I29="Finalizado"),"Pendência de TACH",IF(AND(C29&gt;0,I29="Não Criado"),"Pendência de TACH",IF(AND(C29&gt;0,I29="Rascunho"),"Pendência de TACH",IF(AND(C29&gt;0,I29="NECESSÁRIO AJUSTAR"),"Pendência de TACH",IF(AND(C29&gt;0,I29="Aguardando Aprovação"),"Pendência de TACH",IF(AND(C29&gt;0,I29="Aprovado"),"Sem Pendência de TACH",IF(AND(C29&gt;0,J29="Finalizado"),"Pendência de TACH",IF(AND(C29&gt;0,J29="Não Criado"),"Pendência de TACH",IF(AND(C29&gt;0,J29="Rascunho"),"Pendência de TACH",IF(AND(C29&gt;0,J29="NECESSÁRIO AJUSTAR"),"Pendência de TACH",IF(AND(C29&gt;0,J29="Aguardando Aprovação"),"Pendência de TACH",IF(AND(C29&gt;0,J29="Aprovado"),"Sem Pendência de TACH",IF(AND(C29&gt;0,K29="Finalizado"),"Pendência de TACH",IF(AND(C29&gt;0,K29="Não Criado"),"Pendência de TACH",IF(AND(C29&gt;0,K29="Rascunho"),"Pendência de TACH",IF(AND(C29&gt;0,K29="NECESSÁRIO AJUSTAR"),"Pendência de TACH",IF(AND(C29&gt;0,K29="Aguardando Aprovação"),"Pendência de TACH",IF(AND(C29&gt;0,K29="Aprovado"),"Sem Pendência de TACH",IF(AND(C29&gt;0,KL="Finalizado"),"Pendência de TACH",IF(AND(C29&gt;0,KL="Não Criado"),"Pendência de TACH",IF(AND(C29&gt;0,KL="Rascunho"),"Pendência de TACH",IF(AND(C29&gt;0,L29="NECESSÁRIO AJUSTAR"),"Pendência de TACH",IF(AND(C29&gt;0,L29="Aguardando Aprovação"),"Pendência de TACH",IF(AND(C29&gt;0,L29="Aprovado"),"Sem Pendência de TACH"))))))))))))))))))))))))</f>
        <v>Pendência de TACH</v>
      </c>
    </row>
    <row r="30" spans="1:14">
      <c r="A30" s="1">
        <v>90006940</v>
      </c>
      <c r="B30" t="s">
        <v>229</v>
      </c>
      <c r="C30" s="2">
        <v>18</v>
      </c>
      <c r="D30" t="s">
        <v>5</v>
      </c>
      <c r="E30" t="s">
        <v>6</v>
      </c>
      <c r="F30" t="s">
        <v>73</v>
      </c>
      <c r="G30" t="s">
        <v>163</v>
      </c>
      <c r="H30" t="s">
        <v>133</v>
      </c>
      <c r="J30" t="s">
        <v>133</v>
      </c>
      <c r="K30" t="s">
        <v>133</v>
      </c>
      <c r="L30" t="s">
        <v>131</v>
      </c>
      <c r="M30" t="str">
        <f t="shared" si="0"/>
        <v>Pendência de Agenda</v>
      </c>
      <c r="N30" t="str" cm="1">
        <f t="array" ref="N30">IF(AND(C30&gt;0,I30="Finalizado"),"Pendência de TACH",IF(AND(C30&gt;0,I30="Não Criado"),"Pendência de TACH",IF(AND(C30&gt;0,I30="Rascunho"),"Pendência de TACH",IF(AND(C30&gt;0,I30="NECESSÁRIO AJUSTAR"),"Pendência de TACH",IF(AND(C30&gt;0,I30="Aguardando Aprovação"),"Pendência de TACH",IF(AND(C30&gt;0,I30="Aprovado"),"Sem Pendência de TACH",IF(AND(C30&gt;0,J30="Finalizado"),"Pendência de TACH",IF(AND(C30&gt;0,J30="Não Criado"),"Pendência de TACH",IF(AND(C30&gt;0,J30="Rascunho"),"Pendência de TACH",IF(AND(C30&gt;0,J30="NECESSÁRIO AJUSTAR"),"Pendência de TACH",IF(AND(C30&gt;0,J30="Aguardando Aprovação"),"Pendência de TACH",IF(AND(C30&gt;0,J30="Aprovado"),"Sem Pendência de TACH",IF(AND(C30&gt;0,K30="Finalizado"),"Pendência de TACH",IF(AND(C30&gt;0,K30="Não Criado"),"Pendência de TACH",IF(AND(C30&gt;0,K30="Rascunho"),"Pendência de TACH",IF(AND(C30&gt;0,K30="NECESSÁRIO AJUSTAR"),"Pendência de TACH",IF(AND(C30&gt;0,K30="Aguardando Aprovação"),"Pendência de TACH",IF(AND(C30&gt;0,K30="Aprovado"),"Sem Pendência de TACH",IF(AND(C30&gt;0,KL="Finalizado"),"Pendência de TACH",IF(AND(C30&gt;0,KL="Não Criado"),"Pendência de TACH",IF(AND(C30&gt;0,KL="Rascunho"),"Pendência de TACH",IF(AND(C30&gt;0,L30="NECESSÁRIO AJUSTAR"),"Pendência de TACH",IF(AND(C30&gt;0,L30="Aguardando Aprovação"),"Pendência de TACH",IF(AND(C30&gt;0,L30="Aprovado"),"Sem Pendência de TACH"))))))))))))))))))))))))</f>
        <v>Sem Pendência de TACH</v>
      </c>
    </row>
    <row r="31" spans="1:14">
      <c r="A31" s="1">
        <v>90013729</v>
      </c>
      <c r="B31" t="s">
        <v>60</v>
      </c>
      <c r="C31" s="2">
        <v>7</v>
      </c>
      <c r="D31" t="s">
        <v>26</v>
      </c>
      <c r="E31" t="s">
        <v>15</v>
      </c>
      <c r="F31" t="s">
        <v>161</v>
      </c>
      <c r="G31" t="s">
        <v>163</v>
      </c>
      <c r="H31" t="s">
        <v>133</v>
      </c>
      <c r="J31" t="s">
        <v>133</v>
      </c>
      <c r="K31" t="s">
        <v>133</v>
      </c>
      <c r="L31" t="s">
        <v>133</v>
      </c>
      <c r="M31" t="str">
        <f t="shared" si="0"/>
        <v>Pendência de Agenda</v>
      </c>
      <c r="N31" t="str" cm="1">
        <f t="array" ref="N31">IF(AND(C31&gt;0,I31="Finalizado"),"Pendência de TACH",IF(AND(C31&gt;0,I31="Não Criado"),"Pendência de TACH",IF(AND(C31&gt;0,I31="Rascunho"),"Pendência de TACH",IF(AND(C31&gt;0,I31="NECESSÁRIO AJUSTAR"),"Pendência de TACH",IF(AND(C31&gt;0,I31="Aguardando Aprovação"),"Pendência de TACH",IF(AND(C31&gt;0,I31="Aprovado"),"Sem Pendência de TACH",IF(AND(C31&gt;0,J31="Finalizado"),"Pendência de TACH",IF(AND(C31&gt;0,J31="Não Criado"),"Pendência de TACH",IF(AND(C31&gt;0,J31="Rascunho"),"Pendência de TACH",IF(AND(C31&gt;0,J31="NECESSÁRIO AJUSTAR"),"Pendência de TACH",IF(AND(C31&gt;0,J31="Aguardando Aprovação"),"Pendência de TACH",IF(AND(C31&gt;0,J31="Aprovado"),"Sem Pendência de TACH",IF(AND(C31&gt;0,K31="Finalizado"),"Pendência de TACH",IF(AND(C31&gt;0,K31="Não Criado"),"Pendência de TACH",IF(AND(C31&gt;0,K31="Rascunho"),"Pendência de TACH",IF(AND(C31&gt;0,K31="NECESSÁRIO AJUSTAR"),"Pendência de TACH",IF(AND(C31&gt;0,K31="Aguardando Aprovação"),"Pendência de TACH",IF(AND(C31&gt;0,K31="Aprovado"),"Sem Pendência de TACH",IF(AND(C31&gt;0,KL="Finalizado"),"Pendência de TACH",IF(AND(C31&gt;0,KL="Não Criado"),"Pendência de TACH",IF(AND(C31&gt;0,KL="Rascunho"),"Pendência de TACH",IF(AND(C31&gt;0,L31="NECESSÁRIO AJUSTAR"),"Pendência de TACH",IF(AND(C31&gt;0,L31="Aguardando Aprovação"),"Pendência de TACH",IF(AND(C31&gt;0,L31="Aprovado"),"Sem Pendência de TACH"))))))))))))))))))))))))</f>
        <v>Sem Pendência de TACH</v>
      </c>
    </row>
    <row r="32" spans="1:14">
      <c r="A32" s="1">
        <v>90013008</v>
      </c>
      <c r="B32" t="s">
        <v>230</v>
      </c>
      <c r="C32" s="2">
        <v>6</v>
      </c>
      <c r="D32" t="s">
        <v>12</v>
      </c>
      <c r="E32" t="s">
        <v>22</v>
      </c>
      <c r="F32" t="s">
        <v>238</v>
      </c>
      <c r="G32" t="s">
        <v>163</v>
      </c>
      <c r="H32" t="s">
        <v>133</v>
      </c>
      <c r="J32" t="s">
        <v>133</v>
      </c>
      <c r="K32" t="s">
        <v>133</v>
      </c>
      <c r="L32" t="s">
        <v>133</v>
      </c>
      <c r="M32" t="str">
        <f t="shared" si="0"/>
        <v>Pendência de Agenda</v>
      </c>
      <c r="N32" t="str" cm="1">
        <f t="array" ref="N32">IF(AND(C32&gt;0,I32="Finalizado"),"Pendência de TACH",IF(AND(C32&gt;0,I32="Não Criado"),"Pendência de TACH",IF(AND(C32&gt;0,I32="Rascunho"),"Pendência de TACH",IF(AND(C32&gt;0,I32="NECESSÁRIO AJUSTAR"),"Pendência de TACH",IF(AND(C32&gt;0,I32="Aguardando Aprovação"),"Pendência de TACH",IF(AND(C32&gt;0,I32="Aprovado"),"Sem Pendência de TACH",IF(AND(C32&gt;0,J32="Finalizado"),"Pendência de TACH",IF(AND(C32&gt;0,J32="Não Criado"),"Pendência de TACH",IF(AND(C32&gt;0,J32="Rascunho"),"Pendência de TACH",IF(AND(C32&gt;0,J32="NECESSÁRIO AJUSTAR"),"Pendência de TACH",IF(AND(C32&gt;0,J32="Aguardando Aprovação"),"Pendência de TACH",IF(AND(C32&gt;0,J32="Aprovado"),"Sem Pendência de TACH",IF(AND(C32&gt;0,K32="Finalizado"),"Pendência de TACH",IF(AND(C32&gt;0,K32="Não Criado"),"Pendência de TACH",IF(AND(C32&gt;0,K32="Rascunho"),"Pendência de TACH",IF(AND(C32&gt;0,K32="NECESSÁRIO AJUSTAR"),"Pendência de TACH",IF(AND(C32&gt;0,K32="Aguardando Aprovação"),"Pendência de TACH",IF(AND(C32&gt;0,K32="Aprovado"),"Sem Pendência de TACH",IF(AND(C32&gt;0,KL="Finalizado"),"Pendência de TACH",IF(AND(C32&gt;0,KL="Não Criado"),"Pendência de TACH",IF(AND(C32&gt;0,KL="Rascunho"),"Pendência de TACH",IF(AND(C32&gt;0,L32="NECESSÁRIO AJUSTAR"),"Pendência de TACH",IF(AND(C32&gt;0,L32="Aguardando Aprovação"),"Pendência de TACH",IF(AND(C32&gt;0,L32="Aprovado"),"Sem Pendência de TACH"))))))))))))))))))))))))</f>
        <v>Sem Pendência de TACH</v>
      </c>
    </row>
    <row r="33" spans="1:14">
      <c r="A33" s="1">
        <v>29936</v>
      </c>
      <c r="B33" t="s">
        <v>231</v>
      </c>
      <c r="C33" s="2">
        <v>30</v>
      </c>
      <c r="D33" t="s">
        <v>8</v>
      </c>
      <c r="E33" t="s">
        <v>22</v>
      </c>
      <c r="F33" t="s">
        <v>34</v>
      </c>
      <c r="G33" t="s">
        <v>163</v>
      </c>
      <c r="H33" t="s">
        <v>130</v>
      </c>
      <c r="J33" t="s">
        <v>130</v>
      </c>
      <c r="K33" t="s">
        <v>130</v>
      </c>
      <c r="L33" t="s">
        <v>130</v>
      </c>
      <c r="M33" t="str">
        <f t="shared" si="0"/>
        <v>Pendência de Agenda</v>
      </c>
      <c r="N33" t="str" cm="1">
        <f t="array" ref="N33">IF(AND(C33&gt;0,I33="Finalizado"),"Pendência de TACH",IF(AND(C33&gt;0,I33="Não Criado"),"Pendência de TACH",IF(AND(C33&gt;0,I33="Rascunho"),"Pendência de TACH",IF(AND(C33&gt;0,I33="NECESSÁRIO AJUSTAR"),"Pendência de TACH",IF(AND(C33&gt;0,I33="Aguardando Aprovação"),"Pendência de TACH",IF(AND(C33&gt;0,I33="Aprovado"),"Sem Pendência de TACH",IF(AND(C33&gt;0,J33="Finalizado"),"Pendência de TACH",IF(AND(C33&gt;0,J33="Não Criado"),"Pendência de TACH",IF(AND(C33&gt;0,J33="Rascunho"),"Pendência de TACH",IF(AND(C33&gt;0,J33="NECESSÁRIO AJUSTAR"),"Pendência de TACH",IF(AND(C33&gt;0,J33="Aguardando Aprovação"),"Pendência de TACH",IF(AND(C33&gt;0,J33="Aprovado"),"Sem Pendência de TACH",IF(AND(C33&gt;0,K33="Finalizado"),"Pendência de TACH",IF(AND(C33&gt;0,K33="Não Criado"),"Pendência de TACH",IF(AND(C33&gt;0,K33="Rascunho"),"Pendência de TACH",IF(AND(C33&gt;0,K33="NECESSÁRIO AJUSTAR"),"Pendência de TACH",IF(AND(C33&gt;0,K33="Aguardando Aprovação"),"Pendência de TACH",IF(AND(C33&gt;0,K33="Aprovado"),"Sem Pendência de TACH",IF(AND(C33&gt;0,KL="Finalizado"),"Pendência de TACH",IF(AND(C33&gt;0,KL="Não Criado"),"Pendência de TACH",IF(AND(C33&gt;0,KL="Rascunho"),"Pendência de TACH",IF(AND(C33&gt;0,L33="NECESSÁRIO AJUSTAR"),"Pendência de TACH",IF(AND(C33&gt;0,L33="Aguardando Aprovação"),"Pendência de TACH",IF(AND(C33&gt;0,L33="Aprovado"),"Sem Pendência de TACH"))))))))))))))))))))))))</f>
        <v>Pendência de TACH</v>
      </c>
    </row>
    <row r="34" spans="1:14">
      <c r="A34" s="1">
        <v>90010292</v>
      </c>
      <c r="B34" t="s">
        <v>61</v>
      </c>
      <c r="C34" s="2">
        <v>8</v>
      </c>
      <c r="D34" t="s">
        <v>29</v>
      </c>
      <c r="E34" t="s">
        <v>22</v>
      </c>
      <c r="F34" t="s">
        <v>23</v>
      </c>
      <c r="G34" t="s">
        <v>163</v>
      </c>
      <c r="H34" t="s">
        <v>132</v>
      </c>
      <c r="J34" t="s">
        <v>132</v>
      </c>
      <c r="K34" t="s">
        <v>132</v>
      </c>
      <c r="L34" t="s">
        <v>132</v>
      </c>
      <c r="M34" t="str">
        <f t="shared" si="0"/>
        <v>Pendência de Agenda</v>
      </c>
      <c r="N34" t="str" cm="1">
        <f t="array" ref="N34">IF(AND(C34&gt;0,I34="Finalizado"),"Pendência de TACH",IF(AND(C34&gt;0,I34="Não Criado"),"Pendência de TACH",IF(AND(C34&gt;0,I34="Rascunho"),"Pendência de TACH",IF(AND(C34&gt;0,I34="NECESSÁRIO AJUSTAR"),"Pendência de TACH",IF(AND(C34&gt;0,I34="Aguardando Aprovação"),"Pendência de TACH",IF(AND(C34&gt;0,I34="Aprovado"),"Sem Pendência de TACH",IF(AND(C34&gt;0,J34="Finalizado"),"Pendência de TACH",IF(AND(C34&gt;0,J34="Não Criado"),"Pendência de TACH",IF(AND(C34&gt;0,J34="Rascunho"),"Pendência de TACH",IF(AND(C34&gt;0,J34="NECESSÁRIO AJUSTAR"),"Pendência de TACH",IF(AND(C34&gt;0,J34="Aguardando Aprovação"),"Pendência de TACH",IF(AND(C34&gt;0,J34="Aprovado"),"Sem Pendência de TACH",IF(AND(C34&gt;0,K34="Finalizado"),"Pendência de TACH",IF(AND(C34&gt;0,K34="Não Criado"),"Pendência de TACH",IF(AND(C34&gt;0,K34="Rascunho"),"Pendência de TACH",IF(AND(C34&gt;0,K34="NECESSÁRIO AJUSTAR"),"Pendência de TACH",IF(AND(C34&gt;0,K34="Aguardando Aprovação"),"Pendência de TACH",IF(AND(C34&gt;0,K34="Aprovado"),"Sem Pendência de TACH",IF(AND(C34&gt;0,KL="Finalizado"),"Pendência de TACH",IF(AND(C34&gt;0,KL="Não Criado"),"Pendência de TACH",IF(AND(C34&gt;0,KL="Rascunho"),"Pendência de TACH",IF(AND(C34&gt;0,L34="NECESSÁRIO AJUSTAR"),"Pendência de TACH",IF(AND(C34&gt;0,L34="Aguardando Aprovação"),"Pendência de TACH",IF(AND(C34&gt;0,L34="Aprovado"),"Sem Pendência de TACH"))))))))))))))))))))))))</f>
        <v>Pendência de TACH</v>
      </c>
    </row>
    <row r="35" spans="1:14">
      <c r="A35" s="1">
        <v>31303</v>
      </c>
      <c r="B35" t="s">
        <v>63</v>
      </c>
      <c r="C35" s="2">
        <v>28</v>
      </c>
      <c r="D35" t="s">
        <v>64</v>
      </c>
      <c r="E35" t="s">
        <v>22</v>
      </c>
      <c r="F35" t="s">
        <v>23</v>
      </c>
      <c r="G35" t="s">
        <v>163</v>
      </c>
      <c r="H35" t="s">
        <v>132</v>
      </c>
      <c r="J35" t="s">
        <v>132</v>
      </c>
      <c r="K35" t="s">
        <v>132</v>
      </c>
      <c r="L35" t="s">
        <v>132</v>
      </c>
      <c r="M35" t="str">
        <f t="shared" si="0"/>
        <v>Pendência de Agenda</v>
      </c>
      <c r="N35" t="str" cm="1">
        <f t="array" ref="N35">IF(AND(C35&gt;0,I35="Finalizado"),"Pendência de TACH",IF(AND(C35&gt;0,I35="Não Criado"),"Pendência de TACH",IF(AND(C35&gt;0,I35="Rascunho"),"Pendência de TACH",IF(AND(C35&gt;0,I35="NECESSÁRIO AJUSTAR"),"Pendência de TACH",IF(AND(C35&gt;0,I35="Aguardando Aprovação"),"Pendência de TACH",IF(AND(C35&gt;0,I35="Aprovado"),"Sem Pendência de TACH",IF(AND(C35&gt;0,J35="Finalizado"),"Pendência de TACH",IF(AND(C35&gt;0,J35="Não Criado"),"Pendência de TACH",IF(AND(C35&gt;0,J35="Rascunho"),"Pendência de TACH",IF(AND(C35&gt;0,J35="NECESSÁRIO AJUSTAR"),"Pendência de TACH",IF(AND(C35&gt;0,J35="Aguardando Aprovação"),"Pendência de TACH",IF(AND(C35&gt;0,J35="Aprovado"),"Sem Pendência de TACH",IF(AND(C35&gt;0,K35="Finalizado"),"Pendência de TACH",IF(AND(C35&gt;0,K35="Não Criado"),"Pendência de TACH",IF(AND(C35&gt;0,K35="Rascunho"),"Pendência de TACH",IF(AND(C35&gt;0,K35="NECESSÁRIO AJUSTAR"),"Pendência de TACH",IF(AND(C35&gt;0,K35="Aguardando Aprovação"),"Pendência de TACH",IF(AND(C35&gt;0,K35="Aprovado"),"Sem Pendência de TACH",IF(AND(C35&gt;0,KL="Finalizado"),"Pendência de TACH",IF(AND(C35&gt;0,KL="Não Criado"),"Pendência de TACH",IF(AND(C35&gt;0,KL="Rascunho"),"Pendência de TACH",IF(AND(C35&gt;0,L35="NECESSÁRIO AJUSTAR"),"Pendência de TACH",IF(AND(C35&gt;0,L35="Aguardando Aprovação"),"Pendência de TACH",IF(AND(C35&gt;0,L35="Aprovado"),"Sem Pendência de TACH"))))))))))))))))))))))))</f>
        <v>Pendência de TACH</v>
      </c>
    </row>
    <row r="36" spans="1:14">
      <c r="A36" s="1">
        <v>4178</v>
      </c>
      <c r="B36" t="s">
        <v>85</v>
      </c>
      <c r="C36" s="2">
        <v>4</v>
      </c>
      <c r="D36" t="s">
        <v>8</v>
      </c>
      <c r="E36" t="s">
        <v>6</v>
      </c>
      <c r="F36" t="s">
        <v>9</v>
      </c>
      <c r="G36" t="s">
        <v>163</v>
      </c>
      <c r="H36" t="s">
        <v>133</v>
      </c>
      <c r="J36" t="s">
        <v>133</v>
      </c>
      <c r="K36" t="s">
        <v>133</v>
      </c>
      <c r="L36" t="s">
        <v>133</v>
      </c>
      <c r="M36" t="str">
        <f t="shared" si="0"/>
        <v>Pendência de Agenda</v>
      </c>
      <c r="N36" t="str" cm="1">
        <f t="array" ref="N36">IF(AND(C36&gt;0,I36="Finalizado"),"Pendência de TACH",IF(AND(C36&gt;0,I36="Não Criado"),"Pendência de TACH",IF(AND(C36&gt;0,I36="Rascunho"),"Pendência de TACH",IF(AND(C36&gt;0,I36="NECESSÁRIO AJUSTAR"),"Pendência de TACH",IF(AND(C36&gt;0,I36="Aguardando Aprovação"),"Pendência de TACH",IF(AND(C36&gt;0,I36="Aprovado"),"Sem Pendência de TACH",IF(AND(C36&gt;0,J36="Finalizado"),"Pendência de TACH",IF(AND(C36&gt;0,J36="Não Criado"),"Pendência de TACH",IF(AND(C36&gt;0,J36="Rascunho"),"Pendência de TACH",IF(AND(C36&gt;0,J36="NECESSÁRIO AJUSTAR"),"Pendência de TACH",IF(AND(C36&gt;0,J36="Aguardando Aprovação"),"Pendência de TACH",IF(AND(C36&gt;0,J36="Aprovado"),"Sem Pendência de TACH",IF(AND(C36&gt;0,K36="Finalizado"),"Pendência de TACH",IF(AND(C36&gt;0,K36="Não Criado"),"Pendência de TACH",IF(AND(C36&gt;0,K36="Rascunho"),"Pendência de TACH",IF(AND(C36&gt;0,K36="NECESSÁRIO AJUSTAR"),"Pendência de TACH",IF(AND(C36&gt;0,K36="Aguardando Aprovação"),"Pendência de TACH",IF(AND(C36&gt;0,K36="Aprovado"),"Sem Pendência de TACH",IF(AND(C36&gt;0,KL="Finalizado"),"Pendência de TACH",IF(AND(C36&gt;0,KL="Não Criado"),"Pendência de TACH",IF(AND(C36&gt;0,KL="Rascunho"),"Pendência de TACH",IF(AND(C36&gt;0,L36="NECESSÁRIO AJUSTAR"),"Pendência de TACH",IF(AND(C36&gt;0,L36="Aguardando Aprovação"),"Pendência de TACH",IF(AND(C36&gt;0,L36="Aprovado"),"Sem Pendência de TACH"))))))))))))))))))))))))</f>
        <v>Sem Pendência de TACH</v>
      </c>
    </row>
    <row r="37" spans="1:14">
      <c r="A37" s="1">
        <v>90008366</v>
      </c>
      <c r="B37" t="s">
        <v>232</v>
      </c>
      <c r="C37" s="2">
        <v>11</v>
      </c>
      <c r="D37" t="s">
        <v>157</v>
      </c>
      <c r="E37" t="s">
        <v>6</v>
      </c>
      <c r="F37" t="s">
        <v>27</v>
      </c>
      <c r="G37" t="s">
        <v>163</v>
      </c>
      <c r="H37" t="s">
        <v>133</v>
      </c>
      <c r="J37" t="s">
        <v>133</v>
      </c>
      <c r="K37" t="s">
        <v>133</v>
      </c>
      <c r="L37" t="s">
        <v>133</v>
      </c>
      <c r="M37" t="str">
        <f t="shared" si="0"/>
        <v>Pendência de Agenda</v>
      </c>
      <c r="N37" t="str" cm="1">
        <f t="array" ref="N37">IF(AND(C37&gt;0,I37="Finalizado"),"Pendência de TACH",IF(AND(C37&gt;0,I37="Não Criado"),"Pendência de TACH",IF(AND(C37&gt;0,I37="Rascunho"),"Pendência de TACH",IF(AND(C37&gt;0,I37="NECESSÁRIO AJUSTAR"),"Pendência de TACH",IF(AND(C37&gt;0,I37="Aguardando Aprovação"),"Pendência de TACH",IF(AND(C37&gt;0,I37="Aprovado"),"Sem Pendência de TACH",IF(AND(C37&gt;0,J37="Finalizado"),"Pendência de TACH",IF(AND(C37&gt;0,J37="Não Criado"),"Pendência de TACH",IF(AND(C37&gt;0,J37="Rascunho"),"Pendência de TACH",IF(AND(C37&gt;0,J37="NECESSÁRIO AJUSTAR"),"Pendência de TACH",IF(AND(C37&gt;0,J37="Aguardando Aprovação"),"Pendência de TACH",IF(AND(C37&gt;0,J37="Aprovado"),"Sem Pendência de TACH",IF(AND(C37&gt;0,K37="Finalizado"),"Pendência de TACH",IF(AND(C37&gt;0,K37="Não Criado"),"Pendência de TACH",IF(AND(C37&gt;0,K37="Rascunho"),"Pendência de TACH",IF(AND(C37&gt;0,K37="NECESSÁRIO AJUSTAR"),"Pendência de TACH",IF(AND(C37&gt;0,K37="Aguardando Aprovação"),"Pendência de TACH",IF(AND(C37&gt;0,K37="Aprovado"),"Sem Pendência de TACH",IF(AND(C37&gt;0,KL="Finalizado"),"Pendência de TACH",IF(AND(C37&gt;0,KL="Não Criado"),"Pendência de TACH",IF(AND(C37&gt;0,KL="Rascunho"),"Pendência de TACH",IF(AND(C37&gt;0,L37="NECESSÁRIO AJUSTAR"),"Pendência de TACH",IF(AND(C37&gt;0,L37="Aguardando Aprovação"),"Pendência de TACH",IF(AND(C37&gt;0,L37="Aprovado"),"Sem Pendência de TACH"))))))))))))))))))))))))</f>
        <v>Sem Pendência de TACH</v>
      </c>
    </row>
    <row r="38" spans="1:14">
      <c r="A38" s="1">
        <v>22167</v>
      </c>
      <c r="B38" t="s">
        <v>233</v>
      </c>
      <c r="C38" s="2">
        <v>29</v>
      </c>
      <c r="D38" t="s">
        <v>21</v>
      </c>
      <c r="E38" t="s">
        <v>6</v>
      </c>
      <c r="F38" t="s">
        <v>10</v>
      </c>
      <c r="G38" t="s">
        <v>163</v>
      </c>
      <c r="H38" t="s">
        <v>133</v>
      </c>
      <c r="J38" t="s">
        <v>133</v>
      </c>
      <c r="K38" t="s">
        <v>133</v>
      </c>
      <c r="L38" t="s">
        <v>133</v>
      </c>
      <c r="M38" t="str">
        <f t="shared" si="0"/>
        <v>Pendência de Agenda</v>
      </c>
      <c r="N38" t="str" cm="1">
        <f t="array" ref="N38">IF(AND(C38&gt;0,I38="Finalizado"),"Pendência de TACH",IF(AND(C38&gt;0,I38="Não Criado"),"Pendência de TACH",IF(AND(C38&gt;0,I38="Rascunho"),"Pendência de TACH",IF(AND(C38&gt;0,I38="NECESSÁRIO AJUSTAR"),"Pendência de TACH",IF(AND(C38&gt;0,I38="Aguardando Aprovação"),"Pendência de TACH",IF(AND(C38&gt;0,I38="Aprovado"),"Sem Pendência de TACH",IF(AND(C38&gt;0,J38="Finalizado"),"Pendência de TACH",IF(AND(C38&gt;0,J38="Não Criado"),"Pendência de TACH",IF(AND(C38&gt;0,J38="Rascunho"),"Pendência de TACH",IF(AND(C38&gt;0,J38="NECESSÁRIO AJUSTAR"),"Pendência de TACH",IF(AND(C38&gt;0,J38="Aguardando Aprovação"),"Pendência de TACH",IF(AND(C38&gt;0,J38="Aprovado"),"Sem Pendência de TACH",IF(AND(C38&gt;0,K38="Finalizado"),"Pendência de TACH",IF(AND(C38&gt;0,K38="Não Criado"),"Pendência de TACH",IF(AND(C38&gt;0,K38="Rascunho"),"Pendência de TACH",IF(AND(C38&gt;0,K38="NECESSÁRIO AJUSTAR"),"Pendência de TACH",IF(AND(C38&gt;0,K38="Aguardando Aprovação"),"Pendência de TACH",IF(AND(C38&gt;0,K38="Aprovado"),"Sem Pendência de TACH",IF(AND(C38&gt;0,KL="Finalizado"),"Pendência de TACH",IF(AND(C38&gt;0,KL="Não Criado"),"Pendência de TACH",IF(AND(C38&gt;0,KL="Rascunho"),"Pendência de TACH",IF(AND(C38&gt;0,L38="NECESSÁRIO AJUSTAR"),"Pendência de TACH",IF(AND(C38&gt;0,L38="Aguardando Aprovação"),"Pendência de TACH",IF(AND(C38&gt;0,L38="Aprovado"),"Sem Pendência de TACH"))))))))))))))))))))))))</f>
        <v>Sem Pendência de TACH</v>
      </c>
    </row>
    <row r="39" spans="1:14">
      <c r="A39" s="1">
        <v>90006508</v>
      </c>
      <c r="B39" t="s">
        <v>199</v>
      </c>
      <c r="C39" s="2">
        <v>17</v>
      </c>
      <c r="D39" t="s">
        <v>202</v>
      </c>
      <c r="E39" t="s">
        <v>6</v>
      </c>
      <c r="F39" t="s">
        <v>27</v>
      </c>
      <c r="G39" t="s">
        <v>163</v>
      </c>
      <c r="H39" t="s">
        <v>131</v>
      </c>
      <c r="J39" t="s">
        <v>131</v>
      </c>
      <c r="K39" t="s">
        <v>131</v>
      </c>
      <c r="L39" t="s">
        <v>131</v>
      </c>
      <c r="M39" t="str">
        <f t="shared" si="0"/>
        <v>Pendência de Agenda</v>
      </c>
      <c r="N39" t="str" cm="1">
        <f t="array" ref="N39">IF(AND(C39&gt;0,I39="Finalizado"),"Pendência de TACH",IF(AND(C39&gt;0,I39="Não Criado"),"Pendência de TACH",IF(AND(C39&gt;0,I39="Rascunho"),"Pendência de TACH",IF(AND(C39&gt;0,I39="NECESSÁRIO AJUSTAR"),"Pendência de TACH",IF(AND(C39&gt;0,I39="Aguardando Aprovação"),"Pendência de TACH",IF(AND(C39&gt;0,I39="Aprovado"),"Sem Pendência de TACH",IF(AND(C39&gt;0,J39="Finalizado"),"Pendência de TACH",IF(AND(C39&gt;0,J39="Não Criado"),"Pendência de TACH",IF(AND(C39&gt;0,J39="Rascunho"),"Pendência de TACH",IF(AND(C39&gt;0,J39="NECESSÁRIO AJUSTAR"),"Pendência de TACH",IF(AND(C39&gt;0,J39="Aguardando Aprovação"),"Pendência de TACH",IF(AND(C39&gt;0,J39="Aprovado"),"Sem Pendência de TACH",IF(AND(C39&gt;0,K39="Finalizado"),"Pendência de TACH",IF(AND(C39&gt;0,K39="Não Criado"),"Pendência de TACH",IF(AND(C39&gt;0,K39="Rascunho"),"Pendência de TACH",IF(AND(C39&gt;0,K39="NECESSÁRIO AJUSTAR"),"Pendência de TACH",IF(AND(C39&gt;0,K39="Aguardando Aprovação"),"Pendência de TACH",IF(AND(C39&gt;0,K39="Aprovado"),"Sem Pendência de TACH",IF(AND(C39&gt;0,KL="Finalizado"),"Pendência de TACH",IF(AND(C39&gt;0,KL="Não Criado"),"Pendência de TACH",IF(AND(C39&gt;0,KL="Rascunho"),"Pendência de TACH",IF(AND(C39&gt;0,L39="NECESSÁRIO AJUSTAR"),"Pendência de TACH",IF(AND(C39&gt;0,L39="Aguardando Aprovação"),"Pendência de TACH",IF(AND(C39&gt;0,L39="Aprovado"),"Sem Pendência de TACH"))))))))))))))))))))))))</f>
        <v>Pendência de TACH</v>
      </c>
    </row>
    <row r="40" spans="1:14">
      <c r="A40" s="1">
        <v>90013875</v>
      </c>
      <c r="B40" t="s">
        <v>86</v>
      </c>
      <c r="C40" s="2">
        <v>4</v>
      </c>
      <c r="D40" t="s">
        <v>8</v>
      </c>
      <c r="E40" t="s">
        <v>6</v>
      </c>
      <c r="F40" t="s">
        <v>30</v>
      </c>
      <c r="G40" t="s">
        <v>163</v>
      </c>
      <c r="H40" t="s">
        <v>133</v>
      </c>
      <c r="J40" t="s">
        <v>133</v>
      </c>
      <c r="K40" t="s">
        <v>133</v>
      </c>
      <c r="L40" t="s">
        <v>133</v>
      </c>
      <c r="M40" t="str">
        <f t="shared" si="0"/>
        <v>Pendência de Agenda</v>
      </c>
      <c r="N40" t="str" cm="1">
        <f t="array" ref="N40">IF(AND(C40&gt;0,I40="Finalizado"),"Pendência de TACH",IF(AND(C40&gt;0,I40="Não Criado"),"Pendência de TACH",IF(AND(C40&gt;0,I40="Rascunho"),"Pendência de TACH",IF(AND(C40&gt;0,I40="NECESSÁRIO AJUSTAR"),"Pendência de TACH",IF(AND(C40&gt;0,I40="Aguardando Aprovação"),"Pendência de TACH",IF(AND(C40&gt;0,I40="Aprovado"),"Sem Pendência de TACH",IF(AND(C40&gt;0,J40="Finalizado"),"Pendência de TACH",IF(AND(C40&gt;0,J40="Não Criado"),"Pendência de TACH",IF(AND(C40&gt;0,J40="Rascunho"),"Pendência de TACH",IF(AND(C40&gt;0,J40="NECESSÁRIO AJUSTAR"),"Pendência de TACH",IF(AND(C40&gt;0,J40="Aguardando Aprovação"),"Pendência de TACH",IF(AND(C40&gt;0,J40="Aprovado"),"Sem Pendência de TACH",IF(AND(C40&gt;0,K40="Finalizado"),"Pendência de TACH",IF(AND(C40&gt;0,K40="Não Criado"),"Pendência de TACH",IF(AND(C40&gt;0,K40="Rascunho"),"Pendência de TACH",IF(AND(C40&gt;0,K40="NECESSÁRIO AJUSTAR"),"Pendência de TACH",IF(AND(C40&gt;0,K40="Aguardando Aprovação"),"Pendência de TACH",IF(AND(C40&gt;0,K40="Aprovado"),"Sem Pendência de TACH",IF(AND(C40&gt;0,KL="Finalizado"),"Pendência de TACH",IF(AND(C40&gt;0,KL="Não Criado"),"Pendência de TACH",IF(AND(C40&gt;0,KL="Rascunho"),"Pendência de TACH",IF(AND(C40&gt;0,L40="NECESSÁRIO AJUSTAR"),"Pendência de TACH",IF(AND(C40&gt;0,L40="Aguardando Aprovação"),"Pendência de TACH",IF(AND(C40&gt;0,L40="Aprovado"),"Sem Pendência de TACH"))))))))))))))))))))))))</f>
        <v>Sem Pendência de TACH</v>
      </c>
    </row>
    <row r="41" spans="1:14">
      <c r="A41">
        <v>32130</v>
      </c>
      <c r="B41" t="s">
        <v>112</v>
      </c>
      <c r="C41" s="2">
        <v>32</v>
      </c>
      <c r="D41" s="2">
        <v>0</v>
      </c>
      <c r="E41" t="s">
        <v>6</v>
      </c>
      <c r="F41" t="s">
        <v>236</v>
      </c>
      <c r="G41" t="s">
        <v>178</v>
      </c>
      <c r="H41" t="s">
        <v>131</v>
      </c>
      <c r="J41" t="s">
        <v>131</v>
      </c>
      <c r="K41" t="s">
        <v>133</v>
      </c>
      <c r="L41" t="s">
        <v>133</v>
      </c>
      <c r="M41" t="str">
        <f t="shared" si="0"/>
        <v>Sem Pendência</v>
      </c>
      <c r="N41" t="str" cm="1">
        <f t="array" ref="N41">IF(AND(C41&gt;0,I41="Finalizado"),"Pendência de TACH",IF(AND(C41&gt;0,I41="Não Criado"),"Pendência de TACH",IF(AND(C41&gt;0,I41="Rascunho"),"Pendência de TACH",IF(AND(C41&gt;0,I41="NECESSÁRIO AJUSTAR"),"Pendência de TACH",IF(AND(C41&gt;0,I41="Aguardando Aprovação"),"Pendência de TACH",IF(AND(C41&gt;0,I41="Aprovado"),"Sem Pendência de TACH",IF(AND(C41&gt;0,J41="Finalizado"),"Pendência de TACH",IF(AND(C41&gt;0,J41="Não Criado"),"Pendência de TACH",IF(AND(C41&gt;0,J41="Rascunho"),"Pendência de TACH",IF(AND(C41&gt;0,J41="NECESSÁRIO AJUSTAR"),"Pendência de TACH",IF(AND(C41&gt;0,J41="Aguardando Aprovação"),"Pendência de TACH",IF(AND(C41&gt;0,J41="Aprovado"),"Sem Pendência de TACH",IF(AND(C41&gt;0,K41="Finalizado"),"Pendência de TACH",IF(AND(C41&gt;0,K41="Não Criado"),"Pendência de TACH",IF(AND(C41&gt;0,K41="Rascunho"),"Pendência de TACH",IF(AND(C41&gt;0,K41="NECESSÁRIO AJUSTAR"),"Pendência de TACH",IF(AND(C41&gt;0,K41="Aguardando Aprovação"),"Pendência de TACH",IF(AND(C41&gt;0,K41="Aprovado"),"Sem Pendência de TACH",IF(AND(C41&gt;0,KL="Finalizado"),"Pendência de TACH",IF(AND(C41&gt;0,KL="Não Criado"),"Pendência de TACH",IF(AND(C41&gt;0,KL="Rascunho"),"Pendência de TACH",IF(AND(C41&gt;0,L41="NECESSÁRIO AJUSTAR"),"Pendência de TACH",IF(AND(C41&gt;0,L41="Aguardando Aprovação"),"Pendência de TACH",IF(AND(C41&gt;0,L41="Aprovado"),"Sem Pendência de TACH"))))))))))))))))))))))))</f>
        <v>Pendência de TACH</v>
      </c>
    </row>
    <row r="42" spans="1:14">
      <c r="A42">
        <v>21611</v>
      </c>
      <c r="B42" t="s">
        <v>240</v>
      </c>
      <c r="C42" s="2">
        <v>10</v>
      </c>
      <c r="D42" s="2">
        <v>0</v>
      </c>
      <c r="E42" t="s">
        <v>6</v>
      </c>
      <c r="F42" t="s">
        <v>247</v>
      </c>
      <c r="G42" t="s">
        <v>163</v>
      </c>
      <c r="H42" t="s">
        <v>130</v>
      </c>
      <c r="J42" t="s">
        <v>130</v>
      </c>
      <c r="K42" t="s">
        <v>131</v>
      </c>
      <c r="L42" t="s">
        <v>131</v>
      </c>
      <c r="M42" t="str">
        <f t="shared" si="0"/>
        <v>Sem Pendência</v>
      </c>
      <c r="N42" t="str" cm="1">
        <f t="array" ref="N42">IF(AND(C42&gt;0,I42="Finalizado"),"Pendência de TACH",IF(AND(C42&gt;0,I42="Não Criado"),"Pendência de TACH",IF(AND(C42&gt;0,I42="Rascunho"),"Pendência de TACH",IF(AND(C42&gt;0,I42="NECESSÁRIO AJUSTAR"),"Pendência de TACH",IF(AND(C42&gt;0,I42="Aguardando Aprovação"),"Pendência de TACH",IF(AND(C42&gt;0,I42="Aprovado"),"Sem Pendência de TACH",IF(AND(C42&gt;0,J42="Finalizado"),"Pendência de TACH",IF(AND(C42&gt;0,J42="Não Criado"),"Pendência de TACH",IF(AND(C42&gt;0,J42="Rascunho"),"Pendência de TACH",IF(AND(C42&gt;0,J42="NECESSÁRIO AJUSTAR"),"Pendência de TACH",IF(AND(C42&gt;0,J42="Aguardando Aprovação"),"Pendência de TACH",IF(AND(C42&gt;0,J42="Aprovado"),"Sem Pendência de TACH",IF(AND(C42&gt;0,K42="Finalizado"),"Pendência de TACH",IF(AND(C42&gt;0,K42="Não Criado"),"Pendência de TACH",IF(AND(C42&gt;0,K42="Rascunho"),"Pendência de TACH",IF(AND(C42&gt;0,K42="NECESSÁRIO AJUSTAR"),"Pendência de TACH",IF(AND(C42&gt;0,K42="Aguardando Aprovação"),"Pendência de TACH",IF(AND(C42&gt;0,K42="Aprovado"),"Sem Pendência de TACH",IF(AND(C42&gt;0,KL="Finalizado"),"Pendência de TACH",IF(AND(C42&gt;0,KL="Não Criado"),"Pendência de TACH",IF(AND(C42&gt;0,KL="Rascunho"),"Pendência de TACH",IF(AND(C42&gt;0,L42="NECESSÁRIO AJUSTAR"),"Pendência de TACH",IF(AND(C42&gt;0,L42="Aguardando Aprovação"),"Pendência de TACH",IF(AND(C42&gt;0,L42="Aprovado"),"Sem Pendência de TACH"))))))))))))))))))))))))</f>
        <v>Pendência de TACH</v>
      </c>
    </row>
    <row r="43" spans="1:14">
      <c r="A43">
        <v>90014085</v>
      </c>
      <c r="B43" t="s">
        <v>194</v>
      </c>
      <c r="C43" s="2">
        <v>40</v>
      </c>
      <c r="D43" s="2">
        <v>0</v>
      </c>
      <c r="E43" t="s">
        <v>6</v>
      </c>
      <c r="F43" t="s">
        <v>127</v>
      </c>
      <c r="G43" t="s">
        <v>178</v>
      </c>
      <c r="H43" t="s">
        <v>132</v>
      </c>
      <c r="J43" t="s">
        <v>132</v>
      </c>
      <c r="K43" t="s">
        <v>131</v>
      </c>
      <c r="L43" t="s">
        <v>131</v>
      </c>
      <c r="M43" t="str">
        <f t="shared" si="0"/>
        <v>Sem Pendência</v>
      </c>
      <c r="N43" t="str" cm="1">
        <f t="array" ref="N43">IF(AND(C43&gt;0,I43="Finalizado"),"Pendência de TACH",IF(AND(C43&gt;0,I43="Não Criado"),"Pendência de TACH",IF(AND(C43&gt;0,I43="Rascunho"),"Pendência de TACH",IF(AND(C43&gt;0,I43="NECESSÁRIO AJUSTAR"),"Pendência de TACH",IF(AND(C43&gt;0,I43="Aguardando Aprovação"),"Pendência de TACH",IF(AND(C43&gt;0,I43="Aprovado"),"Sem Pendência de TACH",IF(AND(C43&gt;0,J43="Finalizado"),"Pendência de TACH",IF(AND(C43&gt;0,J43="Não Criado"),"Pendência de TACH",IF(AND(C43&gt;0,J43="Rascunho"),"Pendência de TACH",IF(AND(C43&gt;0,J43="NECESSÁRIO AJUSTAR"),"Pendência de TACH",IF(AND(C43&gt;0,J43="Aguardando Aprovação"),"Pendência de TACH",IF(AND(C43&gt;0,J43="Aprovado"),"Sem Pendência de TACH",IF(AND(C43&gt;0,K43="Finalizado"),"Pendência de TACH",IF(AND(C43&gt;0,K43="Não Criado"),"Pendência de TACH",IF(AND(C43&gt;0,K43="Rascunho"),"Pendência de TACH",IF(AND(C43&gt;0,K43="NECESSÁRIO AJUSTAR"),"Pendência de TACH",IF(AND(C43&gt;0,K43="Aguardando Aprovação"),"Pendência de TACH",IF(AND(C43&gt;0,K43="Aprovado"),"Sem Pendência de TACH",IF(AND(C43&gt;0,KL="Finalizado"),"Pendência de TACH",IF(AND(C43&gt;0,KL="Não Criado"),"Pendência de TACH",IF(AND(C43&gt;0,KL="Rascunho"),"Pendência de TACH",IF(AND(C43&gt;0,L43="NECESSÁRIO AJUSTAR"),"Pendência de TACH",IF(AND(C43&gt;0,L43="Aguardando Aprovação"),"Pendência de TACH",IF(AND(C43&gt;0,L43="Aprovado"),"Sem Pendência de TACH"))))))))))))))))))))))))</f>
        <v>Pendência de TACH</v>
      </c>
    </row>
    <row r="44" spans="1:14">
      <c r="A44">
        <v>31954</v>
      </c>
      <c r="B44" t="s">
        <v>208</v>
      </c>
      <c r="C44" s="2">
        <v>40</v>
      </c>
      <c r="D44" s="2">
        <v>0</v>
      </c>
      <c r="E44" t="s">
        <v>6</v>
      </c>
      <c r="F44" t="s">
        <v>9</v>
      </c>
      <c r="G44" t="s">
        <v>178</v>
      </c>
      <c r="H44" t="s">
        <v>131</v>
      </c>
      <c r="J44" t="s">
        <v>131</v>
      </c>
      <c r="K44" t="s">
        <v>131</v>
      </c>
      <c r="L44" t="s">
        <v>131</v>
      </c>
      <c r="M44" t="str">
        <f t="shared" si="0"/>
        <v>Sem Pendência</v>
      </c>
      <c r="N44" t="str" cm="1">
        <f t="array" ref="N44">IF(AND(C44&gt;0,I44="Finalizado"),"Pendência de TACH",IF(AND(C44&gt;0,I44="Não Criado"),"Pendência de TACH",IF(AND(C44&gt;0,I44="Rascunho"),"Pendência de TACH",IF(AND(C44&gt;0,I44="NECESSÁRIO AJUSTAR"),"Pendência de TACH",IF(AND(C44&gt;0,I44="Aguardando Aprovação"),"Pendência de TACH",IF(AND(C44&gt;0,I44="Aprovado"),"Sem Pendência de TACH",IF(AND(C44&gt;0,J44="Finalizado"),"Pendência de TACH",IF(AND(C44&gt;0,J44="Não Criado"),"Pendência de TACH",IF(AND(C44&gt;0,J44="Rascunho"),"Pendência de TACH",IF(AND(C44&gt;0,J44="NECESSÁRIO AJUSTAR"),"Pendência de TACH",IF(AND(C44&gt;0,J44="Aguardando Aprovação"),"Pendência de TACH",IF(AND(C44&gt;0,J44="Aprovado"),"Sem Pendência de TACH",IF(AND(C44&gt;0,K44="Finalizado"),"Pendência de TACH",IF(AND(C44&gt;0,K44="Não Criado"),"Pendência de TACH",IF(AND(C44&gt;0,K44="Rascunho"),"Pendência de TACH",IF(AND(C44&gt;0,K44="NECESSÁRIO AJUSTAR"),"Pendência de TACH",IF(AND(C44&gt;0,K44="Aguardando Aprovação"),"Pendência de TACH",IF(AND(C44&gt;0,K44="Aprovado"),"Sem Pendência de TACH",IF(AND(C44&gt;0,KL="Finalizado"),"Pendência de TACH",IF(AND(C44&gt;0,KL="Não Criado"),"Pendência de TACH",IF(AND(C44&gt;0,KL="Rascunho"),"Pendência de TACH",IF(AND(C44&gt;0,L44="NECESSÁRIO AJUSTAR"),"Pendência de TACH",IF(AND(C44&gt;0,L44="Aguardando Aprovação"),"Pendência de TACH",IF(AND(C44&gt;0,L44="Aprovado"),"Sem Pendência de TACH"))))))))))))))))))))))))</f>
        <v>Pendência de TACH</v>
      </c>
    </row>
    <row r="45" spans="1:14">
      <c r="A45">
        <v>7350</v>
      </c>
      <c r="B45" t="s">
        <v>241</v>
      </c>
      <c r="C45" s="2">
        <v>37</v>
      </c>
      <c r="D45" s="2">
        <v>0</v>
      </c>
      <c r="E45" t="s">
        <v>6</v>
      </c>
      <c r="F45" t="s">
        <v>13</v>
      </c>
      <c r="G45" t="s">
        <v>178</v>
      </c>
      <c r="H45" t="s">
        <v>130</v>
      </c>
      <c r="J45" t="s">
        <v>130</v>
      </c>
      <c r="K45" t="s">
        <v>131</v>
      </c>
      <c r="L45" t="s">
        <v>131</v>
      </c>
      <c r="M45" t="str">
        <f t="shared" si="0"/>
        <v>Sem Pendência</v>
      </c>
      <c r="N45" t="str" cm="1">
        <f t="array" ref="N45">IF(AND(C45&gt;0,I45="Finalizado"),"Pendência de TACH",IF(AND(C45&gt;0,I45="Não Criado"),"Pendência de TACH",IF(AND(C45&gt;0,I45="Rascunho"),"Pendência de TACH",IF(AND(C45&gt;0,I45="NECESSÁRIO AJUSTAR"),"Pendência de TACH",IF(AND(C45&gt;0,I45="Aguardando Aprovação"),"Pendência de TACH",IF(AND(C45&gt;0,I45="Aprovado"),"Sem Pendência de TACH",IF(AND(C45&gt;0,J45="Finalizado"),"Pendência de TACH",IF(AND(C45&gt;0,J45="Não Criado"),"Pendência de TACH",IF(AND(C45&gt;0,J45="Rascunho"),"Pendência de TACH",IF(AND(C45&gt;0,J45="NECESSÁRIO AJUSTAR"),"Pendência de TACH",IF(AND(C45&gt;0,J45="Aguardando Aprovação"),"Pendência de TACH",IF(AND(C45&gt;0,J45="Aprovado"),"Sem Pendência de TACH",IF(AND(C45&gt;0,K45="Finalizado"),"Pendência de TACH",IF(AND(C45&gt;0,K45="Não Criado"),"Pendência de TACH",IF(AND(C45&gt;0,K45="Rascunho"),"Pendência de TACH",IF(AND(C45&gt;0,K45="NECESSÁRIO AJUSTAR"),"Pendência de TACH",IF(AND(C45&gt;0,K45="Aguardando Aprovação"),"Pendência de TACH",IF(AND(C45&gt;0,K45="Aprovado"),"Sem Pendência de TACH",IF(AND(C45&gt;0,KL="Finalizado"),"Pendência de TACH",IF(AND(C45&gt;0,KL="Não Criado"),"Pendência de TACH",IF(AND(C45&gt;0,KL="Rascunho"),"Pendência de TACH",IF(AND(C45&gt;0,L45="NECESSÁRIO AJUSTAR"),"Pendência de TACH",IF(AND(C45&gt;0,L45="Aguardando Aprovação"),"Pendência de TACH",IF(AND(C45&gt;0,L45="Aprovado"),"Sem Pendência de TACH"))))))))))))))))))))))))</f>
        <v>Pendência de TACH</v>
      </c>
    </row>
    <row r="46" spans="1:14">
      <c r="A46">
        <v>20857</v>
      </c>
      <c r="B46" t="s">
        <v>114</v>
      </c>
      <c r="C46" s="2">
        <v>34</v>
      </c>
      <c r="D46" s="2">
        <v>0</v>
      </c>
      <c r="E46" t="s">
        <v>6</v>
      </c>
      <c r="F46" t="s">
        <v>248</v>
      </c>
      <c r="G46" t="s">
        <v>178</v>
      </c>
      <c r="H46" t="s">
        <v>131</v>
      </c>
      <c r="J46" t="s">
        <v>131</v>
      </c>
      <c r="K46" t="s">
        <v>131</v>
      </c>
      <c r="L46" t="s">
        <v>131</v>
      </c>
      <c r="M46" t="str">
        <f t="shared" si="0"/>
        <v>Sem Pendência</v>
      </c>
      <c r="N46" t="str" cm="1">
        <f t="array" ref="N46">IF(AND(C46&gt;0,I46="Finalizado"),"Pendência de TACH",IF(AND(C46&gt;0,I46="Não Criado"),"Pendência de TACH",IF(AND(C46&gt;0,I46="Rascunho"),"Pendência de TACH",IF(AND(C46&gt;0,I46="NECESSÁRIO AJUSTAR"),"Pendência de TACH",IF(AND(C46&gt;0,I46="Aguardando Aprovação"),"Pendência de TACH",IF(AND(C46&gt;0,I46="Aprovado"),"Sem Pendência de TACH",IF(AND(C46&gt;0,J46="Finalizado"),"Pendência de TACH",IF(AND(C46&gt;0,J46="Não Criado"),"Pendência de TACH",IF(AND(C46&gt;0,J46="Rascunho"),"Pendência de TACH",IF(AND(C46&gt;0,J46="NECESSÁRIO AJUSTAR"),"Pendência de TACH",IF(AND(C46&gt;0,J46="Aguardando Aprovação"),"Pendência de TACH",IF(AND(C46&gt;0,J46="Aprovado"),"Sem Pendência de TACH",IF(AND(C46&gt;0,K46="Finalizado"),"Pendência de TACH",IF(AND(C46&gt;0,K46="Não Criado"),"Pendência de TACH",IF(AND(C46&gt;0,K46="Rascunho"),"Pendência de TACH",IF(AND(C46&gt;0,K46="NECESSÁRIO AJUSTAR"),"Pendência de TACH",IF(AND(C46&gt;0,K46="Aguardando Aprovação"),"Pendência de TACH",IF(AND(C46&gt;0,K46="Aprovado"),"Sem Pendência de TACH",IF(AND(C46&gt;0,KL="Finalizado"),"Pendência de TACH",IF(AND(C46&gt;0,KL="Não Criado"),"Pendência de TACH",IF(AND(C46&gt;0,KL="Rascunho"),"Pendência de TACH",IF(AND(C46&gt;0,L46="NECESSÁRIO AJUSTAR"),"Pendência de TACH",IF(AND(C46&gt;0,L46="Aguardando Aprovação"),"Pendência de TACH",IF(AND(C46&gt;0,L46="Aprovado"),"Sem Pendência de TACH"))))))))))))))))))))))))</f>
        <v>Pendência de TACH</v>
      </c>
    </row>
    <row r="47" spans="1:14">
      <c r="A47">
        <v>23850</v>
      </c>
      <c r="B47" t="s">
        <v>115</v>
      </c>
      <c r="C47" s="2">
        <v>40</v>
      </c>
      <c r="D47" s="2">
        <v>0</v>
      </c>
      <c r="E47" t="s">
        <v>6</v>
      </c>
      <c r="F47" t="s">
        <v>41</v>
      </c>
      <c r="G47" t="s">
        <v>178</v>
      </c>
      <c r="H47" t="s">
        <v>131</v>
      </c>
      <c r="J47" t="s">
        <v>131</v>
      </c>
      <c r="K47" t="s">
        <v>131</v>
      </c>
      <c r="L47" t="s">
        <v>131</v>
      </c>
      <c r="M47" t="str">
        <f t="shared" si="0"/>
        <v>Sem Pendência</v>
      </c>
      <c r="N47" t="str" cm="1">
        <f t="array" ref="N47">IF(AND(C47&gt;0,I47="Finalizado"),"Pendência de TACH",IF(AND(C47&gt;0,I47="Não Criado"),"Pendência de TACH",IF(AND(C47&gt;0,I47="Rascunho"),"Pendência de TACH",IF(AND(C47&gt;0,I47="NECESSÁRIO AJUSTAR"),"Pendência de TACH",IF(AND(C47&gt;0,I47="Aguardando Aprovação"),"Pendência de TACH",IF(AND(C47&gt;0,I47="Aprovado"),"Sem Pendência de TACH",IF(AND(C47&gt;0,J47="Finalizado"),"Pendência de TACH",IF(AND(C47&gt;0,J47="Não Criado"),"Pendência de TACH",IF(AND(C47&gt;0,J47="Rascunho"),"Pendência de TACH",IF(AND(C47&gt;0,J47="NECESSÁRIO AJUSTAR"),"Pendência de TACH",IF(AND(C47&gt;0,J47="Aguardando Aprovação"),"Pendência de TACH",IF(AND(C47&gt;0,J47="Aprovado"),"Sem Pendência de TACH",IF(AND(C47&gt;0,K47="Finalizado"),"Pendência de TACH",IF(AND(C47&gt;0,K47="Não Criado"),"Pendência de TACH",IF(AND(C47&gt;0,K47="Rascunho"),"Pendência de TACH",IF(AND(C47&gt;0,K47="NECESSÁRIO AJUSTAR"),"Pendência de TACH",IF(AND(C47&gt;0,K47="Aguardando Aprovação"),"Pendência de TACH",IF(AND(C47&gt;0,K47="Aprovado"),"Sem Pendência de TACH",IF(AND(C47&gt;0,KL="Finalizado"),"Pendência de TACH",IF(AND(C47&gt;0,KL="Não Criado"),"Pendência de TACH",IF(AND(C47&gt;0,KL="Rascunho"),"Pendência de TACH",IF(AND(C47&gt;0,L47="NECESSÁRIO AJUSTAR"),"Pendência de TACH",IF(AND(C47&gt;0,L47="Aguardando Aprovação"),"Pendência de TACH",IF(AND(C47&gt;0,L47="Aprovado"),"Sem Pendência de TACH"))))))))))))))))))))))))</f>
        <v>Pendência de TACH</v>
      </c>
    </row>
    <row r="48" spans="1:14">
      <c r="A48">
        <v>28571</v>
      </c>
      <c r="B48" t="s">
        <v>242</v>
      </c>
      <c r="C48" s="2">
        <v>32</v>
      </c>
      <c r="D48" s="2">
        <v>0</v>
      </c>
      <c r="E48" t="s">
        <v>6</v>
      </c>
      <c r="F48" t="s">
        <v>249</v>
      </c>
      <c r="G48" t="s">
        <v>178</v>
      </c>
      <c r="H48" t="s">
        <v>130</v>
      </c>
      <c r="J48" t="s">
        <v>130</v>
      </c>
      <c r="K48" t="s">
        <v>130</v>
      </c>
      <c r="L48" t="s">
        <v>130</v>
      </c>
      <c r="M48" t="str">
        <f t="shared" si="0"/>
        <v>Sem Pendência</v>
      </c>
      <c r="N48" t="str" cm="1">
        <f t="array" ref="N48">IF(AND(C48&gt;0,I48="Finalizado"),"Pendência de TACH",IF(AND(C48&gt;0,I48="Não Criado"),"Pendência de TACH",IF(AND(C48&gt;0,I48="Rascunho"),"Pendência de TACH",IF(AND(C48&gt;0,I48="NECESSÁRIO AJUSTAR"),"Pendência de TACH",IF(AND(C48&gt;0,I48="Aguardando Aprovação"),"Pendência de TACH",IF(AND(C48&gt;0,I48="Aprovado"),"Sem Pendência de TACH",IF(AND(C48&gt;0,J48="Finalizado"),"Pendência de TACH",IF(AND(C48&gt;0,J48="Não Criado"),"Pendência de TACH",IF(AND(C48&gt;0,J48="Rascunho"),"Pendência de TACH",IF(AND(C48&gt;0,J48="NECESSÁRIO AJUSTAR"),"Pendência de TACH",IF(AND(C48&gt;0,J48="Aguardando Aprovação"),"Pendência de TACH",IF(AND(C48&gt;0,J48="Aprovado"),"Sem Pendência de TACH",IF(AND(C48&gt;0,K48="Finalizado"),"Pendência de TACH",IF(AND(C48&gt;0,K48="Não Criado"),"Pendência de TACH",IF(AND(C48&gt;0,K48="Rascunho"),"Pendência de TACH",IF(AND(C48&gt;0,K48="NECESSÁRIO AJUSTAR"),"Pendência de TACH",IF(AND(C48&gt;0,K48="Aguardando Aprovação"),"Pendência de TACH",IF(AND(C48&gt;0,K48="Aprovado"),"Sem Pendência de TACH",IF(AND(C48&gt;0,KL="Finalizado"),"Pendência de TACH",IF(AND(C48&gt;0,KL="Não Criado"),"Pendência de TACH",IF(AND(C48&gt;0,KL="Rascunho"),"Pendência de TACH",IF(AND(C48&gt;0,L48="NECESSÁRIO AJUSTAR"),"Pendência de TACH",IF(AND(C48&gt;0,L48="Aguardando Aprovação"),"Pendência de TACH",IF(AND(C48&gt;0,L48="Aprovado"),"Sem Pendência de TACH"))))))))))))))))))))))))</f>
        <v>Pendência de TACH</v>
      </c>
    </row>
    <row r="49" spans="1:14">
      <c r="A49">
        <v>28828</v>
      </c>
      <c r="B49" t="s">
        <v>243</v>
      </c>
      <c r="C49" s="2">
        <v>40</v>
      </c>
      <c r="D49" s="2">
        <v>0</v>
      </c>
      <c r="E49" t="s">
        <v>6</v>
      </c>
      <c r="F49" t="s">
        <v>73</v>
      </c>
      <c r="G49" t="s">
        <v>178</v>
      </c>
      <c r="H49" t="s">
        <v>130</v>
      </c>
      <c r="J49" t="s">
        <v>130</v>
      </c>
      <c r="K49" t="s">
        <v>130</v>
      </c>
      <c r="L49" t="s">
        <v>131</v>
      </c>
      <c r="M49" t="str">
        <f t="shared" si="0"/>
        <v>Sem Pendência</v>
      </c>
      <c r="N49" t="str" cm="1">
        <f t="array" ref="N49">IF(AND(C49&gt;0,I49="Finalizado"),"Pendência de TACH",IF(AND(C49&gt;0,I49="Não Criado"),"Pendência de TACH",IF(AND(C49&gt;0,I49="Rascunho"),"Pendência de TACH",IF(AND(C49&gt;0,I49="NECESSÁRIO AJUSTAR"),"Pendência de TACH",IF(AND(C49&gt;0,I49="Aguardando Aprovação"),"Pendência de TACH",IF(AND(C49&gt;0,I49="Aprovado"),"Sem Pendência de TACH",IF(AND(C49&gt;0,J49="Finalizado"),"Pendência de TACH",IF(AND(C49&gt;0,J49="Não Criado"),"Pendência de TACH",IF(AND(C49&gt;0,J49="Rascunho"),"Pendência de TACH",IF(AND(C49&gt;0,J49="NECESSÁRIO AJUSTAR"),"Pendência de TACH",IF(AND(C49&gt;0,J49="Aguardando Aprovação"),"Pendência de TACH",IF(AND(C49&gt;0,J49="Aprovado"),"Sem Pendência de TACH",IF(AND(C49&gt;0,K49="Finalizado"),"Pendência de TACH",IF(AND(C49&gt;0,K49="Não Criado"),"Pendência de TACH",IF(AND(C49&gt;0,K49="Rascunho"),"Pendência de TACH",IF(AND(C49&gt;0,K49="NECESSÁRIO AJUSTAR"),"Pendência de TACH",IF(AND(C49&gt;0,K49="Aguardando Aprovação"),"Pendência de TACH",IF(AND(C49&gt;0,K49="Aprovado"),"Sem Pendência de TACH",IF(AND(C49&gt;0,KL="Finalizado"),"Pendência de TACH",IF(AND(C49&gt;0,KL="Não Criado"),"Pendência de TACH",IF(AND(C49&gt;0,KL="Rascunho"),"Pendência de TACH",IF(AND(C49&gt;0,L49="NECESSÁRIO AJUSTAR"),"Pendência de TACH",IF(AND(C49&gt;0,L49="Aguardando Aprovação"),"Pendência de TACH",IF(AND(C49&gt;0,L49="Aprovado"),"Sem Pendência de TACH"))))))))))))))))))))))))</f>
        <v>Pendência de TACH</v>
      </c>
    </row>
    <row r="50" spans="1:14">
      <c r="A50">
        <v>28833</v>
      </c>
      <c r="B50" t="s">
        <v>244</v>
      </c>
      <c r="C50" s="2">
        <v>18</v>
      </c>
      <c r="D50" s="2">
        <v>0</v>
      </c>
      <c r="E50" t="s">
        <v>6</v>
      </c>
      <c r="F50" t="s">
        <v>250</v>
      </c>
      <c r="G50" t="s">
        <v>163</v>
      </c>
      <c r="H50" t="s">
        <v>130</v>
      </c>
      <c r="J50" t="s">
        <v>130</v>
      </c>
      <c r="K50" t="s">
        <v>130</v>
      </c>
      <c r="L50" t="s">
        <v>130</v>
      </c>
      <c r="M50" t="str">
        <f t="shared" si="0"/>
        <v>Sem Pendência</v>
      </c>
      <c r="N50" t="str" cm="1">
        <f t="array" ref="N50">IF(AND(C50&gt;0,I50="Finalizado"),"Pendência de TACH",IF(AND(C50&gt;0,I50="Não Criado"),"Pendência de TACH",IF(AND(C50&gt;0,I50="Rascunho"),"Pendência de TACH",IF(AND(C50&gt;0,I50="NECESSÁRIO AJUSTAR"),"Pendência de TACH",IF(AND(C50&gt;0,I50="Aguardando Aprovação"),"Pendência de TACH",IF(AND(C50&gt;0,I50="Aprovado"),"Sem Pendência de TACH",IF(AND(C50&gt;0,J50="Finalizado"),"Pendência de TACH",IF(AND(C50&gt;0,J50="Não Criado"),"Pendência de TACH",IF(AND(C50&gt;0,J50="Rascunho"),"Pendência de TACH",IF(AND(C50&gt;0,J50="NECESSÁRIO AJUSTAR"),"Pendência de TACH",IF(AND(C50&gt;0,J50="Aguardando Aprovação"),"Pendência de TACH",IF(AND(C50&gt;0,J50="Aprovado"),"Sem Pendência de TACH",IF(AND(C50&gt;0,K50="Finalizado"),"Pendência de TACH",IF(AND(C50&gt;0,K50="Não Criado"),"Pendência de TACH",IF(AND(C50&gt;0,K50="Rascunho"),"Pendência de TACH",IF(AND(C50&gt;0,K50="NECESSÁRIO AJUSTAR"),"Pendência de TACH",IF(AND(C50&gt;0,K50="Aguardando Aprovação"),"Pendência de TACH",IF(AND(C50&gt;0,K50="Aprovado"),"Sem Pendência de TACH",IF(AND(C50&gt;0,KL="Finalizado"),"Pendência de TACH",IF(AND(C50&gt;0,KL="Não Criado"),"Pendência de TACH",IF(AND(C50&gt;0,KL="Rascunho"),"Pendência de TACH",IF(AND(C50&gt;0,L50="NECESSÁRIO AJUSTAR"),"Pendência de TACH",IF(AND(C50&gt;0,L50="Aguardando Aprovação"),"Pendência de TACH",IF(AND(C50&gt;0,L50="Aprovado"),"Sem Pendência de TACH"))))))))))))))))))))))))</f>
        <v>Pendência de TACH</v>
      </c>
    </row>
    <row r="51" spans="1:14">
      <c r="A51">
        <v>90013003</v>
      </c>
      <c r="B51" t="s">
        <v>245</v>
      </c>
      <c r="C51" s="2">
        <v>17</v>
      </c>
      <c r="D51" s="2">
        <v>0</v>
      </c>
      <c r="E51" t="s">
        <v>6</v>
      </c>
      <c r="F51" t="s">
        <v>28</v>
      </c>
      <c r="G51" t="s">
        <v>163</v>
      </c>
      <c r="H51" t="s">
        <v>130</v>
      </c>
      <c r="J51" t="s">
        <v>130</v>
      </c>
      <c r="K51" t="s">
        <v>133</v>
      </c>
      <c r="L51" t="s">
        <v>133</v>
      </c>
      <c r="M51" t="str">
        <f t="shared" si="0"/>
        <v>Sem Pendência</v>
      </c>
      <c r="N51" t="str" cm="1">
        <f t="array" ref="N51">IF(AND(C51&gt;0,I51="Finalizado"),"Pendência de TACH",IF(AND(C51&gt;0,I51="Não Criado"),"Pendência de TACH",IF(AND(C51&gt;0,I51="Rascunho"),"Pendência de TACH",IF(AND(C51&gt;0,I51="NECESSÁRIO AJUSTAR"),"Pendência de TACH",IF(AND(C51&gt;0,I51="Aguardando Aprovação"),"Pendência de TACH",IF(AND(C51&gt;0,I51="Aprovado"),"Sem Pendência de TACH",IF(AND(C51&gt;0,J51="Finalizado"),"Pendência de TACH",IF(AND(C51&gt;0,J51="Não Criado"),"Pendência de TACH",IF(AND(C51&gt;0,J51="Rascunho"),"Pendência de TACH",IF(AND(C51&gt;0,J51="NECESSÁRIO AJUSTAR"),"Pendência de TACH",IF(AND(C51&gt;0,J51="Aguardando Aprovação"),"Pendência de TACH",IF(AND(C51&gt;0,J51="Aprovado"),"Sem Pendência de TACH",IF(AND(C51&gt;0,K51="Finalizado"),"Pendência de TACH",IF(AND(C51&gt;0,K51="Não Criado"),"Pendência de TACH",IF(AND(C51&gt;0,K51="Rascunho"),"Pendência de TACH",IF(AND(C51&gt;0,K51="NECESSÁRIO AJUSTAR"),"Pendência de TACH",IF(AND(C51&gt;0,K51="Aguardando Aprovação"),"Pendência de TACH",IF(AND(C51&gt;0,K51="Aprovado"),"Sem Pendência de TACH",IF(AND(C51&gt;0,KL="Finalizado"),"Pendência de TACH",IF(AND(C51&gt;0,KL="Não Criado"),"Pendência de TACH",IF(AND(C51&gt;0,KL="Rascunho"),"Pendência de TACH",IF(AND(C51&gt;0,L51="NECESSÁRIO AJUSTAR"),"Pendência de TACH",IF(AND(C51&gt;0,L51="Aguardando Aprovação"),"Pendência de TACH",IF(AND(C51&gt;0,L51="Aprovado"),"Sem Pendência de TACH"))))))))))))))))))))))))</f>
        <v>Pendência de TACH</v>
      </c>
    </row>
    <row r="52" spans="1:14">
      <c r="A52">
        <v>22466</v>
      </c>
      <c r="B52" t="s">
        <v>117</v>
      </c>
      <c r="C52" s="2">
        <v>40</v>
      </c>
      <c r="D52" s="2">
        <v>0</v>
      </c>
      <c r="E52" t="s">
        <v>6</v>
      </c>
      <c r="F52" t="s">
        <v>30</v>
      </c>
      <c r="G52" t="s">
        <v>178</v>
      </c>
      <c r="H52" t="s">
        <v>130</v>
      </c>
      <c r="J52" t="s">
        <v>130</v>
      </c>
      <c r="K52" t="s">
        <v>131</v>
      </c>
      <c r="L52" t="s">
        <v>131</v>
      </c>
      <c r="M52" t="str">
        <f t="shared" si="0"/>
        <v>Sem Pendência</v>
      </c>
      <c r="N52" t="str" cm="1">
        <f t="array" ref="N52">IF(AND(C52&gt;0,I52="Finalizado"),"Pendência de TACH",IF(AND(C52&gt;0,I52="Não Criado"),"Pendência de TACH",IF(AND(C52&gt;0,I52="Rascunho"),"Pendência de TACH",IF(AND(C52&gt;0,I52="NECESSÁRIO AJUSTAR"),"Pendência de TACH",IF(AND(C52&gt;0,I52="Aguardando Aprovação"),"Pendência de TACH",IF(AND(C52&gt;0,I52="Aprovado"),"Sem Pendência de TACH",IF(AND(C52&gt;0,J52="Finalizado"),"Pendência de TACH",IF(AND(C52&gt;0,J52="Não Criado"),"Pendência de TACH",IF(AND(C52&gt;0,J52="Rascunho"),"Pendência de TACH",IF(AND(C52&gt;0,J52="NECESSÁRIO AJUSTAR"),"Pendência de TACH",IF(AND(C52&gt;0,J52="Aguardando Aprovação"),"Pendência de TACH",IF(AND(C52&gt;0,J52="Aprovado"),"Sem Pendência de TACH",IF(AND(C52&gt;0,K52="Finalizado"),"Pendência de TACH",IF(AND(C52&gt;0,K52="Não Criado"),"Pendência de TACH",IF(AND(C52&gt;0,K52="Rascunho"),"Pendência de TACH",IF(AND(C52&gt;0,K52="NECESSÁRIO AJUSTAR"),"Pendência de TACH",IF(AND(C52&gt;0,K52="Aguardando Aprovação"),"Pendência de TACH",IF(AND(C52&gt;0,K52="Aprovado"),"Sem Pendência de TACH",IF(AND(C52&gt;0,KL="Finalizado"),"Pendência de TACH",IF(AND(C52&gt;0,KL="Não Criado"),"Pendência de TACH",IF(AND(C52&gt;0,KL="Rascunho"),"Pendência de TACH",IF(AND(C52&gt;0,L52="NECESSÁRIO AJUSTAR"),"Pendência de TACH",IF(AND(C52&gt;0,L52="Aguardando Aprovação"),"Pendência de TACH",IF(AND(C52&gt;0,L52="Aprovado"),"Sem Pendência de TACH"))))))))))))))))))))))))</f>
        <v>Pendência de TACH</v>
      </c>
    </row>
    <row r="53" spans="1:14">
      <c r="A53">
        <v>7388</v>
      </c>
      <c r="B53" t="s">
        <v>215</v>
      </c>
      <c r="C53" s="2">
        <v>40</v>
      </c>
      <c r="D53" s="2">
        <v>0</v>
      </c>
      <c r="E53" t="s">
        <v>6</v>
      </c>
      <c r="F53" t="s">
        <v>30</v>
      </c>
      <c r="G53" t="s">
        <v>178</v>
      </c>
      <c r="H53" t="s">
        <v>131</v>
      </c>
      <c r="J53" t="s">
        <v>131</v>
      </c>
      <c r="K53" t="s">
        <v>133</v>
      </c>
      <c r="L53" t="s">
        <v>133</v>
      </c>
      <c r="M53" t="str">
        <f t="shared" si="0"/>
        <v>Sem Pendência</v>
      </c>
      <c r="N53" t="str" cm="1">
        <f t="array" ref="N53">IF(AND(C53&gt;0,I53="Finalizado"),"Pendência de TACH",IF(AND(C53&gt;0,I53="Não Criado"),"Pendência de TACH",IF(AND(C53&gt;0,I53="Rascunho"),"Pendência de TACH",IF(AND(C53&gt;0,I53="NECESSÁRIO AJUSTAR"),"Pendência de TACH",IF(AND(C53&gt;0,I53="Aguardando Aprovação"),"Pendência de TACH",IF(AND(C53&gt;0,I53="Aprovado"),"Sem Pendência de TACH",IF(AND(C53&gt;0,J53="Finalizado"),"Pendência de TACH",IF(AND(C53&gt;0,J53="Não Criado"),"Pendência de TACH",IF(AND(C53&gt;0,J53="Rascunho"),"Pendência de TACH",IF(AND(C53&gt;0,J53="NECESSÁRIO AJUSTAR"),"Pendência de TACH",IF(AND(C53&gt;0,J53="Aguardando Aprovação"),"Pendência de TACH",IF(AND(C53&gt;0,J53="Aprovado"),"Sem Pendência de TACH",IF(AND(C53&gt;0,K53="Finalizado"),"Pendência de TACH",IF(AND(C53&gt;0,K53="Não Criado"),"Pendência de TACH",IF(AND(C53&gt;0,K53="Rascunho"),"Pendência de TACH",IF(AND(C53&gt;0,K53="NECESSÁRIO AJUSTAR"),"Pendência de TACH",IF(AND(C53&gt;0,K53="Aguardando Aprovação"),"Pendência de TACH",IF(AND(C53&gt;0,K53="Aprovado"),"Sem Pendência de TACH",IF(AND(C53&gt;0,KL="Finalizado"),"Pendência de TACH",IF(AND(C53&gt;0,KL="Não Criado"),"Pendência de TACH",IF(AND(C53&gt;0,KL="Rascunho"),"Pendência de TACH",IF(AND(C53&gt;0,L53="NECESSÁRIO AJUSTAR"),"Pendência de TACH",IF(AND(C53&gt;0,L53="Aguardando Aprovação"),"Pendência de TACH",IF(AND(C53&gt;0,L53="Aprovado"),"Sem Pendência de TACH"))))))))))))))))))))))))</f>
        <v>Pendência de TACH</v>
      </c>
    </row>
    <row r="54" spans="1:14">
      <c r="A54">
        <v>28233</v>
      </c>
      <c r="B54" t="s">
        <v>246</v>
      </c>
      <c r="C54" s="2">
        <v>32</v>
      </c>
      <c r="D54" s="2">
        <v>0</v>
      </c>
      <c r="E54" t="s">
        <v>6</v>
      </c>
      <c r="F54" t="s">
        <v>251</v>
      </c>
      <c r="G54" t="s">
        <v>178</v>
      </c>
      <c r="H54" t="s">
        <v>130</v>
      </c>
      <c r="J54" t="s">
        <v>130</v>
      </c>
      <c r="K54" t="s">
        <v>131</v>
      </c>
      <c r="L54" t="s">
        <v>131</v>
      </c>
      <c r="M54" t="str">
        <f t="shared" si="0"/>
        <v>Sem Pendência</v>
      </c>
      <c r="N54" t="str" cm="1">
        <f t="array" ref="N54">IF(AND(C54&gt;0,I54="Finalizado"),"Pendência de TACH",IF(AND(C54&gt;0,I54="Não Criado"),"Pendência de TACH",IF(AND(C54&gt;0,I54="Rascunho"),"Pendência de TACH",IF(AND(C54&gt;0,I54="NECESSÁRIO AJUSTAR"),"Pendência de TACH",IF(AND(C54&gt;0,I54="Aguardando Aprovação"),"Pendência de TACH",IF(AND(C54&gt;0,I54="Aprovado"),"Sem Pendência de TACH",IF(AND(C54&gt;0,J54="Finalizado"),"Pendência de TACH",IF(AND(C54&gt;0,J54="Não Criado"),"Pendência de TACH",IF(AND(C54&gt;0,J54="Rascunho"),"Pendência de TACH",IF(AND(C54&gt;0,J54="NECESSÁRIO AJUSTAR"),"Pendência de TACH",IF(AND(C54&gt;0,J54="Aguardando Aprovação"),"Pendência de TACH",IF(AND(C54&gt;0,J54="Aprovado"),"Sem Pendência de TACH",IF(AND(C54&gt;0,K54="Finalizado"),"Pendência de TACH",IF(AND(C54&gt;0,K54="Não Criado"),"Pendência de TACH",IF(AND(C54&gt;0,K54="Rascunho"),"Pendência de TACH",IF(AND(C54&gt;0,K54="NECESSÁRIO AJUSTAR"),"Pendência de TACH",IF(AND(C54&gt;0,K54="Aguardando Aprovação"),"Pendência de TACH",IF(AND(C54&gt;0,K54="Aprovado"),"Sem Pendência de TACH",IF(AND(C54&gt;0,KL="Finalizado"),"Pendência de TACH",IF(AND(C54&gt;0,KL="Não Criado"),"Pendência de TACH",IF(AND(C54&gt;0,KL="Rascunho"),"Pendência de TACH",IF(AND(C54&gt;0,L54="NECESSÁRIO AJUSTAR"),"Pendência de TACH",IF(AND(C54&gt;0,L54="Aguardando Aprovação"),"Pendência de TACH",IF(AND(C54&gt;0,L54="Aprovado"),"Sem Pendência de TACH"))))))))))))))))))))))))</f>
        <v>Pendência de TACH</v>
      </c>
    </row>
    <row r="55" spans="1:14">
      <c r="A55">
        <v>90001974</v>
      </c>
      <c r="B55" t="s">
        <v>198</v>
      </c>
      <c r="C55" s="2">
        <v>2</v>
      </c>
      <c r="D55" s="2">
        <v>0</v>
      </c>
      <c r="E55" t="s">
        <v>22</v>
      </c>
      <c r="F55" t="s">
        <v>205</v>
      </c>
      <c r="G55" t="s">
        <v>163</v>
      </c>
      <c r="H55" t="s">
        <v>131</v>
      </c>
      <c r="J55" t="s">
        <v>131</v>
      </c>
      <c r="K55" t="s">
        <v>133</v>
      </c>
      <c r="L55" t="s">
        <v>133</v>
      </c>
      <c r="M55" t="str">
        <f t="shared" si="0"/>
        <v>Sem Pendência</v>
      </c>
      <c r="N55" t="str" cm="1">
        <f t="array" ref="N55">IF(AND(C55&gt;0,I55="Finalizado"),"Pendência de TACH",IF(AND(C55&gt;0,I55="Não Criado"),"Pendência de TACH",IF(AND(C55&gt;0,I55="Rascunho"),"Pendência de TACH",IF(AND(C55&gt;0,I55="NECESSÁRIO AJUSTAR"),"Pendência de TACH",IF(AND(C55&gt;0,I55="Aguardando Aprovação"),"Pendência de TACH",IF(AND(C55&gt;0,I55="Aprovado"),"Sem Pendência de TACH",IF(AND(C55&gt;0,J55="Finalizado"),"Pendência de TACH",IF(AND(C55&gt;0,J55="Não Criado"),"Pendência de TACH",IF(AND(C55&gt;0,J55="Rascunho"),"Pendência de TACH",IF(AND(C55&gt;0,J55="NECESSÁRIO AJUSTAR"),"Pendência de TACH",IF(AND(C55&gt;0,J55="Aguardando Aprovação"),"Pendência de TACH",IF(AND(C55&gt;0,J55="Aprovado"),"Sem Pendência de TACH",IF(AND(C55&gt;0,K55="Finalizado"),"Pendência de TACH",IF(AND(C55&gt;0,K55="Não Criado"),"Pendência de TACH",IF(AND(C55&gt;0,K55="Rascunho"),"Pendência de TACH",IF(AND(C55&gt;0,K55="NECESSÁRIO AJUSTAR"),"Pendência de TACH",IF(AND(C55&gt;0,K55="Aguardando Aprovação"),"Pendência de TACH",IF(AND(C55&gt;0,K55="Aprovado"),"Sem Pendência de TACH",IF(AND(C55&gt;0,KL="Finalizado"),"Pendência de TACH",IF(AND(C55&gt;0,KL="Não Criado"),"Pendência de TACH",IF(AND(C55&gt;0,KL="Rascunho"),"Pendência de TACH",IF(AND(C55&gt;0,L55="NECESSÁRIO AJUSTAR"),"Pendência de TACH",IF(AND(C55&gt;0,L55="Aguardando Aprovação"),"Pendência de TACH",IF(AND(C55&gt;0,L55="Aprovado"),"Sem Pendência de TACH"))))))))))))))))))))))))</f>
        <v>Pendência de TACH</v>
      </c>
    </row>
    <row r="56" spans="1:14">
      <c r="A56">
        <v>20852</v>
      </c>
      <c r="B56" t="s">
        <v>217</v>
      </c>
      <c r="C56" s="2">
        <v>30</v>
      </c>
      <c r="D56" s="2">
        <v>0</v>
      </c>
      <c r="E56" t="s">
        <v>6</v>
      </c>
      <c r="F56" t="s">
        <v>252</v>
      </c>
      <c r="G56" t="s">
        <v>178</v>
      </c>
      <c r="H56" t="s">
        <v>131</v>
      </c>
      <c r="J56" t="s">
        <v>131</v>
      </c>
      <c r="K56" t="s">
        <v>131</v>
      </c>
      <c r="L56" t="s">
        <v>131</v>
      </c>
      <c r="M56" t="str">
        <f t="shared" si="0"/>
        <v>Sem Pendência</v>
      </c>
      <c r="N56" t="str" cm="1">
        <f t="array" ref="N56">IF(AND(C56&gt;0,I56="Finalizado"),"Pendência de TACH",IF(AND(C56&gt;0,I56="Não Criado"),"Pendência de TACH",IF(AND(C56&gt;0,I56="Rascunho"),"Pendência de TACH",IF(AND(C56&gt;0,I56="NECESSÁRIO AJUSTAR"),"Pendência de TACH",IF(AND(C56&gt;0,I56="Aguardando Aprovação"),"Pendência de TACH",IF(AND(C56&gt;0,I56="Aprovado"),"Sem Pendência de TACH",IF(AND(C56&gt;0,J56="Finalizado"),"Pendência de TACH",IF(AND(C56&gt;0,J56="Não Criado"),"Pendência de TACH",IF(AND(C56&gt;0,J56="Rascunho"),"Pendência de TACH",IF(AND(C56&gt;0,J56="NECESSÁRIO AJUSTAR"),"Pendência de TACH",IF(AND(C56&gt;0,J56="Aguardando Aprovação"),"Pendência de TACH",IF(AND(C56&gt;0,J56="Aprovado"),"Sem Pendência de TACH",IF(AND(C56&gt;0,K56="Finalizado"),"Pendência de TACH",IF(AND(C56&gt;0,K56="Não Criado"),"Pendência de TACH",IF(AND(C56&gt;0,K56="Rascunho"),"Pendência de TACH",IF(AND(C56&gt;0,K56="NECESSÁRIO AJUSTAR"),"Pendência de TACH",IF(AND(C56&gt;0,K56="Aguardando Aprovação"),"Pendência de TACH",IF(AND(C56&gt;0,K56="Aprovado"),"Sem Pendência de TACH",IF(AND(C56&gt;0,KL="Finalizado"),"Pendência de TACH",IF(AND(C56&gt;0,KL="Não Criado"),"Pendência de TACH",IF(AND(C56&gt;0,KL="Rascunho"),"Pendência de TACH",IF(AND(C56&gt;0,L56="NECESSÁRIO AJUSTAR"),"Pendência de TACH",IF(AND(C56&gt;0,L56="Aguardando Aprovação"),"Pendência de TACH",IF(AND(C56&gt;0,L56="Aprovado"),"Sem Pendência de TACH"))))))))))))))))))))))))</f>
        <v>Pendência de TACH</v>
      </c>
    </row>
    <row r="57" spans="1:14">
      <c r="C57" s="2">
        <f>_xlfn.XLOOKUP(Table145[[#This Row],[Nome docente]],[2]GESTAO_CONTRATO!$B:$B,[2]GESTAO_CONTRATO!$AI:$AI,1,0)</f>
        <v>0</v>
      </c>
      <c r="D57" s="2"/>
    </row>
    <row r="58" spans="1:14">
      <c r="C58" s="2">
        <f>_xlfn.XLOOKUP(Table145[[#This Row],[Nome docente]],[2]GESTAO_CONTRATO!$B:$B,[2]GESTAO_CONTRATO!$AI:$AI,1,0)</f>
        <v>0</v>
      </c>
      <c r="D58" s="2"/>
    </row>
    <row r="59" spans="1:14">
      <c r="C59" s="2">
        <f>_xlfn.XLOOKUP(Table145[[#This Row],[Nome docente]],[2]GESTAO_CONTRATO!$B:$B,[2]GESTAO_CONTRATO!$AI:$AI,1,0)</f>
        <v>0</v>
      </c>
      <c r="D59" s="2"/>
    </row>
    <row r="60" spans="1:14">
      <c r="C60" s="2">
        <f>_xlfn.XLOOKUP(Table145[[#This Row],[Nome docente]],[2]GESTAO_CONTRATO!$B:$B,[2]GESTAO_CONTRATO!$AI:$AI,1,0)</f>
        <v>0</v>
      </c>
      <c r="D60" s="2"/>
    </row>
    <row r="61" spans="1:14">
      <c r="C61" s="2">
        <f>_xlfn.XLOOKUP(Table145[[#This Row],[Nome docente]],[2]GESTAO_CONTRATO!$B:$B,[2]GESTAO_CONTRATO!$AI:$AI,1,0)</f>
        <v>0</v>
      </c>
      <c r="D61" s="2"/>
    </row>
    <row r="62" spans="1:14">
      <c r="C62" s="2">
        <f>_xlfn.XLOOKUP(Table145[[#This Row],[Nome docente]],[2]GESTAO_CONTRATO!$B:$B,[2]GESTAO_CONTRATO!$AI:$AI,1,0)</f>
        <v>0</v>
      </c>
      <c r="D62" s="2"/>
    </row>
    <row r="63" spans="1:14">
      <c r="C63" s="2">
        <f>_xlfn.XLOOKUP(Table145[[#This Row],[Nome docente]],[2]GESTAO_CONTRATO!$B:$B,[2]GESTAO_CONTRATO!$AI:$AI,1,0)</f>
        <v>0</v>
      </c>
      <c r="D63" s="2"/>
    </row>
    <row r="64" spans="1:14">
      <c r="C64" s="2">
        <f>_xlfn.XLOOKUP(Table145[[#This Row],[Nome docente]],[2]GESTAO_CONTRATO!$B:$B,[2]GESTAO_CONTRATO!$AI:$AI,1,0)</f>
        <v>0</v>
      </c>
      <c r="D64" s="2"/>
    </row>
    <row r="65" spans="3:4">
      <c r="C65" s="2">
        <f>_xlfn.XLOOKUP(Table145[[#This Row],[Nome docente]],[2]GESTAO_CONTRATO!$B:$B,[2]GESTAO_CONTRATO!$AI:$AI,1,0)</f>
        <v>0</v>
      </c>
      <c r="D65" s="2"/>
    </row>
    <row r="66" spans="3:4">
      <c r="C66" s="2">
        <f>_xlfn.XLOOKUP(Table145[[#This Row],[Nome docente]],[2]GESTAO_CONTRATO!$B:$B,[2]GESTAO_CONTRATO!$AI:$AI,1,0)</f>
        <v>0</v>
      </c>
      <c r="D66" s="2"/>
    </row>
    <row r="67" spans="3:4">
      <c r="C67" s="2">
        <f>_xlfn.XLOOKUP(Table145[[#This Row],[Nome docente]],[2]GESTAO_CONTRATO!$B:$B,[2]GESTAO_CONTRATO!$AI:$AI,1,0)</f>
        <v>0</v>
      </c>
      <c r="D67" s="2"/>
    </row>
    <row r="68" spans="3:4">
      <c r="C68" s="2">
        <f>_xlfn.XLOOKUP(Table145[[#This Row],[Nome docente]],[2]GESTAO_CONTRATO!$B:$B,[2]GESTAO_CONTRATO!$AI:$AI,1,0)</f>
        <v>0</v>
      </c>
      <c r="D68" s="2"/>
    </row>
    <row r="69" spans="3:4">
      <c r="C69" s="2">
        <f>_xlfn.XLOOKUP(Table145[[#This Row],[Nome docente]],[2]GESTAO_CONTRATO!$B:$B,[2]GESTAO_CONTRATO!$AI:$AI,1,0)</f>
        <v>0</v>
      </c>
      <c r="D69" s="2"/>
    </row>
    <row r="70" spans="3:4">
      <c r="C70" s="2">
        <f>_xlfn.XLOOKUP(Table145[[#This Row],[Nome docente]],[2]GESTAO_CONTRATO!$B:$B,[2]GESTAO_CONTRATO!$AI:$AI,1,0)</f>
        <v>0</v>
      </c>
      <c r="D70" s="2"/>
    </row>
    <row r="71" spans="3:4">
      <c r="C71" s="2">
        <f>_xlfn.XLOOKUP(Table145[[#This Row],[Nome docente]],[2]GESTAO_CONTRATO!$B:$B,[2]GESTAO_CONTRATO!$AI:$AI,1,0)</f>
        <v>0</v>
      </c>
      <c r="D71" s="2"/>
    </row>
    <row r="72" spans="3:4">
      <c r="C72" s="2">
        <f>_xlfn.XLOOKUP(Table145[[#This Row],[Nome docente]],[2]GESTAO_CONTRATO!$B:$B,[2]GESTAO_CONTRATO!$AI:$AI,1,0)</f>
        <v>0</v>
      </c>
      <c r="D72" s="2"/>
    </row>
    <row r="73" spans="3:4">
      <c r="C73" s="2">
        <f>_xlfn.XLOOKUP(Table145[[#This Row],[Nome docente]],[2]GESTAO_CONTRATO!$B:$B,[2]GESTAO_CONTRATO!$AI:$AI,1,0)</f>
        <v>0</v>
      </c>
      <c r="D73" s="2"/>
    </row>
    <row r="74" spans="3:4">
      <c r="C74" s="2">
        <f>_xlfn.XLOOKUP(Table145[[#This Row],[Nome docente]],[2]GESTAO_CONTRATO!$B:$B,[2]GESTAO_CONTRATO!$AI:$AI,1,0)</f>
        <v>0</v>
      </c>
      <c r="D74" s="2"/>
    </row>
    <row r="75" spans="3:4">
      <c r="C75" s="2">
        <f>_xlfn.XLOOKUP(Table145[[#This Row],[Nome docente]],[2]GESTAO_CONTRATO!$B:$B,[2]GESTAO_CONTRATO!$AI:$AI,1,0)</f>
        <v>0</v>
      </c>
      <c r="D75" s="2"/>
    </row>
    <row r="76" spans="3:4">
      <c r="C76" s="2">
        <f>_xlfn.XLOOKUP(Table145[[#This Row],[Nome docente]],[2]GESTAO_CONTRATO!$B:$B,[2]GESTAO_CONTRATO!$AI:$AI,1,0)</f>
        <v>0</v>
      </c>
      <c r="D76" s="2"/>
    </row>
    <row r="77" spans="3:4">
      <c r="C77" s="2">
        <f>_xlfn.XLOOKUP(Table145[[#This Row],[Nome docente]],[2]GESTAO_CONTRATO!$B:$B,[2]GESTAO_CONTRATO!$AI:$AI,1,0)</f>
        <v>0</v>
      </c>
      <c r="D77" s="2"/>
    </row>
    <row r="78" spans="3:4">
      <c r="C78" s="2">
        <f>_xlfn.XLOOKUP(Table145[[#This Row],[Nome docente]],[2]GESTAO_CONTRATO!$B:$B,[2]GESTAO_CONTRATO!$AI:$AI,1,0)</f>
        <v>0</v>
      </c>
      <c r="D78" s="2"/>
    </row>
    <row r="79" spans="3:4">
      <c r="C79" s="2">
        <f>_xlfn.XLOOKUP(Table145[[#This Row],[Nome docente]],[2]GESTAO_CONTRATO!$B:$B,[2]GESTAO_CONTRATO!$AI:$AI,1,0)</f>
        <v>0</v>
      </c>
      <c r="D79" s="2"/>
    </row>
    <row r="80" spans="3:4">
      <c r="C80" s="2">
        <f>_xlfn.XLOOKUP(Table145[[#This Row],[Nome docente]],[2]GESTAO_CONTRATO!$B:$B,[2]GESTAO_CONTRATO!$AI:$AI,1,0)</f>
        <v>0</v>
      </c>
      <c r="D80" s="2"/>
    </row>
    <row r="81" spans="3:4">
      <c r="C81" s="2">
        <f>_xlfn.XLOOKUP(Table145[[#This Row],[Nome docente]],[2]GESTAO_CONTRATO!$B:$B,[2]GESTAO_CONTRATO!$AI:$AI,1,0)</f>
        <v>0</v>
      </c>
      <c r="D81" s="2"/>
    </row>
    <row r="82" spans="3:4">
      <c r="C82" s="2">
        <f>_xlfn.XLOOKUP(Table145[[#This Row],[Nome docente]],[2]GESTAO_CONTRATO!$B:$B,[2]GESTAO_CONTRATO!$AI:$AI,1,0)</f>
        <v>0</v>
      </c>
      <c r="D82" s="2"/>
    </row>
    <row r="83" spans="3:4">
      <c r="C83" s="2">
        <f>_xlfn.XLOOKUP(Table145[[#This Row],[Nome docente]],[2]GESTAO_CONTRATO!$B:$B,[2]GESTAO_CONTRATO!$AI:$AI,1,0)</f>
        <v>0</v>
      </c>
      <c r="D83" s="2"/>
    </row>
    <row r="84" spans="3:4">
      <c r="C84" s="2">
        <f>_xlfn.XLOOKUP(Table145[[#This Row],[Nome docente]],[2]GESTAO_CONTRATO!$B:$B,[2]GESTAO_CONTRATO!$AI:$AI,1,0)</f>
        <v>0</v>
      </c>
      <c r="D84" s="2"/>
    </row>
    <row r="85" spans="3:4">
      <c r="C85" s="2">
        <f>_xlfn.XLOOKUP(Table145[[#This Row],[Nome docente]],[2]GESTAO_CONTRATO!$B:$B,[2]GESTAO_CONTRATO!$AI:$AI,1,0)</f>
        <v>0</v>
      </c>
      <c r="D85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09E7-1590-4162-BDE7-18B3C0B4204E}">
  <dimension ref="A1:M72"/>
  <sheetViews>
    <sheetView zoomScale="89" workbookViewId="0">
      <selection activeCell="E12" sqref="A12:E13"/>
    </sheetView>
  </sheetViews>
  <sheetFormatPr defaultRowHeight="15"/>
  <cols>
    <col min="1" max="1" width="11.85546875" bestFit="1" customWidth="1"/>
    <col min="2" max="3" width="25.5703125" customWidth="1"/>
    <col min="4" max="4" width="10" customWidth="1"/>
    <col min="5" max="5" width="18.7109375" bestFit="1" customWidth="1"/>
    <col min="6" max="6" width="42.140625" customWidth="1"/>
    <col min="7" max="7" width="10.7109375" customWidth="1"/>
    <col min="8" max="8" width="17.140625" customWidth="1"/>
    <col min="9" max="9" width="16.5703125" customWidth="1"/>
    <col min="10" max="10" width="15.28515625" customWidth="1"/>
    <col min="11" max="11" width="14.42578125" customWidth="1"/>
    <col min="12" max="12" width="19.5703125" bestFit="1" customWidth="1"/>
    <col min="13" max="13" width="17.42578125" bestFit="1" customWidth="1"/>
  </cols>
  <sheetData>
    <row r="1" spans="1:13">
      <c r="A1" t="s">
        <v>0</v>
      </c>
      <c r="B1" t="s">
        <v>1</v>
      </c>
      <c r="C1" t="s">
        <v>77</v>
      </c>
      <c r="D1" t="s">
        <v>2</v>
      </c>
      <c r="E1" t="s">
        <v>3</v>
      </c>
      <c r="F1" t="s">
        <v>4</v>
      </c>
      <c r="G1" t="s">
        <v>78</v>
      </c>
      <c r="H1" t="s">
        <v>188</v>
      </c>
      <c r="I1" t="s">
        <v>189</v>
      </c>
      <c r="J1" t="s">
        <v>190</v>
      </c>
      <c r="K1" t="s">
        <v>191</v>
      </c>
      <c r="L1" t="s">
        <v>75</v>
      </c>
      <c r="M1" t="s">
        <v>76</v>
      </c>
    </row>
    <row r="2" spans="1:13">
      <c r="A2" s="14">
        <v>8306</v>
      </c>
      <c r="B2" s="14" t="s">
        <v>253</v>
      </c>
      <c r="C2" s="2">
        <v>2</v>
      </c>
      <c r="D2" s="14">
        <v>2</v>
      </c>
      <c r="E2" s="14" t="s">
        <v>219</v>
      </c>
      <c r="F2" s="14" t="s">
        <v>210</v>
      </c>
      <c r="G2" t="s">
        <v>163</v>
      </c>
      <c r="H2" t="s">
        <v>132</v>
      </c>
      <c r="I2" t="s">
        <v>132</v>
      </c>
      <c r="J2" t="s">
        <v>132</v>
      </c>
      <c r="K2" t="s">
        <v>132</v>
      </c>
      <c r="L2" t="str">
        <f t="shared" ref="L2:L32" si="0">IF(AND(G2="SIM",D2&gt;0),"Pendência de Agenda",IF(AND(G2="NÃO",D2=0),"Sem Pendência",IF(AND(G2="Sim",D2=0),"Sem Pendência","")))</f>
        <v>Pendência de Agenda</v>
      </c>
      <c r="M2" t="str">
        <f>IF(AND(C2&gt;0,I2="Finalizado"),"Pendência de TACH",IF(AND(C2&gt;0,I2="Não Criado"),"Pendência de TACH",IF(AND(C2&gt;0,I2="Rascunho"),"Pendência de TACH",IF(AND(C2&gt;0,I2="NECESSÁRIO AJUSTAR"),"Pendência de TACH",IF(AND(C2&gt;0,I2="Aguardando Aprovação"),"Pendência de TACH",IF(AND(C2&gt;0,I2="Aprovado"),"Sem Pendência de TACH",IF(AND(C2&gt;0,J2="Finalizado"),"Pendência de TACH",IF(AND(C2&gt;0,J2="Não Criado"),"Pendência de TACH",IF(AND(C2&gt;0,J2="Rascunho"),"Pendência de TACH",IF(AND(C2&gt;0,J2="NECESSÁRIO AJUSTAR"),"Pendência de TACH",IF(AND(C2&gt;0,J2="Aguardando Aprovação"),"Pendência de TACH",IF(AND(C2&gt;0,J2="Aprovado"),"Sem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Aprovação"),"Pendência de TACH",IF(AND(C2&gt;0,K2="Aprovado"),"Sem Pendência de TACH"))))))))))))))))))</f>
        <v>Pendência de TACH</v>
      </c>
    </row>
    <row r="3" spans="1:13">
      <c r="A3" s="15">
        <v>90009703</v>
      </c>
      <c r="B3" s="15" t="s">
        <v>254</v>
      </c>
      <c r="C3" s="2">
        <v>18</v>
      </c>
      <c r="D3" s="15">
        <v>18</v>
      </c>
      <c r="E3" s="15" t="s">
        <v>219</v>
      </c>
      <c r="F3" s="15" t="s">
        <v>123</v>
      </c>
      <c r="G3" t="s">
        <v>163</v>
      </c>
      <c r="H3" t="s">
        <v>134</v>
      </c>
      <c r="I3" t="s">
        <v>134</v>
      </c>
      <c r="J3" t="s">
        <v>134</v>
      </c>
      <c r="K3" t="s">
        <v>134</v>
      </c>
      <c r="L3" t="str">
        <f t="shared" si="0"/>
        <v>Pendência de Agenda</v>
      </c>
      <c r="M3" t="str">
        <f t="shared" ref="M3:M33" si="1">IF(AND(C3&gt;0,I3="Finalizado"),"Pendência de TACH",IF(AND(C3&gt;0,I3="Não Criado"),"Pendência de TACH",IF(AND(C3&gt;0,I3="Rascunho"),"Pendência de TACH",IF(AND(C3&gt;0,I3="NECESSÁRIO AJUSTAR"),"Pendência de TACH",IF(AND(C3&gt;0,I3="Aguardando Aprovação"),"Pendência de TACH",IF(AND(C3&gt;0,I3="Aprovado"),"Sem Pendência de TACH",IF(AND(C3&gt;0,J3="Finalizado"),"Pendência de TACH",IF(AND(C3&gt;0,J3="Não Criado"),"Pendência de TACH",IF(AND(C3&gt;0,J3="Rascunho"),"Pendência de TACH",IF(AND(C3&gt;0,J3="NECESSÁRIO AJUSTAR"),"Pendência de TACH",IF(AND(C3&gt;0,J3="Aguardando Aprovação"),"Pendência de TACH",IF(AND(C3&gt;0,J3="Aprovado"),"Sem Pendência de TACH",IF(AND(C3&gt;0,K3="Finalizado"),"Pendência de TACH",IF(AND(C3&gt;0,K3="Não Criado"),"Pendência de TACH",IF(AND(C3&gt;0,K3="Rascunho"),"Pendência de TACH",IF(AND(C3&gt;0,K3="NECESSÁRIO AJUSTAR"),"Pendência de TACH",IF(AND(C3&gt;0,K3="Aguardando Aprovação"),"Pendência de TACH",IF(AND(C3&gt;0,K3="Aprovado"),"Sem Pendência de TACH"))))))))))))))))))</f>
        <v>Pendência de TACH</v>
      </c>
    </row>
    <row r="4" spans="1:13">
      <c r="A4" s="14">
        <v>90013014</v>
      </c>
      <c r="B4" s="14" t="s">
        <v>255</v>
      </c>
      <c r="C4" s="2">
        <v>7</v>
      </c>
      <c r="D4" s="14">
        <v>7</v>
      </c>
      <c r="E4" s="14" t="s">
        <v>279</v>
      </c>
      <c r="F4" s="14" t="s">
        <v>174</v>
      </c>
      <c r="G4" t="s">
        <v>163</v>
      </c>
      <c r="H4" t="s">
        <v>133</v>
      </c>
      <c r="I4" t="s">
        <v>133</v>
      </c>
      <c r="J4" t="s">
        <v>133</v>
      </c>
      <c r="K4" t="s">
        <v>133</v>
      </c>
      <c r="L4" t="str">
        <f t="shared" si="0"/>
        <v>Pendência de Agenda</v>
      </c>
      <c r="M4" t="str">
        <f t="shared" si="1"/>
        <v>Sem Pendência de TACH</v>
      </c>
    </row>
    <row r="5" spans="1:13">
      <c r="A5" s="15">
        <v>90011695</v>
      </c>
      <c r="B5" s="15" t="s">
        <v>256</v>
      </c>
      <c r="C5" s="2">
        <v>23</v>
      </c>
      <c r="D5" s="15">
        <v>12</v>
      </c>
      <c r="E5" s="15" t="s">
        <v>279</v>
      </c>
      <c r="F5" s="15" t="s">
        <v>211</v>
      </c>
      <c r="G5" t="s">
        <v>163</v>
      </c>
      <c r="H5" t="s">
        <v>130</v>
      </c>
      <c r="I5" t="s">
        <v>130</v>
      </c>
      <c r="J5" t="s">
        <v>130</v>
      </c>
      <c r="K5" t="s">
        <v>130</v>
      </c>
      <c r="L5" t="str">
        <f t="shared" si="0"/>
        <v>Pendência de Agenda</v>
      </c>
      <c r="M5" t="str">
        <f t="shared" si="1"/>
        <v>Pendência de TACH</v>
      </c>
    </row>
    <row r="6" spans="1:13">
      <c r="A6" s="14">
        <v>90005226</v>
      </c>
      <c r="B6" s="14" t="s">
        <v>257</v>
      </c>
      <c r="C6" s="2">
        <v>14</v>
      </c>
      <c r="D6" s="14">
        <v>14</v>
      </c>
      <c r="E6" s="14" t="s">
        <v>279</v>
      </c>
      <c r="F6" s="14" t="s">
        <v>211</v>
      </c>
      <c r="G6" t="s">
        <v>163</v>
      </c>
      <c r="H6" t="s">
        <v>132</v>
      </c>
      <c r="I6" t="s">
        <v>132</v>
      </c>
      <c r="J6" t="s">
        <v>132</v>
      </c>
      <c r="K6" t="s">
        <v>132</v>
      </c>
      <c r="L6" t="str">
        <f t="shared" si="0"/>
        <v>Pendência de Agenda</v>
      </c>
      <c r="M6" t="str">
        <f t="shared" si="1"/>
        <v>Pendência de TACH</v>
      </c>
    </row>
    <row r="7" spans="1:13">
      <c r="A7" s="15">
        <v>90013955</v>
      </c>
      <c r="B7" s="15" t="s">
        <v>258</v>
      </c>
      <c r="C7" s="2">
        <v>3</v>
      </c>
      <c r="D7" s="15">
        <v>3</v>
      </c>
      <c r="E7" s="15" t="s">
        <v>219</v>
      </c>
      <c r="F7" s="15" t="s">
        <v>123</v>
      </c>
      <c r="G7" t="s">
        <v>163</v>
      </c>
      <c r="H7" t="s">
        <v>132</v>
      </c>
      <c r="I7" t="s">
        <v>132</v>
      </c>
      <c r="J7" t="s">
        <v>132</v>
      </c>
      <c r="K7" t="s">
        <v>132</v>
      </c>
      <c r="L7" t="str">
        <f t="shared" si="0"/>
        <v>Pendência de Agenda</v>
      </c>
      <c r="M7" t="str">
        <f t="shared" si="1"/>
        <v>Pendência de TACH</v>
      </c>
    </row>
    <row r="8" spans="1:13">
      <c r="A8" s="14">
        <v>26276</v>
      </c>
      <c r="B8" s="14" t="s">
        <v>259</v>
      </c>
      <c r="C8" s="2">
        <v>4</v>
      </c>
      <c r="D8" s="14">
        <v>4</v>
      </c>
      <c r="E8" s="14" t="s">
        <v>219</v>
      </c>
      <c r="F8" s="14" t="s">
        <v>125</v>
      </c>
      <c r="G8" t="s">
        <v>163</v>
      </c>
      <c r="H8" t="s">
        <v>132</v>
      </c>
      <c r="I8" t="s">
        <v>132</v>
      </c>
      <c r="J8" t="s">
        <v>132</v>
      </c>
      <c r="K8" t="s">
        <v>132</v>
      </c>
      <c r="L8" t="str">
        <f t="shared" si="0"/>
        <v>Pendência de Agenda</v>
      </c>
      <c r="M8" t="str">
        <f t="shared" si="1"/>
        <v>Pendência de TACH</v>
      </c>
    </row>
    <row r="9" spans="1:13">
      <c r="A9" s="15">
        <v>90003306</v>
      </c>
      <c r="B9" s="15" t="s">
        <v>260</v>
      </c>
      <c r="C9" s="2">
        <v>8</v>
      </c>
      <c r="D9" s="15">
        <v>8</v>
      </c>
      <c r="E9" s="15" t="s">
        <v>279</v>
      </c>
      <c r="F9" s="15" t="s">
        <v>211</v>
      </c>
      <c r="G9" t="s">
        <v>163</v>
      </c>
      <c r="H9" t="s">
        <v>132</v>
      </c>
      <c r="I9" t="s">
        <v>132</v>
      </c>
      <c r="J9" t="s">
        <v>132</v>
      </c>
      <c r="K9" t="s">
        <v>132</v>
      </c>
      <c r="L9" t="str">
        <f t="shared" si="0"/>
        <v>Pendência de Agenda</v>
      </c>
      <c r="M9" t="str">
        <f t="shared" si="1"/>
        <v>Pendência de TACH</v>
      </c>
    </row>
    <row r="10" spans="1:13">
      <c r="A10" s="14">
        <v>90013958</v>
      </c>
      <c r="B10" s="14" t="s">
        <v>261</v>
      </c>
      <c r="C10" s="2">
        <v>2</v>
      </c>
      <c r="D10" s="14">
        <v>2</v>
      </c>
      <c r="E10" s="14" t="s">
        <v>219</v>
      </c>
      <c r="F10" s="14" t="s">
        <v>125</v>
      </c>
      <c r="G10" t="s">
        <v>163</v>
      </c>
      <c r="H10" t="s">
        <v>132</v>
      </c>
      <c r="I10" t="s">
        <v>132</v>
      </c>
      <c r="J10" t="s">
        <v>132</v>
      </c>
      <c r="K10" t="s">
        <v>132</v>
      </c>
      <c r="L10" t="str">
        <f t="shared" si="0"/>
        <v>Pendência de Agenda</v>
      </c>
      <c r="M10" t="str">
        <f t="shared" si="1"/>
        <v>Pendência de TACH</v>
      </c>
    </row>
    <row r="11" spans="1:13">
      <c r="A11" s="15">
        <v>90002614</v>
      </c>
      <c r="B11" s="15" t="s">
        <v>262</v>
      </c>
      <c r="C11" s="2">
        <v>2</v>
      </c>
      <c r="D11" s="15">
        <v>2</v>
      </c>
      <c r="E11" s="15" t="s">
        <v>219</v>
      </c>
      <c r="F11" s="15" t="s">
        <v>280</v>
      </c>
      <c r="G11" t="s">
        <v>163</v>
      </c>
      <c r="H11" t="s">
        <v>133</v>
      </c>
      <c r="I11" t="s">
        <v>133</v>
      </c>
      <c r="J11" t="s">
        <v>133</v>
      </c>
      <c r="K11" t="s">
        <v>133</v>
      </c>
      <c r="L11" t="str">
        <f t="shared" si="0"/>
        <v>Pendência de Agenda</v>
      </c>
      <c r="M11" t="str">
        <f t="shared" si="1"/>
        <v>Sem Pendência de TACH</v>
      </c>
    </row>
    <row r="12" spans="1:13">
      <c r="A12" s="14">
        <v>90006746</v>
      </c>
      <c r="B12" s="14" t="s">
        <v>263</v>
      </c>
      <c r="C12" s="2">
        <v>8</v>
      </c>
      <c r="D12" s="14">
        <v>8</v>
      </c>
      <c r="E12" s="14" t="s">
        <v>219</v>
      </c>
      <c r="F12" s="14" t="s">
        <v>123</v>
      </c>
      <c r="G12" t="s">
        <v>163</v>
      </c>
      <c r="H12" t="s">
        <v>131</v>
      </c>
      <c r="I12" t="s">
        <v>131</v>
      </c>
      <c r="J12" t="s">
        <v>131</v>
      </c>
      <c r="K12" t="s">
        <v>131</v>
      </c>
      <c r="L12" t="str">
        <f t="shared" si="0"/>
        <v>Pendência de Agenda</v>
      </c>
      <c r="M12" t="str">
        <f t="shared" si="1"/>
        <v>Pendência de TACH</v>
      </c>
    </row>
    <row r="13" spans="1:13">
      <c r="A13" s="15">
        <v>90013834</v>
      </c>
      <c r="B13" s="15" t="s">
        <v>264</v>
      </c>
      <c r="C13" s="2">
        <v>1</v>
      </c>
      <c r="D13" s="15">
        <v>1</v>
      </c>
      <c r="E13" s="15" t="s">
        <v>219</v>
      </c>
      <c r="F13" s="15" t="s">
        <v>121</v>
      </c>
      <c r="G13" t="s">
        <v>163</v>
      </c>
      <c r="H13" t="s">
        <v>133</v>
      </c>
      <c r="I13" t="s">
        <v>133</v>
      </c>
      <c r="J13" t="s">
        <v>133</v>
      </c>
      <c r="K13" t="s">
        <v>133</v>
      </c>
      <c r="L13" t="str">
        <f t="shared" si="0"/>
        <v>Pendência de Agenda</v>
      </c>
      <c r="M13" t="str">
        <f t="shared" si="1"/>
        <v>Sem Pendência de TACH</v>
      </c>
    </row>
    <row r="14" spans="1:13">
      <c r="A14" s="14">
        <v>90013639</v>
      </c>
      <c r="B14" s="14" t="s">
        <v>265</v>
      </c>
      <c r="C14" s="2">
        <v>14</v>
      </c>
      <c r="D14" s="14">
        <v>14</v>
      </c>
      <c r="E14" s="14" t="s">
        <v>219</v>
      </c>
      <c r="F14" s="14" t="s">
        <v>218</v>
      </c>
      <c r="G14" t="s">
        <v>163</v>
      </c>
      <c r="H14" t="s">
        <v>133</v>
      </c>
      <c r="I14" t="s">
        <v>133</v>
      </c>
      <c r="J14" t="s">
        <v>133</v>
      </c>
      <c r="K14" t="s">
        <v>133</v>
      </c>
      <c r="L14" t="str">
        <f t="shared" si="0"/>
        <v>Pendência de Agenda</v>
      </c>
      <c r="M14" t="str">
        <f t="shared" si="1"/>
        <v>Sem Pendência de TACH</v>
      </c>
    </row>
    <row r="15" spans="1:13">
      <c r="A15" s="15">
        <v>90001409</v>
      </c>
      <c r="B15" s="15" t="s">
        <v>266</v>
      </c>
      <c r="C15" s="2">
        <v>20</v>
      </c>
      <c r="D15" s="15">
        <v>20</v>
      </c>
      <c r="E15" s="15" t="s">
        <v>279</v>
      </c>
      <c r="F15" s="15" t="s">
        <v>211</v>
      </c>
      <c r="G15" t="s">
        <v>163</v>
      </c>
      <c r="H15" t="s">
        <v>132</v>
      </c>
      <c r="I15" t="s">
        <v>132</v>
      </c>
      <c r="J15" t="s">
        <v>132</v>
      </c>
      <c r="K15" t="s">
        <v>132</v>
      </c>
      <c r="L15" t="str">
        <f t="shared" si="0"/>
        <v>Pendência de Agenda</v>
      </c>
      <c r="M15" t="str">
        <f t="shared" si="1"/>
        <v>Pendência de TACH</v>
      </c>
    </row>
    <row r="16" spans="1:13">
      <c r="A16" s="14">
        <v>90009989</v>
      </c>
      <c r="B16" s="14" t="s">
        <v>267</v>
      </c>
      <c r="C16" s="2">
        <v>2</v>
      </c>
      <c r="D16" s="14">
        <v>2</v>
      </c>
      <c r="E16" s="14" t="s">
        <v>219</v>
      </c>
      <c r="F16" s="14" t="s">
        <v>213</v>
      </c>
      <c r="G16" t="s">
        <v>163</v>
      </c>
      <c r="H16" t="s">
        <v>133</v>
      </c>
      <c r="I16" t="s">
        <v>133</v>
      </c>
      <c r="J16" t="s">
        <v>133</v>
      </c>
      <c r="K16" t="s">
        <v>133</v>
      </c>
      <c r="L16" t="str">
        <f t="shared" si="0"/>
        <v>Pendência de Agenda</v>
      </c>
      <c r="M16" t="str">
        <f t="shared" si="1"/>
        <v>Sem Pendência de TACH</v>
      </c>
    </row>
    <row r="17" spans="1:13">
      <c r="A17" s="15">
        <v>90012360</v>
      </c>
      <c r="B17" s="15" t="s">
        <v>268</v>
      </c>
      <c r="C17" s="2">
        <v>16</v>
      </c>
      <c r="D17" s="15">
        <v>16</v>
      </c>
      <c r="E17" s="15" t="s">
        <v>203</v>
      </c>
      <c r="F17" s="15" t="s">
        <v>74</v>
      </c>
      <c r="G17" t="s">
        <v>163</v>
      </c>
      <c r="H17" t="s">
        <v>132</v>
      </c>
      <c r="I17" t="s">
        <v>132</v>
      </c>
      <c r="J17" t="s">
        <v>132</v>
      </c>
      <c r="K17" t="s">
        <v>132</v>
      </c>
      <c r="L17" t="str">
        <f t="shared" si="0"/>
        <v>Pendência de Agenda</v>
      </c>
      <c r="M17" t="str">
        <f t="shared" si="1"/>
        <v>Pendência de TACH</v>
      </c>
    </row>
    <row r="18" spans="1:13">
      <c r="A18" s="14">
        <v>6792</v>
      </c>
      <c r="B18" s="14" t="s">
        <v>269</v>
      </c>
      <c r="C18" s="2">
        <v>4</v>
      </c>
      <c r="D18" s="14">
        <v>4</v>
      </c>
      <c r="E18" s="14" t="s">
        <v>219</v>
      </c>
      <c r="F18" s="14" t="s">
        <v>210</v>
      </c>
      <c r="G18" t="s">
        <v>163</v>
      </c>
      <c r="H18" t="s">
        <v>133</v>
      </c>
      <c r="I18" t="s">
        <v>133</v>
      </c>
      <c r="J18" t="s">
        <v>133</v>
      </c>
      <c r="K18" t="s">
        <v>133</v>
      </c>
      <c r="L18" t="str">
        <f t="shared" si="0"/>
        <v>Pendência de Agenda</v>
      </c>
      <c r="M18" t="str">
        <f t="shared" si="1"/>
        <v>Sem Pendência de TACH</v>
      </c>
    </row>
    <row r="19" spans="1:13">
      <c r="A19" s="15">
        <v>90004950</v>
      </c>
      <c r="B19" s="15" t="s">
        <v>270</v>
      </c>
      <c r="C19" s="2">
        <v>5</v>
      </c>
      <c r="D19" s="15">
        <v>5</v>
      </c>
      <c r="E19" s="15" t="s">
        <v>219</v>
      </c>
      <c r="F19" s="15" t="s">
        <v>123</v>
      </c>
      <c r="G19" t="s">
        <v>163</v>
      </c>
      <c r="H19" t="s">
        <v>134</v>
      </c>
      <c r="I19" t="s">
        <v>134</v>
      </c>
      <c r="J19" t="s">
        <v>134</v>
      </c>
      <c r="K19" t="s">
        <v>134</v>
      </c>
      <c r="L19" t="str">
        <f t="shared" si="0"/>
        <v>Pendência de Agenda</v>
      </c>
      <c r="M19" t="str">
        <f t="shared" si="1"/>
        <v>Pendência de TACH</v>
      </c>
    </row>
    <row r="20" spans="1:13">
      <c r="A20" s="14">
        <v>90010258</v>
      </c>
      <c r="B20" s="14" t="s">
        <v>271</v>
      </c>
      <c r="C20" s="2">
        <v>12</v>
      </c>
      <c r="D20" s="14">
        <v>12</v>
      </c>
      <c r="E20" s="14" t="s">
        <v>219</v>
      </c>
      <c r="F20" s="14" t="s">
        <v>121</v>
      </c>
      <c r="G20" t="s">
        <v>163</v>
      </c>
      <c r="H20" t="s">
        <v>132</v>
      </c>
      <c r="I20" t="s">
        <v>132</v>
      </c>
      <c r="J20" t="s">
        <v>132</v>
      </c>
      <c r="K20" t="s">
        <v>132</v>
      </c>
      <c r="L20" t="str">
        <f t="shared" si="0"/>
        <v>Pendência de Agenda</v>
      </c>
      <c r="M20" t="str">
        <f t="shared" si="1"/>
        <v>Pendência de TACH</v>
      </c>
    </row>
    <row r="21" spans="1:13">
      <c r="A21" s="15">
        <v>3363</v>
      </c>
      <c r="B21" s="15" t="s">
        <v>272</v>
      </c>
      <c r="C21" s="2">
        <v>4</v>
      </c>
      <c r="D21" s="15">
        <v>4</v>
      </c>
      <c r="E21" s="15" t="s">
        <v>219</v>
      </c>
      <c r="F21" s="15" t="s">
        <v>210</v>
      </c>
      <c r="G21" t="s">
        <v>163</v>
      </c>
      <c r="H21" t="s">
        <v>131</v>
      </c>
      <c r="I21" t="s">
        <v>131</v>
      </c>
      <c r="J21" t="s">
        <v>131</v>
      </c>
      <c r="K21" t="s">
        <v>131</v>
      </c>
      <c r="L21" t="str">
        <f t="shared" si="0"/>
        <v>Pendência de Agenda</v>
      </c>
      <c r="M21" t="str">
        <f t="shared" si="1"/>
        <v>Pendência de TACH</v>
      </c>
    </row>
    <row r="22" spans="1:13">
      <c r="A22" s="14">
        <v>90006940</v>
      </c>
      <c r="B22" s="14" t="s">
        <v>273</v>
      </c>
      <c r="C22" s="2">
        <v>18</v>
      </c>
      <c r="D22" s="14">
        <v>6</v>
      </c>
      <c r="E22" s="14" t="s">
        <v>219</v>
      </c>
      <c r="F22" s="14" t="s">
        <v>175</v>
      </c>
      <c r="G22" t="s">
        <v>163</v>
      </c>
      <c r="H22" t="s">
        <v>133</v>
      </c>
      <c r="I22" t="s">
        <v>133</v>
      </c>
      <c r="J22" t="s">
        <v>133</v>
      </c>
      <c r="K22" t="s">
        <v>133</v>
      </c>
      <c r="L22" t="str">
        <f t="shared" si="0"/>
        <v>Pendência de Agenda</v>
      </c>
      <c r="M22" t="str">
        <f t="shared" si="1"/>
        <v>Sem Pendência de TACH</v>
      </c>
    </row>
    <row r="23" spans="1:13">
      <c r="A23" s="15">
        <v>90013729</v>
      </c>
      <c r="B23" s="15" t="s">
        <v>274</v>
      </c>
      <c r="C23" s="2">
        <v>7</v>
      </c>
      <c r="D23" s="15">
        <v>7</v>
      </c>
      <c r="E23" s="15" t="s">
        <v>203</v>
      </c>
      <c r="F23" s="15" t="s">
        <v>74</v>
      </c>
      <c r="G23" t="s">
        <v>163</v>
      </c>
      <c r="H23" t="s">
        <v>133</v>
      </c>
      <c r="I23" t="s">
        <v>133</v>
      </c>
      <c r="J23" t="s">
        <v>133</v>
      </c>
      <c r="K23" t="s">
        <v>133</v>
      </c>
      <c r="L23" t="str">
        <f t="shared" si="0"/>
        <v>Pendência de Agenda</v>
      </c>
      <c r="M23" t="str">
        <f t="shared" si="1"/>
        <v>Sem Pendência de TACH</v>
      </c>
    </row>
    <row r="24" spans="1:13">
      <c r="A24" s="14">
        <v>90010292</v>
      </c>
      <c r="B24" s="14" t="s">
        <v>275</v>
      </c>
      <c r="C24" s="2">
        <v>8</v>
      </c>
      <c r="D24" s="14">
        <v>8</v>
      </c>
      <c r="E24" s="14" t="s">
        <v>279</v>
      </c>
      <c r="F24" s="14" t="s">
        <v>211</v>
      </c>
      <c r="G24" t="s">
        <v>163</v>
      </c>
      <c r="H24" t="s">
        <v>132</v>
      </c>
      <c r="I24" t="s">
        <v>132</v>
      </c>
      <c r="J24" t="s">
        <v>132</v>
      </c>
      <c r="K24" t="s">
        <v>132</v>
      </c>
      <c r="L24" t="str">
        <f t="shared" si="0"/>
        <v>Pendência de Agenda</v>
      </c>
      <c r="M24" t="str">
        <f t="shared" si="1"/>
        <v>Pendência de TACH</v>
      </c>
    </row>
    <row r="25" spans="1:13">
      <c r="A25" s="15">
        <v>31303</v>
      </c>
      <c r="B25" s="15" t="s">
        <v>276</v>
      </c>
      <c r="C25" s="2">
        <v>28</v>
      </c>
      <c r="D25" s="15">
        <v>28</v>
      </c>
      <c r="E25" s="15" t="s">
        <v>279</v>
      </c>
      <c r="F25" s="15" t="s">
        <v>211</v>
      </c>
      <c r="G25" t="s">
        <v>163</v>
      </c>
      <c r="H25" t="s">
        <v>132</v>
      </c>
      <c r="I25" t="s">
        <v>132</v>
      </c>
      <c r="J25" t="s">
        <v>132</v>
      </c>
      <c r="K25" t="s">
        <v>132</v>
      </c>
      <c r="L25" t="str">
        <f t="shared" si="0"/>
        <v>Pendência de Agenda</v>
      </c>
      <c r="M25" t="str">
        <f t="shared" si="1"/>
        <v>Pendência de TACH</v>
      </c>
    </row>
    <row r="26" spans="1:13">
      <c r="A26" s="14">
        <v>4178</v>
      </c>
      <c r="B26" s="14" t="s">
        <v>277</v>
      </c>
      <c r="C26" s="2">
        <v>4</v>
      </c>
      <c r="D26" s="14">
        <v>4</v>
      </c>
      <c r="E26" s="14" t="s">
        <v>219</v>
      </c>
      <c r="F26" s="14" t="s">
        <v>210</v>
      </c>
      <c r="G26" t="s">
        <v>163</v>
      </c>
      <c r="H26" t="s">
        <v>131</v>
      </c>
      <c r="I26" t="s">
        <v>131</v>
      </c>
      <c r="J26" t="s">
        <v>131</v>
      </c>
      <c r="K26" t="s">
        <v>131</v>
      </c>
      <c r="L26" t="str">
        <f t="shared" si="0"/>
        <v>Pendência de Agenda</v>
      </c>
      <c r="M26" t="str">
        <f t="shared" si="1"/>
        <v>Pendência de TACH</v>
      </c>
    </row>
    <row r="27" spans="1:13">
      <c r="A27" s="15">
        <v>90013875</v>
      </c>
      <c r="B27" s="15" t="s">
        <v>278</v>
      </c>
      <c r="C27" s="2">
        <v>4</v>
      </c>
      <c r="D27" s="15">
        <v>2</v>
      </c>
      <c r="E27" s="15" t="s">
        <v>219</v>
      </c>
      <c r="F27" s="15" t="s">
        <v>127</v>
      </c>
      <c r="G27" t="s">
        <v>163</v>
      </c>
      <c r="H27" t="s">
        <v>133</v>
      </c>
      <c r="I27" t="s">
        <v>133</v>
      </c>
      <c r="J27" t="s">
        <v>133</v>
      </c>
      <c r="K27" t="s">
        <v>133</v>
      </c>
      <c r="L27" t="str">
        <f t="shared" si="0"/>
        <v>Pendência de Agenda</v>
      </c>
      <c r="M27" t="str">
        <f t="shared" si="1"/>
        <v>Sem Pendência de TACH</v>
      </c>
    </row>
    <row r="28" spans="1:13">
      <c r="A28">
        <v>21611</v>
      </c>
      <c r="B28" t="s">
        <v>240</v>
      </c>
      <c r="C28" s="2">
        <v>10</v>
      </c>
      <c r="D28" s="2">
        <v>0</v>
      </c>
      <c r="E28" s="15" t="s">
        <v>219</v>
      </c>
      <c r="F28" t="s">
        <v>281</v>
      </c>
      <c r="G28" t="s">
        <v>163</v>
      </c>
      <c r="H28" t="s">
        <v>131</v>
      </c>
      <c r="I28" t="s">
        <v>131</v>
      </c>
      <c r="J28" t="s">
        <v>131</v>
      </c>
      <c r="K28" t="s">
        <v>133</v>
      </c>
      <c r="L28" t="str">
        <f t="shared" si="0"/>
        <v>Sem Pendência</v>
      </c>
      <c r="M28" t="str">
        <f t="shared" si="1"/>
        <v>Pendência de TACH</v>
      </c>
    </row>
    <row r="29" spans="1:13">
      <c r="A29">
        <v>90014085</v>
      </c>
      <c r="B29" t="s">
        <v>194</v>
      </c>
      <c r="C29" s="2">
        <v>40</v>
      </c>
      <c r="D29" s="2">
        <v>0</v>
      </c>
      <c r="E29" s="15" t="s">
        <v>219</v>
      </c>
      <c r="F29" t="s">
        <v>127</v>
      </c>
      <c r="G29" t="s">
        <v>178</v>
      </c>
      <c r="H29" t="s">
        <v>131</v>
      </c>
      <c r="I29" t="s">
        <v>131</v>
      </c>
      <c r="J29" t="s">
        <v>131</v>
      </c>
      <c r="K29" t="s">
        <v>131</v>
      </c>
      <c r="L29" t="str">
        <f t="shared" si="0"/>
        <v>Sem Pendência</v>
      </c>
      <c r="M29" t="str">
        <f t="shared" si="1"/>
        <v>Pendência de TACH</v>
      </c>
    </row>
    <row r="30" spans="1:13">
      <c r="A30" s="1"/>
      <c r="C30" s="2">
        <f>_xlfn.XLOOKUP(Table1456[[#This Row],[Nome docente]],[3]GESTAO_CONTRATO!$B:$B,[3]GESTAO_CONTRATO!$AI:$AI,1,0)</f>
        <v>0</v>
      </c>
      <c r="D30" s="2"/>
      <c r="H30">
        <f>_xlfn.XLOOKUP(Table1456[[#This Row],[Nome docente]],'[4]5ª semana'!$B:$B,'[4]5ª semana'!$E:$E,1,0)</f>
        <v>0</v>
      </c>
      <c r="I30">
        <f>_xlfn.XLOOKUP(Table1456[[#This Row],[Nome docente]],'[4]5ª semana'!$B:$B,'[4]5ª semana'!$F:$F,1,0)</f>
        <v>0</v>
      </c>
      <c r="J30">
        <f>_xlfn.XLOOKUP(Table1456[[#This Row],[Nome docente]],'[4]5ª semana'!$B:$B,'[4]5ª semana'!$G:$G,1,0)</f>
        <v>0</v>
      </c>
      <c r="K30">
        <f>_xlfn.XLOOKUP(Table1456[[#This Row],[Nome docente]],'[4]5ª semana'!$B:$B,'[4]5ª semana'!$H:$H,1,0)</f>
        <v>0</v>
      </c>
      <c r="L30" t="str">
        <f t="shared" si="0"/>
        <v/>
      </c>
      <c r="M30" t="b">
        <f t="shared" si="1"/>
        <v>0</v>
      </c>
    </row>
    <row r="31" spans="1:13">
      <c r="A31" s="1"/>
      <c r="C31" s="2">
        <f>_xlfn.XLOOKUP(Table1456[[#This Row],[Nome docente]],[3]GESTAO_CONTRATO!$B:$B,[3]GESTAO_CONTRATO!$AI:$AI,1,0)</f>
        <v>0</v>
      </c>
      <c r="D31" s="2"/>
      <c r="H31">
        <f>_xlfn.XLOOKUP(Table1456[[#This Row],[Nome docente]],'[4]5ª semana'!$B:$B,'[4]5ª semana'!$E:$E,1,0)</f>
        <v>0</v>
      </c>
      <c r="I31">
        <f>_xlfn.XLOOKUP(Table1456[[#This Row],[Nome docente]],'[4]5ª semana'!$B:$B,'[4]5ª semana'!$F:$F,1,0)</f>
        <v>0</v>
      </c>
      <c r="J31">
        <f>_xlfn.XLOOKUP(Table1456[[#This Row],[Nome docente]],'[4]5ª semana'!$B:$B,'[4]5ª semana'!$G:$G,1,0)</f>
        <v>0</v>
      </c>
      <c r="K31">
        <f>_xlfn.XLOOKUP(Table1456[[#This Row],[Nome docente]],'[4]5ª semana'!$B:$B,'[4]5ª semana'!$H:$H,1,0)</f>
        <v>0</v>
      </c>
      <c r="L31" t="str">
        <f t="shared" si="0"/>
        <v/>
      </c>
      <c r="M31" t="b">
        <f t="shared" si="1"/>
        <v>0</v>
      </c>
    </row>
    <row r="32" spans="1:13">
      <c r="A32" s="1"/>
      <c r="C32" s="2">
        <f>_xlfn.XLOOKUP(Table1456[[#This Row],[Nome docente]],[3]GESTAO_CONTRATO!$B:$B,[3]GESTAO_CONTRATO!$AI:$AI,1,0)</f>
        <v>0</v>
      </c>
      <c r="D32" s="2"/>
      <c r="H32">
        <f>_xlfn.XLOOKUP(Table1456[[#This Row],[Nome docente]],'[4]5ª semana'!$B:$B,'[4]5ª semana'!$E:$E,1,0)</f>
        <v>0</v>
      </c>
      <c r="I32">
        <f>_xlfn.XLOOKUP(Table1456[[#This Row],[Nome docente]],'[4]5ª semana'!$B:$B,'[4]5ª semana'!$F:$F,1,0)</f>
        <v>0</v>
      </c>
      <c r="J32">
        <f>_xlfn.XLOOKUP(Table1456[[#This Row],[Nome docente]],'[4]5ª semana'!$B:$B,'[4]5ª semana'!$G:$G,1,0)</f>
        <v>0</v>
      </c>
      <c r="K32">
        <f>_xlfn.XLOOKUP(Table1456[[#This Row],[Nome docente]],'[4]5ª semana'!$B:$B,'[4]5ª semana'!$H:$H,1,0)</f>
        <v>0</v>
      </c>
      <c r="L32" t="str">
        <f t="shared" si="0"/>
        <v/>
      </c>
      <c r="M32" t="b">
        <f t="shared" si="1"/>
        <v>0</v>
      </c>
    </row>
    <row r="33" spans="1:13">
      <c r="A33" s="1"/>
      <c r="C33" s="2">
        <f>_xlfn.XLOOKUP(Table1456[[#This Row],[Nome docente]],[3]GESTAO_CONTRATO!$B:$B,[3]GESTAO_CONTRATO!$AI:$AI,1,0)</f>
        <v>0</v>
      </c>
      <c r="D33" s="2"/>
      <c r="H33">
        <f>_xlfn.XLOOKUP(Table1456[[#This Row],[Nome docente]],'[4]5ª semana'!$B:$B,'[4]5ª semana'!$E:$E,1,0)</f>
        <v>0</v>
      </c>
      <c r="I33">
        <f>_xlfn.XLOOKUP(Table1456[[#This Row],[Nome docente]],'[4]5ª semana'!$B:$B,'[4]5ª semana'!$F:$F,1,0)</f>
        <v>0</v>
      </c>
      <c r="J33">
        <f>_xlfn.XLOOKUP(Table1456[[#This Row],[Nome docente]],'[4]5ª semana'!$B:$B,'[4]5ª semana'!$G:$G,1,0)</f>
        <v>0</v>
      </c>
      <c r="K33">
        <f>_xlfn.XLOOKUP(Table1456[[#This Row],[Nome docente]],'[4]5ª semana'!$B:$B,'[4]5ª semana'!$H:$H,1,0)</f>
        <v>0</v>
      </c>
      <c r="L33" t="str">
        <f t="shared" ref="L33:L72" si="2">IF(AND(G33="SIM",D33&gt;0),"Pendência de Agenda",IF(AND(G33="NÃO",D33=0),"Sem Pendência",IF(AND(G33="Sim",D33=0),"Sem Pendência","")))</f>
        <v/>
      </c>
      <c r="M33" t="b">
        <f t="shared" si="1"/>
        <v>0</v>
      </c>
    </row>
    <row r="34" spans="1:13">
      <c r="A34" s="1"/>
      <c r="C34" s="2">
        <f>_xlfn.XLOOKUP(Table1456[[#This Row],[Nome docente]],[3]GESTAO_CONTRATO!$B:$B,[3]GESTAO_CONTRATO!$AI:$AI,1,0)</f>
        <v>0</v>
      </c>
      <c r="D34" s="2"/>
      <c r="H34">
        <f>_xlfn.XLOOKUP(Table1456[[#This Row],[Nome docente]],'[4]5ª semana'!$B:$B,'[4]5ª semana'!$E:$E,1,0)</f>
        <v>0</v>
      </c>
      <c r="I34">
        <f>_xlfn.XLOOKUP(Table1456[[#This Row],[Nome docente]],'[4]5ª semana'!$B:$B,'[4]5ª semana'!$F:$F,1,0)</f>
        <v>0</v>
      </c>
      <c r="J34">
        <f>_xlfn.XLOOKUP(Table1456[[#This Row],[Nome docente]],'[4]5ª semana'!$B:$B,'[4]5ª semana'!$G:$G,1,0)</f>
        <v>0</v>
      </c>
      <c r="K34">
        <f>_xlfn.XLOOKUP(Table1456[[#This Row],[Nome docente]],'[4]5ª semana'!$B:$B,'[4]5ª semana'!$H:$H,1,0)</f>
        <v>0</v>
      </c>
      <c r="L34" t="str">
        <f t="shared" si="2"/>
        <v/>
      </c>
      <c r="M34" t="b">
        <f t="shared" ref="M34:M72" si="3">IF(AND(C34&gt;0,I34="Finalizado"),"Pendência de TACH",IF(AND(C34&gt;0,I34="Não Criado"),"Pendência de TACH",IF(AND(C34&gt;0,I34="Rascunho"),"Pendência de TACH",IF(AND(C34&gt;0,I34="NECESSÁRIO AJUSTAR"),"Pendência de TACH",IF(AND(C34&gt;0,I34="Aguardando Aprovação"),"Pendência de TACH",IF(AND(C34&gt;0,I34="Aprovado"),"Sem Pendência de TACH",IF(AND(C34&gt;0,J34="Finalizado"),"Pendência de TACH",IF(AND(C34&gt;0,J34="Não Criado"),"Pendência de TACH",IF(AND(C34&gt;0,J34="Rascunho"),"Pendência de TACH",IF(AND(C34&gt;0,J34="NECESSÁRIO AJUSTAR"),"Pendência de TACH",IF(AND(C34&gt;0,J34="Aguardando Aprovação"),"Pendência de TACH",IF(AND(C34&gt;0,J34="Aprovado"),"Sem Pendência de TACH",IF(AND(C34&gt;0,K34="Finalizado"),"Pendência de TACH",IF(AND(C34&gt;0,K34="Não Criado"),"Pendência de TACH",IF(AND(C34&gt;0,K34="Rascunho"),"Pendência de TACH",IF(AND(C34&gt;0,K34="NECESSÁRIO AJUSTAR"),"Pendência de TACH",IF(AND(C34&gt;0,K34="Aguardando Aprovação"),"Pendência de TACH",IF(AND(C34&gt;0,K34="Aprovado"),"Sem Pendência de TACH"))))))))))))))))))</f>
        <v>0</v>
      </c>
    </row>
    <row r="35" spans="1:13">
      <c r="A35" s="1"/>
      <c r="C35" s="2">
        <f>_xlfn.XLOOKUP(Table1456[[#This Row],[Nome docente]],[3]GESTAO_CONTRATO!$B:$B,[3]GESTAO_CONTRATO!$AI:$AI,1,0)</f>
        <v>0</v>
      </c>
      <c r="D35" s="2"/>
      <c r="H35">
        <f>_xlfn.XLOOKUP(Table1456[[#This Row],[Nome docente]],'[4]5ª semana'!$B:$B,'[4]5ª semana'!$E:$E,1,0)</f>
        <v>0</v>
      </c>
      <c r="I35">
        <f>_xlfn.XLOOKUP(Table1456[[#This Row],[Nome docente]],'[4]5ª semana'!$B:$B,'[4]5ª semana'!$F:$F,1,0)</f>
        <v>0</v>
      </c>
      <c r="J35">
        <f>_xlfn.XLOOKUP(Table1456[[#This Row],[Nome docente]],'[4]5ª semana'!$B:$B,'[4]5ª semana'!$G:$G,1,0)</f>
        <v>0</v>
      </c>
      <c r="K35">
        <f>_xlfn.XLOOKUP(Table1456[[#This Row],[Nome docente]],'[4]5ª semana'!$B:$B,'[4]5ª semana'!$H:$H,1,0)</f>
        <v>0</v>
      </c>
      <c r="L35" t="str">
        <f t="shared" si="2"/>
        <v/>
      </c>
      <c r="M35" t="b">
        <f t="shared" si="3"/>
        <v>0</v>
      </c>
    </row>
    <row r="36" spans="1:13">
      <c r="A36" s="1"/>
      <c r="C36" s="2">
        <f>_xlfn.XLOOKUP(Table1456[[#This Row],[Nome docente]],[3]GESTAO_CONTRATO!$B:$B,[3]GESTAO_CONTRATO!$AI:$AI,1,0)</f>
        <v>0</v>
      </c>
      <c r="D36" s="2"/>
      <c r="H36">
        <f>_xlfn.XLOOKUP(Table1456[[#This Row],[Nome docente]],'[4]5ª semana'!$B:$B,'[4]5ª semana'!$E:$E,1,0)</f>
        <v>0</v>
      </c>
      <c r="I36">
        <f>_xlfn.XLOOKUP(Table1456[[#This Row],[Nome docente]],'[4]5ª semana'!$B:$B,'[4]5ª semana'!$F:$F,1,0)</f>
        <v>0</v>
      </c>
      <c r="J36">
        <f>_xlfn.XLOOKUP(Table1456[[#This Row],[Nome docente]],'[4]5ª semana'!$B:$B,'[4]5ª semana'!$G:$G,1,0)</f>
        <v>0</v>
      </c>
      <c r="K36">
        <f>_xlfn.XLOOKUP(Table1456[[#This Row],[Nome docente]],'[4]5ª semana'!$B:$B,'[4]5ª semana'!$H:$H,1,0)</f>
        <v>0</v>
      </c>
      <c r="L36" t="str">
        <f t="shared" si="2"/>
        <v/>
      </c>
      <c r="M36" t="b">
        <f t="shared" si="3"/>
        <v>0</v>
      </c>
    </row>
    <row r="37" spans="1:13">
      <c r="A37" s="1"/>
      <c r="C37" s="2">
        <f>_xlfn.XLOOKUP(Table1456[[#This Row],[Nome docente]],[3]GESTAO_CONTRATO!$B:$B,[3]GESTAO_CONTRATO!$AI:$AI,1,0)</f>
        <v>0</v>
      </c>
      <c r="D37" s="2"/>
      <c r="H37">
        <f>_xlfn.XLOOKUP(Table1456[[#This Row],[Nome docente]],'[4]5ª semana'!$B:$B,'[4]5ª semana'!$E:$E,1,0)</f>
        <v>0</v>
      </c>
      <c r="I37">
        <f>_xlfn.XLOOKUP(Table1456[[#This Row],[Nome docente]],'[4]5ª semana'!$B:$B,'[4]5ª semana'!$F:$F,1,0)</f>
        <v>0</v>
      </c>
      <c r="J37">
        <f>_xlfn.XLOOKUP(Table1456[[#This Row],[Nome docente]],'[4]5ª semana'!$B:$B,'[4]5ª semana'!$G:$G,1,0)</f>
        <v>0</v>
      </c>
      <c r="K37">
        <f>_xlfn.XLOOKUP(Table1456[[#This Row],[Nome docente]],'[4]5ª semana'!$B:$B,'[4]5ª semana'!$H:$H,1,0)</f>
        <v>0</v>
      </c>
      <c r="L37" t="str">
        <f t="shared" si="2"/>
        <v/>
      </c>
      <c r="M37" t="b">
        <f t="shared" si="3"/>
        <v>0</v>
      </c>
    </row>
    <row r="38" spans="1:13">
      <c r="A38" s="1"/>
      <c r="C38" s="2">
        <f>_xlfn.XLOOKUP(Table1456[[#This Row],[Nome docente]],[3]GESTAO_CONTRATO!$B:$B,[3]GESTAO_CONTRATO!$AI:$AI,1,0)</f>
        <v>0</v>
      </c>
      <c r="D38" s="2"/>
      <c r="H38">
        <f>_xlfn.XLOOKUP(Table1456[[#This Row],[Nome docente]],'[4]5ª semana'!$B:$B,'[4]5ª semana'!$E:$E,1,0)</f>
        <v>0</v>
      </c>
      <c r="I38">
        <f>_xlfn.XLOOKUP(Table1456[[#This Row],[Nome docente]],'[4]5ª semana'!$B:$B,'[4]5ª semana'!$F:$F,1,0)</f>
        <v>0</v>
      </c>
      <c r="J38">
        <f>_xlfn.XLOOKUP(Table1456[[#This Row],[Nome docente]],'[4]5ª semana'!$B:$B,'[4]5ª semana'!$G:$G,1,0)</f>
        <v>0</v>
      </c>
      <c r="K38">
        <f>_xlfn.XLOOKUP(Table1456[[#This Row],[Nome docente]],'[4]5ª semana'!$B:$B,'[4]5ª semana'!$H:$H,1,0)</f>
        <v>0</v>
      </c>
      <c r="L38" t="str">
        <f t="shared" si="2"/>
        <v/>
      </c>
      <c r="M38" t="b">
        <f t="shared" si="3"/>
        <v>0</v>
      </c>
    </row>
    <row r="39" spans="1:13">
      <c r="A39" s="1"/>
      <c r="C39" s="2">
        <f>_xlfn.XLOOKUP(Table1456[[#This Row],[Nome docente]],[3]GESTAO_CONTRATO!$B:$B,[3]GESTAO_CONTRATO!$AI:$AI,1,0)</f>
        <v>0</v>
      </c>
      <c r="D39" s="2"/>
      <c r="H39">
        <f>_xlfn.XLOOKUP(Table1456[[#This Row],[Nome docente]],'[4]5ª semana'!$B:$B,'[4]5ª semana'!$E:$E,1,0)</f>
        <v>0</v>
      </c>
      <c r="I39">
        <f>_xlfn.XLOOKUP(Table1456[[#This Row],[Nome docente]],'[4]5ª semana'!$B:$B,'[4]5ª semana'!$F:$F,1,0)</f>
        <v>0</v>
      </c>
      <c r="J39">
        <f>_xlfn.XLOOKUP(Table1456[[#This Row],[Nome docente]],'[4]5ª semana'!$B:$B,'[4]5ª semana'!$G:$G,1,0)</f>
        <v>0</v>
      </c>
      <c r="K39">
        <f>_xlfn.XLOOKUP(Table1456[[#This Row],[Nome docente]],'[4]5ª semana'!$B:$B,'[4]5ª semana'!$H:$H,1,0)</f>
        <v>0</v>
      </c>
      <c r="L39" t="str">
        <f t="shared" si="2"/>
        <v/>
      </c>
      <c r="M39" t="b">
        <f t="shared" si="3"/>
        <v>0</v>
      </c>
    </row>
    <row r="40" spans="1:13">
      <c r="A40" s="1"/>
      <c r="C40" s="2">
        <f>_xlfn.XLOOKUP(Table1456[[#This Row],[Nome docente]],[3]GESTAO_CONTRATO!$B:$B,[3]GESTAO_CONTRATO!$AI:$AI,1,0)</f>
        <v>0</v>
      </c>
      <c r="D40" s="2"/>
      <c r="H40">
        <f>_xlfn.XLOOKUP(Table1456[[#This Row],[Nome docente]],'[4]5ª semana'!$B:$B,'[4]5ª semana'!$E:$E,1,0)</f>
        <v>0</v>
      </c>
      <c r="I40">
        <f>_xlfn.XLOOKUP(Table1456[[#This Row],[Nome docente]],'[4]5ª semana'!$B:$B,'[4]5ª semana'!$F:$F,1,0)</f>
        <v>0</v>
      </c>
      <c r="J40">
        <f>_xlfn.XLOOKUP(Table1456[[#This Row],[Nome docente]],'[4]5ª semana'!$B:$B,'[4]5ª semana'!$G:$G,1,0)</f>
        <v>0</v>
      </c>
      <c r="K40">
        <f>_xlfn.XLOOKUP(Table1456[[#This Row],[Nome docente]],'[4]5ª semana'!$B:$B,'[4]5ª semana'!$H:$H,1,0)</f>
        <v>0</v>
      </c>
      <c r="L40" t="str">
        <f t="shared" si="2"/>
        <v/>
      </c>
      <c r="M40" t="b">
        <f t="shared" si="3"/>
        <v>0</v>
      </c>
    </row>
    <row r="41" spans="1:13">
      <c r="A41" s="1"/>
      <c r="C41" s="2">
        <f>_xlfn.XLOOKUP(Table1456[[#This Row],[Nome docente]],[3]GESTAO_CONTRATO!$B:$B,[3]GESTAO_CONTRATO!$AI:$AI,1,0)</f>
        <v>0</v>
      </c>
      <c r="D41" s="2"/>
      <c r="H41">
        <f>_xlfn.XLOOKUP(Table1456[[#This Row],[Nome docente]],'[4]5ª semana'!$B:$B,'[4]5ª semana'!$E:$E,1,0)</f>
        <v>0</v>
      </c>
      <c r="I41">
        <f>_xlfn.XLOOKUP(Table1456[[#This Row],[Nome docente]],'[4]5ª semana'!$B:$B,'[4]5ª semana'!$F:$F,1,0)</f>
        <v>0</v>
      </c>
      <c r="J41">
        <f>_xlfn.XLOOKUP(Table1456[[#This Row],[Nome docente]],'[4]5ª semana'!$B:$B,'[4]5ª semana'!$G:$G,1,0)</f>
        <v>0</v>
      </c>
      <c r="K41">
        <f>_xlfn.XLOOKUP(Table1456[[#This Row],[Nome docente]],'[4]5ª semana'!$B:$B,'[4]5ª semana'!$H:$H,1,0)</f>
        <v>0</v>
      </c>
      <c r="L41" t="str">
        <f t="shared" si="2"/>
        <v/>
      </c>
      <c r="M41" t="b">
        <f t="shared" si="3"/>
        <v>0</v>
      </c>
    </row>
    <row r="42" spans="1:13">
      <c r="A42" s="1"/>
      <c r="C42" s="2">
        <f>_xlfn.XLOOKUP(Table1456[[#This Row],[Nome docente]],[3]GESTAO_CONTRATO!$B:$B,[3]GESTAO_CONTRATO!$AI:$AI,1,0)</f>
        <v>0</v>
      </c>
      <c r="D42" s="2"/>
      <c r="H42">
        <f>_xlfn.XLOOKUP(Table1456[[#This Row],[Nome docente]],'[4]5ª semana'!$B:$B,'[4]5ª semana'!$E:$E,1,0)</f>
        <v>0</v>
      </c>
      <c r="I42">
        <f>_xlfn.XLOOKUP(Table1456[[#This Row],[Nome docente]],'[4]5ª semana'!$B:$B,'[4]5ª semana'!$F:$F,1,0)</f>
        <v>0</v>
      </c>
      <c r="J42">
        <f>_xlfn.XLOOKUP(Table1456[[#This Row],[Nome docente]],'[4]5ª semana'!$B:$B,'[4]5ª semana'!$G:$G,1,0)</f>
        <v>0</v>
      </c>
      <c r="K42">
        <f>_xlfn.XLOOKUP(Table1456[[#This Row],[Nome docente]],'[4]5ª semana'!$B:$B,'[4]5ª semana'!$H:$H,1,0)</f>
        <v>0</v>
      </c>
      <c r="L42" t="str">
        <f t="shared" si="2"/>
        <v/>
      </c>
      <c r="M42" t="b">
        <f t="shared" si="3"/>
        <v>0</v>
      </c>
    </row>
    <row r="43" spans="1:13">
      <c r="A43" s="1"/>
      <c r="C43" s="2">
        <f>_xlfn.XLOOKUP(Table1456[[#This Row],[Nome docente]],[3]GESTAO_CONTRATO!$B:$B,[3]GESTAO_CONTRATO!$AI:$AI,1,0)</f>
        <v>0</v>
      </c>
      <c r="D43" s="2"/>
      <c r="H43">
        <f>_xlfn.XLOOKUP(Table1456[[#This Row],[Nome docente]],'[4]5ª semana'!$B:$B,'[4]5ª semana'!$E:$E,1,0)</f>
        <v>0</v>
      </c>
      <c r="I43">
        <f>_xlfn.XLOOKUP(Table1456[[#This Row],[Nome docente]],'[4]5ª semana'!$B:$B,'[4]5ª semana'!$F:$F,1,0)</f>
        <v>0</v>
      </c>
      <c r="J43">
        <f>_xlfn.XLOOKUP(Table1456[[#This Row],[Nome docente]],'[4]5ª semana'!$B:$B,'[4]5ª semana'!$G:$G,1,0)</f>
        <v>0</v>
      </c>
      <c r="K43">
        <f>_xlfn.XLOOKUP(Table1456[[#This Row],[Nome docente]],'[4]5ª semana'!$B:$B,'[4]5ª semana'!$H:$H,1,0)</f>
        <v>0</v>
      </c>
      <c r="L43" t="str">
        <f t="shared" si="2"/>
        <v/>
      </c>
      <c r="M43" t="b">
        <f t="shared" si="3"/>
        <v>0</v>
      </c>
    </row>
    <row r="44" spans="1:13">
      <c r="C44" s="2">
        <f>_xlfn.XLOOKUP(Table1456[[#This Row],[Nome docente]],[3]GESTAO_CONTRATO!$B:$B,[3]GESTAO_CONTRATO!$AI:$AI,1,0)</f>
        <v>0</v>
      </c>
      <c r="D44" s="2"/>
      <c r="H44">
        <f>_xlfn.XLOOKUP(Table1456[[#This Row],[Nome docente]],'[4]5ª semana'!$B:$B,'[4]5ª semana'!$E:$E,1,0)</f>
        <v>0</v>
      </c>
      <c r="I44">
        <f>_xlfn.XLOOKUP(Table1456[[#This Row],[Nome docente]],'[4]5ª semana'!$B:$B,'[4]5ª semana'!$F:$F,1,0)</f>
        <v>0</v>
      </c>
      <c r="J44">
        <f>_xlfn.XLOOKUP(Table1456[[#This Row],[Nome docente]],'[4]5ª semana'!$B:$B,'[4]5ª semana'!$G:$G,1,0)</f>
        <v>0</v>
      </c>
      <c r="K44">
        <f>_xlfn.XLOOKUP(Table1456[[#This Row],[Nome docente]],'[4]5ª semana'!$B:$B,'[4]5ª semana'!$H:$H,1,0)</f>
        <v>0</v>
      </c>
      <c r="L44" t="str">
        <f t="shared" si="2"/>
        <v/>
      </c>
      <c r="M44" t="b">
        <f t="shared" si="3"/>
        <v>0</v>
      </c>
    </row>
    <row r="45" spans="1:13">
      <c r="C45" s="2">
        <f>_xlfn.XLOOKUP(Table1456[[#This Row],[Nome docente]],[3]GESTAO_CONTRATO!$B:$B,[3]GESTAO_CONTRATO!$AI:$AI,1,0)</f>
        <v>0</v>
      </c>
      <c r="D45" s="2"/>
      <c r="H45">
        <f>_xlfn.XLOOKUP(Table1456[[#This Row],[Nome docente]],'[4]5ª semana'!$B:$B,'[4]5ª semana'!$E:$E,1,0)</f>
        <v>0</v>
      </c>
      <c r="I45">
        <f>_xlfn.XLOOKUP(Table1456[[#This Row],[Nome docente]],'[4]5ª semana'!$B:$B,'[4]5ª semana'!$F:$F,1,0)</f>
        <v>0</v>
      </c>
      <c r="J45">
        <f>_xlfn.XLOOKUP(Table1456[[#This Row],[Nome docente]],'[4]5ª semana'!$B:$B,'[4]5ª semana'!$G:$G,1,0)</f>
        <v>0</v>
      </c>
      <c r="K45">
        <f>_xlfn.XLOOKUP(Table1456[[#This Row],[Nome docente]],'[4]5ª semana'!$B:$B,'[4]5ª semana'!$H:$H,1,0)</f>
        <v>0</v>
      </c>
      <c r="L45" t="str">
        <f t="shared" si="2"/>
        <v/>
      </c>
      <c r="M45" t="b">
        <f t="shared" si="3"/>
        <v>0</v>
      </c>
    </row>
    <row r="46" spans="1:13">
      <c r="C46" s="2">
        <f>_xlfn.XLOOKUP(Table1456[[#This Row],[Nome docente]],[3]GESTAO_CONTRATO!$B:$B,[3]GESTAO_CONTRATO!$AI:$AI,1,0)</f>
        <v>0</v>
      </c>
      <c r="D46" s="2"/>
      <c r="H46">
        <f>_xlfn.XLOOKUP(Table1456[[#This Row],[Nome docente]],'[4]5ª semana'!$B:$B,'[4]5ª semana'!$E:$E,1,0)</f>
        <v>0</v>
      </c>
      <c r="I46">
        <f>_xlfn.XLOOKUP(Table1456[[#This Row],[Nome docente]],'[4]5ª semana'!$B:$B,'[4]5ª semana'!$F:$F,1,0)</f>
        <v>0</v>
      </c>
      <c r="J46">
        <f>_xlfn.XLOOKUP(Table1456[[#This Row],[Nome docente]],'[4]5ª semana'!$B:$B,'[4]5ª semana'!$G:$G,1,0)</f>
        <v>0</v>
      </c>
      <c r="K46">
        <f>_xlfn.XLOOKUP(Table1456[[#This Row],[Nome docente]],'[4]5ª semana'!$B:$B,'[4]5ª semana'!$H:$H,1,0)</f>
        <v>0</v>
      </c>
      <c r="L46" t="str">
        <f t="shared" si="2"/>
        <v/>
      </c>
      <c r="M46" t="b">
        <f t="shared" si="3"/>
        <v>0</v>
      </c>
    </row>
    <row r="47" spans="1:13">
      <c r="C47" s="2">
        <f>_xlfn.XLOOKUP(Table1456[[#This Row],[Nome docente]],[3]GESTAO_CONTRATO!$B:$B,[3]GESTAO_CONTRATO!$AI:$AI,1,0)</f>
        <v>0</v>
      </c>
      <c r="D47" s="2"/>
      <c r="H47">
        <f>_xlfn.XLOOKUP(Table1456[[#This Row],[Nome docente]],'[4]5ª semana'!$B:$B,'[4]5ª semana'!$E:$E,1,0)</f>
        <v>0</v>
      </c>
      <c r="I47">
        <f>_xlfn.XLOOKUP(Table1456[[#This Row],[Nome docente]],'[4]5ª semana'!$B:$B,'[4]5ª semana'!$F:$F,1,0)</f>
        <v>0</v>
      </c>
      <c r="J47">
        <f>_xlfn.XLOOKUP(Table1456[[#This Row],[Nome docente]],'[4]5ª semana'!$B:$B,'[4]5ª semana'!$G:$G,1,0)</f>
        <v>0</v>
      </c>
      <c r="K47">
        <f>_xlfn.XLOOKUP(Table1456[[#This Row],[Nome docente]],'[4]5ª semana'!$B:$B,'[4]5ª semana'!$H:$H,1,0)</f>
        <v>0</v>
      </c>
      <c r="L47" t="str">
        <f t="shared" si="2"/>
        <v/>
      </c>
      <c r="M47" t="b">
        <f t="shared" si="3"/>
        <v>0</v>
      </c>
    </row>
    <row r="48" spans="1:13">
      <c r="C48" s="2">
        <f>_xlfn.XLOOKUP(Table1456[[#This Row],[Nome docente]],[3]GESTAO_CONTRATO!$B:$B,[3]GESTAO_CONTRATO!$AI:$AI,1,0)</f>
        <v>0</v>
      </c>
      <c r="D48" s="2"/>
      <c r="H48">
        <f>_xlfn.XLOOKUP(Table1456[[#This Row],[Nome docente]],'[4]5ª semana'!$B:$B,'[4]5ª semana'!$E:$E,1,0)</f>
        <v>0</v>
      </c>
      <c r="I48">
        <f>_xlfn.XLOOKUP(Table1456[[#This Row],[Nome docente]],'[4]5ª semana'!$B:$B,'[4]5ª semana'!$F:$F,1,0)</f>
        <v>0</v>
      </c>
      <c r="J48">
        <f>_xlfn.XLOOKUP(Table1456[[#This Row],[Nome docente]],'[4]5ª semana'!$B:$B,'[4]5ª semana'!$G:$G,1,0)</f>
        <v>0</v>
      </c>
      <c r="K48">
        <f>_xlfn.XLOOKUP(Table1456[[#This Row],[Nome docente]],'[4]5ª semana'!$B:$B,'[4]5ª semana'!$H:$H,1,0)</f>
        <v>0</v>
      </c>
      <c r="L48" t="str">
        <f t="shared" si="2"/>
        <v/>
      </c>
      <c r="M48" t="b">
        <f t="shared" si="3"/>
        <v>0</v>
      </c>
    </row>
    <row r="49" spans="3:13">
      <c r="C49" s="2">
        <f>_xlfn.XLOOKUP(Table1456[[#This Row],[Nome docente]],[3]GESTAO_CONTRATO!$B:$B,[3]GESTAO_CONTRATO!$AI:$AI,1,0)</f>
        <v>0</v>
      </c>
      <c r="D49" s="2"/>
      <c r="H49">
        <f>_xlfn.XLOOKUP(Table1456[[#This Row],[Nome docente]],'[4]5ª semana'!$B:$B,'[4]5ª semana'!$E:$E,1,0)</f>
        <v>0</v>
      </c>
      <c r="I49">
        <f>_xlfn.XLOOKUP(Table1456[[#This Row],[Nome docente]],'[4]5ª semana'!$B:$B,'[4]5ª semana'!$F:$F,1,0)</f>
        <v>0</v>
      </c>
      <c r="J49">
        <f>_xlfn.XLOOKUP(Table1456[[#This Row],[Nome docente]],'[4]5ª semana'!$B:$B,'[4]5ª semana'!$G:$G,1,0)</f>
        <v>0</v>
      </c>
      <c r="K49">
        <f>_xlfn.XLOOKUP(Table1456[[#This Row],[Nome docente]],'[4]5ª semana'!$B:$B,'[4]5ª semana'!$H:$H,1,0)</f>
        <v>0</v>
      </c>
      <c r="L49" t="str">
        <f t="shared" si="2"/>
        <v/>
      </c>
      <c r="M49" t="b">
        <f t="shared" si="3"/>
        <v>0</v>
      </c>
    </row>
    <row r="50" spans="3:13">
      <c r="C50" s="2">
        <f>_xlfn.XLOOKUP(Table1456[[#This Row],[Nome docente]],[3]GESTAO_CONTRATO!$B:$B,[3]GESTAO_CONTRATO!$AI:$AI,1,0)</f>
        <v>0</v>
      </c>
      <c r="D50" s="2"/>
      <c r="H50">
        <f>_xlfn.XLOOKUP(Table1456[[#This Row],[Nome docente]],'[4]5ª semana'!$B:$B,'[4]5ª semana'!$E:$E,1,0)</f>
        <v>0</v>
      </c>
      <c r="I50">
        <f>_xlfn.XLOOKUP(Table1456[[#This Row],[Nome docente]],'[4]5ª semana'!$B:$B,'[4]5ª semana'!$F:$F,1,0)</f>
        <v>0</v>
      </c>
      <c r="J50">
        <f>_xlfn.XLOOKUP(Table1456[[#This Row],[Nome docente]],'[4]5ª semana'!$B:$B,'[4]5ª semana'!$G:$G,1,0)</f>
        <v>0</v>
      </c>
      <c r="K50">
        <f>_xlfn.XLOOKUP(Table1456[[#This Row],[Nome docente]],'[4]5ª semana'!$B:$B,'[4]5ª semana'!$H:$H,1,0)</f>
        <v>0</v>
      </c>
      <c r="L50" t="str">
        <f t="shared" si="2"/>
        <v/>
      </c>
      <c r="M50" t="b">
        <f t="shared" si="3"/>
        <v>0</v>
      </c>
    </row>
    <row r="51" spans="3:13">
      <c r="C51" s="2">
        <f>_xlfn.XLOOKUP(Table1456[[#This Row],[Nome docente]],[3]GESTAO_CONTRATO!$B:$B,[3]GESTAO_CONTRATO!$AI:$AI,1,0)</f>
        <v>0</v>
      </c>
      <c r="D51" s="2"/>
      <c r="H51">
        <f>_xlfn.XLOOKUP(Table1456[[#This Row],[Nome docente]],'[4]5ª semana'!$B:$B,'[4]5ª semana'!$E:$E,1,0)</f>
        <v>0</v>
      </c>
      <c r="I51">
        <f>_xlfn.XLOOKUP(Table1456[[#This Row],[Nome docente]],'[4]5ª semana'!$B:$B,'[4]5ª semana'!$F:$F,1,0)</f>
        <v>0</v>
      </c>
      <c r="J51">
        <f>_xlfn.XLOOKUP(Table1456[[#This Row],[Nome docente]],'[4]5ª semana'!$B:$B,'[4]5ª semana'!$G:$G,1,0)</f>
        <v>0</v>
      </c>
      <c r="K51">
        <f>_xlfn.XLOOKUP(Table1456[[#This Row],[Nome docente]],'[4]5ª semana'!$B:$B,'[4]5ª semana'!$H:$H,1,0)</f>
        <v>0</v>
      </c>
      <c r="L51" t="str">
        <f t="shared" si="2"/>
        <v/>
      </c>
      <c r="M51" t="b">
        <f t="shared" si="3"/>
        <v>0</v>
      </c>
    </row>
    <row r="52" spans="3:13">
      <c r="C52" s="2">
        <f>_xlfn.XLOOKUP(Table1456[[#This Row],[Nome docente]],[3]GESTAO_CONTRATO!$B:$B,[3]GESTAO_CONTRATO!$AI:$AI,1,0)</f>
        <v>0</v>
      </c>
      <c r="D52" s="2"/>
      <c r="H52">
        <f>_xlfn.XLOOKUP(Table1456[[#This Row],[Nome docente]],'[4]5ª semana'!$B:$B,'[4]5ª semana'!$E:$E,1,0)</f>
        <v>0</v>
      </c>
      <c r="I52">
        <f>_xlfn.XLOOKUP(Table1456[[#This Row],[Nome docente]],'[4]5ª semana'!$B:$B,'[4]5ª semana'!$F:$F,1,0)</f>
        <v>0</v>
      </c>
      <c r="J52">
        <f>_xlfn.XLOOKUP(Table1456[[#This Row],[Nome docente]],'[4]5ª semana'!$B:$B,'[4]5ª semana'!$G:$G,1,0)</f>
        <v>0</v>
      </c>
      <c r="K52">
        <f>_xlfn.XLOOKUP(Table1456[[#This Row],[Nome docente]],'[4]5ª semana'!$B:$B,'[4]5ª semana'!$H:$H,1,0)</f>
        <v>0</v>
      </c>
      <c r="L52" t="str">
        <f t="shared" si="2"/>
        <v/>
      </c>
      <c r="M52" t="b">
        <f t="shared" si="3"/>
        <v>0</v>
      </c>
    </row>
    <row r="53" spans="3:13">
      <c r="C53" s="2">
        <f>_xlfn.XLOOKUP(Table1456[[#This Row],[Nome docente]],[3]GESTAO_CONTRATO!$B:$B,[3]GESTAO_CONTRATO!$AI:$AI,1,0)</f>
        <v>0</v>
      </c>
      <c r="D53" s="2"/>
      <c r="H53">
        <f>_xlfn.XLOOKUP(Table1456[[#This Row],[Nome docente]],'[4]5ª semana'!$B:$B,'[4]5ª semana'!$E:$E,1,0)</f>
        <v>0</v>
      </c>
      <c r="I53">
        <f>_xlfn.XLOOKUP(Table1456[[#This Row],[Nome docente]],'[4]5ª semana'!$B:$B,'[4]5ª semana'!$F:$F,1,0)</f>
        <v>0</v>
      </c>
      <c r="J53">
        <f>_xlfn.XLOOKUP(Table1456[[#This Row],[Nome docente]],'[4]5ª semana'!$B:$B,'[4]5ª semana'!$G:$G,1,0)</f>
        <v>0</v>
      </c>
      <c r="K53">
        <f>_xlfn.XLOOKUP(Table1456[[#This Row],[Nome docente]],'[4]5ª semana'!$B:$B,'[4]5ª semana'!$H:$H,1,0)</f>
        <v>0</v>
      </c>
      <c r="L53" t="str">
        <f t="shared" si="2"/>
        <v/>
      </c>
      <c r="M53" t="b">
        <f t="shared" si="3"/>
        <v>0</v>
      </c>
    </row>
    <row r="54" spans="3:13">
      <c r="C54" s="2">
        <f>_xlfn.XLOOKUP(Table1456[[#This Row],[Nome docente]],[3]GESTAO_CONTRATO!$B:$B,[3]GESTAO_CONTRATO!$AI:$AI,1,0)</f>
        <v>0</v>
      </c>
      <c r="D54" s="2"/>
      <c r="H54">
        <f>_xlfn.XLOOKUP(Table1456[[#This Row],[Nome docente]],'[4]5ª semana'!$B:$B,'[4]5ª semana'!$E:$E,1,0)</f>
        <v>0</v>
      </c>
      <c r="I54">
        <f>_xlfn.XLOOKUP(Table1456[[#This Row],[Nome docente]],'[4]5ª semana'!$B:$B,'[4]5ª semana'!$F:$F,1,0)</f>
        <v>0</v>
      </c>
      <c r="J54">
        <f>_xlfn.XLOOKUP(Table1456[[#This Row],[Nome docente]],'[4]5ª semana'!$B:$B,'[4]5ª semana'!$G:$G,1,0)</f>
        <v>0</v>
      </c>
      <c r="K54">
        <f>_xlfn.XLOOKUP(Table1456[[#This Row],[Nome docente]],'[4]5ª semana'!$B:$B,'[4]5ª semana'!$H:$H,1,0)</f>
        <v>0</v>
      </c>
      <c r="L54" t="str">
        <f t="shared" si="2"/>
        <v/>
      </c>
      <c r="M54" t="b">
        <f t="shared" si="3"/>
        <v>0</v>
      </c>
    </row>
    <row r="55" spans="3:13">
      <c r="C55" s="2">
        <f>_xlfn.XLOOKUP(Table1456[[#This Row],[Nome docente]],[3]GESTAO_CONTRATO!$B:$B,[3]GESTAO_CONTRATO!$AI:$AI,1,0)</f>
        <v>0</v>
      </c>
      <c r="D55" s="2"/>
      <c r="H55">
        <f>_xlfn.XLOOKUP(Table1456[[#This Row],[Nome docente]],'[4]5ª semana'!$B:$B,'[4]5ª semana'!$E:$E,1,0)</f>
        <v>0</v>
      </c>
      <c r="I55">
        <f>_xlfn.XLOOKUP(Table1456[[#This Row],[Nome docente]],'[4]5ª semana'!$B:$B,'[4]5ª semana'!$F:$F,1,0)</f>
        <v>0</v>
      </c>
      <c r="J55">
        <f>_xlfn.XLOOKUP(Table1456[[#This Row],[Nome docente]],'[4]5ª semana'!$B:$B,'[4]5ª semana'!$G:$G,1,0)</f>
        <v>0</v>
      </c>
      <c r="K55">
        <f>_xlfn.XLOOKUP(Table1456[[#This Row],[Nome docente]],'[4]5ª semana'!$B:$B,'[4]5ª semana'!$H:$H,1,0)</f>
        <v>0</v>
      </c>
      <c r="L55" t="str">
        <f t="shared" si="2"/>
        <v/>
      </c>
      <c r="M55" t="b">
        <f t="shared" si="3"/>
        <v>0</v>
      </c>
    </row>
    <row r="56" spans="3:13">
      <c r="C56" s="2">
        <f>_xlfn.XLOOKUP(Table1456[[#This Row],[Nome docente]],[3]GESTAO_CONTRATO!$B:$B,[3]GESTAO_CONTRATO!$AI:$AI,1,0)</f>
        <v>0</v>
      </c>
      <c r="D56" s="2"/>
      <c r="H56">
        <f>_xlfn.XLOOKUP(Table1456[[#This Row],[Nome docente]],'[4]5ª semana'!$B:$B,'[4]5ª semana'!$E:$E,1,0)</f>
        <v>0</v>
      </c>
      <c r="I56">
        <f>_xlfn.XLOOKUP(Table1456[[#This Row],[Nome docente]],'[4]5ª semana'!$B:$B,'[4]5ª semana'!$F:$F,1,0)</f>
        <v>0</v>
      </c>
      <c r="J56">
        <f>_xlfn.XLOOKUP(Table1456[[#This Row],[Nome docente]],'[4]5ª semana'!$B:$B,'[4]5ª semana'!$G:$G,1,0)</f>
        <v>0</v>
      </c>
      <c r="K56">
        <f>_xlfn.XLOOKUP(Table1456[[#This Row],[Nome docente]],'[4]5ª semana'!$B:$B,'[4]5ª semana'!$H:$H,1,0)</f>
        <v>0</v>
      </c>
      <c r="L56" t="str">
        <f t="shared" si="2"/>
        <v/>
      </c>
      <c r="M56" t="b">
        <f t="shared" si="3"/>
        <v>0</v>
      </c>
    </row>
    <row r="57" spans="3:13">
      <c r="C57" s="2">
        <f>_xlfn.XLOOKUP(Table1456[[#This Row],[Nome docente]],[3]GESTAO_CONTRATO!$B:$B,[3]GESTAO_CONTRATO!$AI:$AI,1,0)</f>
        <v>0</v>
      </c>
      <c r="D57" s="2"/>
      <c r="H57">
        <f>_xlfn.XLOOKUP(Table1456[[#This Row],[Nome docente]],'[4]5ª semana'!$B:$B,'[4]5ª semana'!$E:$E,1,0)</f>
        <v>0</v>
      </c>
      <c r="I57">
        <f>_xlfn.XLOOKUP(Table1456[[#This Row],[Nome docente]],'[4]5ª semana'!$B:$B,'[4]5ª semana'!$F:$F,1,0)</f>
        <v>0</v>
      </c>
      <c r="J57">
        <f>_xlfn.XLOOKUP(Table1456[[#This Row],[Nome docente]],'[4]5ª semana'!$B:$B,'[4]5ª semana'!$G:$G,1,0)</f>
        <v>0</v>
      </c>
      <c r="K57">
        <f>_xlfn.XLOOKUP(Table1456[[#This Row],[Nome docente]],'[4]5ª semana'!$B:$B,'[4]5ª semana'!$H:$H,1,0)</f>
        <v>0</v>
      </c>
      <c r="L57" t="str">
        <f t="shared" si="2"/>
        <v/>
      </c>
      <c r="M57" t="b">
        <f t="shared" si="3"/>
        <v>0</v>
      </c>
    </row>
    <row r="58" spans="3:13">
      <c r="C58" s="2">
        <f>_xlfn.XLOOKUP(Table1456[[#This Row],[Nome docente]],[3]GESTAO_CONTRATO!$B:$B,[3]GESTAO_CONTRATO!$AI:$AI,1,0)</f>
        <v>0</v>
      </c>
      <c r="D58" s="2"/>
      <c r="H58">
        <f>_xlfn.XLOOKUP(Table1456[[#This Row],[Nome docente]],'[4]5ª semana'!$B:$B,'[4]5ª semana'!$E:$E,1,0)</f>
        <v>0</v>
      </c>
      <c r="I58">
        <f>_xlfn.XLOOKUP(Table1456[[#This Row],[Nome docente]],'[4]5ª semana'!$B:$B,'[4]5ª semana'!$F:$F,1,0)</f>
        <v>0</v>
      </c>
      <c r="J58">
        <f>_xlfn.XLOOKUP(Table1456[[#This Row],[Nome docente]],'[4]5ª semana'!$B:$B,'[4]5ª semana'!$G:$G,1,0)</f>
        <v>0</v>
      </c>
      <c r="K58">
        <f>_xlfn.XLOOKUP(Table1456[[#This Row],[Nome docente]],'[4]5ª semana'!$B:$B,'[4]5ª semana'!$H:$H,1,0)</f>
        <v>0</v>
      </c>
      <c r="L58" t="str">
        <f t="shared" si="2"/>
        <v/>
      </c>
      <c r="M58" t="b">
        <f t="shared" si="3"/>
        <v>0</v>
      </c>
    </row>
    <row r="59" spans="3:13">
      <c r="C59" s="2">
        <f>_xlfn.XLOOKUP(Table1456[[#This Row],[Nome docente]],[3]GESTAO_CONTRATO!$B:$B,[3]GESTAO_CONTRATO!$AI:$AI,1,0)</f>
        <v>0</v>
      </c>
      <c r="D59" s="2"/>
      <c r="H59">
        <f>_xlfn.XLOOKUP(Table1456[[#This Row],[Nome docente]],'[4]5ª semana'!$B:$B,'[4]5ª semana'!$E:$E,1,0)</f>
        <v>0</v>
      </c>
      <c r="I59">
        <f>_xlfn.XLOOKUP(Table1456[[#This Row],[Nome docente]],'[4]5ª semana'!$B:$B,'[4]5ª semana'!$F:$F,1,0)</f>
        <v>0</v>
      </c>
      <c r="J59">
        <f>_xlfn.XLOOKUP(Table1456[[#This Row],[Nome docente]],'[4]5ª semana'!$B:$B,'[4]5ª semana'!$G:$G,1,0)</f>
        <v>0</v>
      </c>
      <c r="K59">
        <f>_xlfn.XLOOKUP(Table1456[[#This Row],[Nome docente]],'[4]5ª semana'!$B:$B,'[4]5ª semana'!$H:$H,1,0)</f>
        <v>0</v>
      </c>
      <c r="L59" t="str">
        <f t="shared" si="2"/>
        <v/>
      </c>
      <c r="M59" t="b">
        <f t="shared" si="3"/>
        <v>0</v>
      </c>
    </row>
    <row r="60" spans="3:13">
      <c r="C60" s="2">
        <f>_xlfn.XLOOKUP(Table1456[[#This Row],[Nome docente]],[3]GESTAO_CONTRATO!$B:$B,[3]GESTAO_CONTRATO!$AI:$AI,1,0)</f>
        <v>0</v>
      </c>
      <c r="D60" s="2"/>
      <c r="H60">
        <f>_xlfn.XLOOKUP(Table1456[[#This Row],[Nome docente]],'[4]5ª semana'!$B:$B,'[4]5ª semana'!$E:$E,1,0)</f>
        <v>0</v>
      </c>
      <c r="I60">
        <f>_xlfn.XLOOKUP(Table1456[[#This Row],[Nome docente]],'[4]5ª semana'!$B:$B,'[4]5ª semana'!$F:$F,1,0)</f>
        <v>0</v>
      </c>
      <c r="J60">
        <f>_xlfn.XLOOKUP(Table1456[[#This Row],[Nome docente]],'[4]5ª semana'!$B:$B,'[4]5ª semana'!$G:$G,1,0)</f>
        <v>0</v>
      </c>
      <c r="K60">
        <f>_xlfn.XLOOKUP(Table1456[[#This Row],[Nome docente]],'[4]5ª semana'!$B:$B,'[4]5ª semana'!$H:$H,1,0)</f>
        <v>0</v>
      </c>
      <c r="L60" t="str">
        <f t="shared" si="2"/>
        <v/>
      </c>
      <c r="M60" t="b">
        <f t="shared" si="3"/>
        <v>0</v>
      </c>
    </row>
    <row r="61" spans="3:13">
      <c r="C61" s="2">
        <f>_xlfn.XLOOKUP(Table1456[[#This Row],[Nome docente]],[3]GESTAO_CONTRATO!$B:$B,[3]GESTAO_CONTRATO!$AI:$AI,1,0)</f>
        <v>0</v>
      </c>
      <c r="D61" s="2"/>
      <c r="H61">
        <f>_xlfn.XLOOKUP(Table1456[[#This Row],[Nome docente]],'[4]5ª semana'!$B:$B,'[4]5ª semana'!$E:$E,1,0)</f>
        <v>0</v>
      </c>
      <c r="I61">
        <f>_xlfn.XLOOKUP(Table1456[[#This Row],[Nome docente]],'[4]5ª semana'!$B:$B,'[4]5ª semana'!$F:$F,1,0)</f>
        <v>0</v>
      </c>
      <c r="J61">
        <f>_xlfn.XLOOKUP(Table1456[[#This Row],[Nome docente]],'[4]5ª semana'!$B:$B,'[4]5ª semana'!$G:$G,1,0)</f>
        <v>0</v>
      </c>
      <c r="K61">
        <f>_xlfn.XLOOKUP(Table1456[[#This Row],[Nome docente]],'[4]5ª semana'!$B:$B,'[4]5ª semana'!$H:$H,1,0)</f>
        <v>0</v>
      </c>
      <c r="L61" t="str">
        <f t="shared" si="2"/>
        <v/>
      </c>
      <c r="M61" t="b">
        <f t="shared" si="3"/>
        <v>0</v>
      </c>
    </row>
    <row r="62" spans="3:13">
      <c r="C62" s="2">
        <f>_xlfn.XLOOKUP(Table1456[[#This Row],[Nome docente]],[3]GESTAO_CONTRATO!$B:$B,[3]GESTAO_CONTRATO!$AI:$AI,1,0)</f>
        <v>0</v>
      </c>
      <c r="D62" s="2"/>
      <c r="H62">
        <f>_xlfn.XLOOKUP(Table1456[[#This Row],[Nome docente]],'[4]5ª semana'!$B:$B,'[4]5ª semana'!$E:$E,1,0)</f>
        <v>0</v>
      </c>
      <c r="I62">
        <f>_xlfn.XLOOKUP(Table1456[[#This Row],[Nome docente]],'[4]5ª semana'!$B:$B,'[4]5ª semana'!$F:$F,1,0)</f>
        <v>0</v>
      </c>
      <c r="J62">
        <f>_xlfn.XLOOKUP(Table1456[[#This Row],[Nome docente]],'[4]5ª semana'!$B:$B,'[4]5ª semana'!$G:$G,1,0)</f>
        <v>0</v>
      </c>
      <c r="K62">
        <f>_xlfn.XLOOKUP(Table1456[[#This Row],[Nome docente]],'[4]5ª semana'!$B:$B,'[4]5ª semana'!$H:$H,1,0)</f>
        <v>0</v>
      </c>
      <c r="L62" t="str">
        <f t="shared" si="2"/>
        <v/>
      </c>
      <c r="M62" t="b">
        <f t="shared" si="3"/>
        <v>0</v>
      </c>
    </row>
    <row r="63" spans="3:13">
      <c r="C63" s="2">
        <f>_xlfn.XLOOKUP(Table1456[[#This Row],[Nome docente]],[3]GESTAO_CONTRATO!$B:$B,[3]GESTAO_CONTRATO!$AI:$AI,1,0)</f>
        <v>0</v>
      </c>
      <c r="D63" s="2"/>
      <c r="H63">
        <f>_xlfn.XLOOKUP(Table1456[[#This Row],[Nome docente]],'[4]5ª semana'!$B:$B,'[4]5ª semana'!$E:$E,1,0)</f>
        <v>0</v>
      </c>
      <c r="I63">
        <f>_xlfn.XLOOKUP(Table1456[[#This Row],[Nome docente]],'[4]5ª semana'!$B:$B,'[4]5ª semana'!$F:$F,1,0)</f>
        <v>0</v>
      </c>
      <c r="J63">
        <f>_xlfn.XLOOKUP(Table1456[[#This Row],[Nome docente]],'[4]5ª semana'!$B:$B,'[4]5ª semana'!$G:$G,1,0)</f>
        <v>0</v>
      </c>
      <c r="K63">
        <f>_xlfn.XLOOKUP(Table1456[[#This Row],[Nome docente]],'[4]5ª semana'!$B:$B,'[4]5ª semana'!$H:$H,1,0)</f>
        <v>0</v>
      </c>
      <c r="L63" t="str">
        <f t="shared" si="2"/>
        <v/>
      </c>
      <c r="M63" t="b">
        <f t="shared" si="3"/>
        <v>0</v>
      </c>
    </row>
    <row r="64" spans="3:13">
      <c r="C64" s="2">
        <f>_xlfn.XLOOKUP(Table1456[[#This Row],[Nome docente]],[3]GESTAO_CONTRATO!$B:$B,[3]GESTAO_CONTRATO!$AI:$AI,1,0)</f>
        <v>0</v>
      </c>
      <c r="D64" s="2"/>
      <c r="H64">
        <f>_xlfn.XLOOKUP(Table1456[[#This Row],[Nome docente]],'[4]5ª semana'!$B:$B,'[4]5ª semana'!$E:$E,1,0)</f>
        <v>0</v>
      </c>
      <c r="I64">
        <f>_xlfn.XLOOKUP(Table1456[[#This Row],[Nome docente]],'[4]5ª semana'!$B:$B,'[4]5ª semana'!$F:$F,1,0)</f>
        <v>0</v>
      </c>
      <c r="J64">
        <f>_xlfn.XLOOKUP(Table1456[[#This Row],[Nome docente]],'[4]5ª semana'!$B:$B,'[4]5ª semana'!$G:$G,1,0)</f>
        <v>0</v>
      </c>
      <c r="K64">
        <f>_xlfn.XLOOKUP(Table1456[[#This Row],[Nome docente]],'[4]5ª semana'!$B:$B,'[4]5ª semana'!$H:$H,1,0)</f>
        <v>0</v>
      </c>
      <c r="L64" t="str">
        <f t="shared" si="2"/>
        <v/>
      </c>
      <c r="M64" t="b">
        <f t="shared" si="3"/>
        <v>0</v>
      </c>
    </row>
    <row r="65" spans="3:13">
      <c r="C65" s="2">
        <f>_xlfn.XLOOKUP(Table1456[[#This Row],[Nome docente]],[3]GESTAO_CONTRATO!$B:$B,[3]GESTAO_CONTRATO!$AI:$AI,1,0)</f>
        <v>0</v>
      </c>
      <c r="D65" s="2"/>
      <c r="H65">
        <f>_xlfn.XLOOKUP(Table1456[[#This Row],[Nome docente]],'[4]5ª semana'!$B:$B,'[4]5ª semana'!$E:$E,1,0)</f>
        <v>0</v>
      </c>
      <c r="I65">
        <f>_xlfn.XLOOKUP(Table1456[[#This Row],[Nome docente]],'[4]5ª semana'!$B:$B,'[4]5ª semana'!$F:$F,1,0)</f>
        <v>0</v>
      </c>
      <c r="J65">
        <f>_xlfn.XLOOKUP(Table1456[[#This Row],[Nome docente]],'[4]5ª semana'!$B:$B,'[4]5ª semana'!$G:$G,1,0)</f>
        <v>0</v>
      </c>
      <c r="K65">
        <f>_xlfn.XLOOKUP(Table1456[[#This Row],[Nome docente]],'[4]5ª semana'!$B:$B,'[4]5ª semana'!$H:$H,1,0)</f>
        <v>0</v>
      </c>
      <c r="L65" t="str">
        <f t="shared" si="2"/>
        <v/>
      </c>
      <c r="M65" t="b">
        <f t="shared" si="3"/>
        <v>0</v>
      </c>
    </row>
    <row r="66" spans="3:13">
      <c r="C66" s="2">
        <f>_xlfn.XLOOKUP(Table1456[[#This Row],[Nome docente]],[3]GESTAO_CONTRATO!$B:$B,[3]GESTAO_CONTRATO!$AI:$AI,1,0)</f>
        <v>0</v>
      </c>
      <c r="D66" s="2"/>
      <c r="H66">
        <f>_xlfn.XLOOKUP(Table1456[[#This Row],[Nome docente]],'[4]5ª semana'!$B:$B,'[4]5ª semana'!$E:$E,1,0)</f>
        <v>0</v>
      </c>
      <c r="I66">
        <f>_xlfn.XLOOKUP(Table1456[[#This Row],[Nome docente]],'[4]5ª semana'!$B:$B,'[4]5ª semana'!$F:$F,1,0)</f>
        <v>0</v>
      </c>
      <c r="J66">
        <f>_xlfn.XLOOKUP(Table1456[[#This Row],[Nome docente]],'[4]5ª semana'!$B:$B,'[4]5ª semana'!$G:$G,1,0)</f>
        <v>0</v>
      </c>
      <c r="K66">
        <f>_xlfn.XLOOKUP(Table1456[[#This Row],[Nome docente]],'[4]5ª semana'!$B:$B,'[4]5ª semana'!$H:$H,1,0)</f>
        <v>0</v>
      </c>
      <c r="L66" t="str">
        <f t="shared" si="2"/>
        <v/>
      </c>
      <c r="M66" t="b">
        <f t="shared" si="3"/>
        <v>0</v>
      </c>
    </row>
    <row r="67" spans="3:13">
      <c r="C67" s="2">
        <f>_xlfn.XLOOKUP(Table1456[[#This Row],[Nome docente]],[3]GESTAO_CONTRATO!$B:$B,[3]GESTAO_CONTRATO!$AI:$AI,1,0)</f>
        <v>0</v>
      </c>
      <c r="D67" s="2"/>
      <c r="H67">
        <f>_xlfn.XLOOKUP(Table1456[[#This Row],[Nome docente]],'[4]5ª semana'!$B:$B,'[4]5ª semana'!$E:$E,1,0)</f>
        <v>0</v>
      </c>
      <c r="I67">
        <f>_xlfn.XLOOKUP(Table1456[[#This Row],[Nome docente]],'[4]5ª semana'!$B:$B,'[4]5ª semana'!$F:$F,1,0)</f>
        <v>0</v>
      </c>
      <c r="J67">
        <f>_xlfn.XLOOKUP(Table1456[[#This Row],[Nome docente]],'[4]5ª semana'!$B:$B,'[4]5ª semana'!$G:$G,1,0)</f>
        <v>0</v>
      </c>
      <c r="K67">
        <f>_xlfn.XLOOKUP(Table1456[[#This Row],[Nome docente]],'[4]5ª semana'!$B:$B,'[4]5ª semana'!$H:$H,1,0)</f>
        <v>0</v>
      </c>
      <c r="L67" t="str">
        <f t="shared" si="2"/>
        <v/>
      </c>
      <c r="M67" t="b">
        <f t="shared" si="3"/>
        <v>0</v>
      </c>
    </row>
    <row r="68" spans="3:13">
      <c r="C68" s="2">
        <f>_xlfn.XLOOKUP(Table1456[[#This Row],[Nome docente]],[3]GESTAO_CONTRATO!$B:$B,[3]GESTAO_CONTRATO!$AI:$AI,1,0)</f>
        <v>0</v>
      </c>
      <c r="D68" s="2"/>
      <c r="H68">
        <f>_xlfn.XLOOKUP(Table1456[[#This Row],[Nome docente]],'[4]5ª semana'!$B:$B,'[4]5ª semana'!$E:$E,1,0)</f>
        <v>0</v>
      </c>
      <c r="I68">
        <f>_xlfn.XLOOKUP(Table1456[[#This Row],[Nome docente]],'[4]5ª semana'!$B:$B,'[4]5ª semana'!$F:$F,1,0)</f>
        <v>0</v>
      </c>
      <c r="J68">
        <f>_xlfn.XLOOKUP(Table1456[[#This Row],[Nome docente]],'[4]5ª semana'!$B:$B,'[4]5ª semana'!$G:$G,1,0)</f>
        <v>0</v>
      </c>
      <c r="K68">
        <f>_xlfn.XLOOKUP(Table1456[[#This Row],[Nome docente]],'[4]5ª semana'!$B:$B,'[4]5ª semana'!$H:$H,1,0)</f>
        <v>0</v>
      </c>
      <c r="L68" t="str">
        <f t="shared" si="2"/>
        <v/>
      </c>
      <c r="M68" t="b">
        <f t="shared" si="3"/>
        <v>0</v>
      </c>
    </row>
    <row r="69" spans="3:13">
      <c r="C69" s="2">
        <f>_xlfn.XLOOKUP(Table1456[[#This Row],[Nome docente]],[3]GESTAO_CONTRATO!$B:$B,[3]GESTAO_CONTRATO!$AI:$AI,1,0)</f>
        <v>0</v>
      </c>
      <c r="D69" s="2"/>
      <c r="H69">
        <f>_xlfn.XLOOKUP(Table1456[[#This Row],[Nome docente]],'[4]5ª semana'!$B:$B,'[4]5ª semana'!$E:$E,1,0)</f>
        <v>0</v>
      </c>
      <c r="I69">
        <f>_xlfn.XLOOKUP(Table1456[[#This Row],[Nome docente]],'[4]5ª semana'!$B:$B,'[4]5ª semana'!$F:$F,1,0)</f>
        <v>0</v>
      </c>
      <c r="J69">
        <f>_xlfn.XLOOKUP(Table1456[[#This Row],[Nome docente]],'[4]5ª semana'!$B:$B,'[4]5ª semana'!$G:$G,1,0)</f>
        <v>0</v>
      </c>
      <c r="K69">
        <f>_xlfn.XLOOKUP(Table1456[[#This Row],[Nome docente]],'[4]5ª semana'!$B:$B,'[4]5ª semana'!$H:$H,1,0)</f>
        <v>0</v>
      </c>
      <c r="L69" t="str">
        <f t="shared" si="2"/>
        <v/>
      </c>
      <c r="M69" t="b">
        <f t="shared" si="3"/>
        <v>0</v>
      </c>
    </row>
    <row r="70" spans="3:13">
      <c r="C70" s="2">
        <f>_xlfn.XLOOKUP(Table1456[[#This Row],[Nome docente]],[3]GESTAO_CONTRATO!$B:$B,[3]GESTAO_CONTRATO!$AI:$AI,1,0)</f>
        <v>0</v>
      </c>
      <c r="D70" s="2"/>
      <c r="H70">
        <f>_xlfn.XLOOKUP(Table1456[[#This Row],[Nome docente]],'[4]5ª semana'!$B:$B,'[4]5ª semana'!$E:$E,1,0)</f>
        <v>0</v>
      </c>
      <c r="I70">
        <f>_xlfn.XLOOKUP(Table1456[[#This Row],[Nome docente]],'[4]5ª semana'!$B:$B,'[4]5ª semana'!$F:$F,1,0)</f>
        <v>0</v>
      </c>
      <c r="J70">
        <f>_xlfn.XLOOKUP(Table1456[[#This Row],[Nome docente]],'[4]5ª semana'!$B:$B,'[4]5ª semana'!$G:$G,1,0)</f>
        <v>0</v>
      </c>
      <c r="K70">
        <f>_xlfn.XLOOKUP(Table1456[[#This Row],[Nome docente]],'[4]5ª semana'!$B:$B,'[4]5ª semana'!$H:$H,1,0)</f>
        <v>0</v>
      </c>
      <c r="L70" t="str">
        <f t="shared" si="2"/>
        <v/>
      </c>
      <c r="M70" t="b">
        <f t="shared" si="3"/>
        <v>0</v>
      </c>
    </row>
    <row r="71" spans="3:13">
      <c r="C71" s="2">
        <f>_xlfn.XLOOKUP(Table1456[[#This Row],[Nome docente]],[3]GESTAO_CONTRATO!$B:$B,[3]GESTAO_CONTRATO!$AI:$AI,1,0)</f>
        <v>0</v>
      </c>
      <c r="D71" s="2"/>
      <c r="H71">
        <f>_xlfn.XLOOKUP(Table1456[[#This Row],[Nome docente]],'[4]5ª semana'!$B:$B,'[4]5ª semana'!$E:$E,1,0)</f>
        <v>0</v>
      </c>
      <c r="I71">
        <f>_xlfn.XLOOKUP(Table1456[[#This Row],[Nome docente]],'[4]5ª semana'!$B:$B,'[4]5ª semana'!$F:$F,1,0)</f>
        <v>0</v>
      </c>
      <c r="J71">
        <f>_xlfn.XLOOKUP(Table1456[[#This Row],[Nome docente]],'[4]5ª semana'!$B:$B,'[4]5ª semana'!$G:$G,1,0)</f>
        <v>0</v>
      </c>
      <c r="K71">
        <f>_xlfn.XLOOKUP(Table1456[[#This Row],[Nome docente]],'[4]5ª semana'!$B:$B,'[4]5ª semana'!$H:$H,1,0)</f>
        <v>0</v>
      </c>
      <c r="L71" t="str">
        <f t="shared" si="2"/>
        <v/>
      </c>
      <c r="M71" t="b">
        <f t="shared" si="3"/>
        <v>0</v>
      </c>
    </row>
    <row r="72" spans="3:13">
      <c r="C72" s="2">
        <f>_xlfn.XLOOKUP(Table1456[[#This Row],[Nome docente]],[3]GESTAO_CONTRATO!$B:$B,[3]GESTAO_CONTRATO!$AI:$AI,1,0)</f>
        <v>0</v>
      </c>
      <c r="D72" s="2"/>
      <c r="H72">
        <f>_xlfn.XLOOKUP(Table1456[[#This Row],[Nome docente]],'[4]5ª semana'!$B:$B,'[4]5ª semana'!$E:$E,1,0)</f>
        <v>0</v>
      </c>
      <c r="I72">
        <f>_xlfn.XLOOKUP(Table1456[[#This Row],[Nome docente]],'[4]5ª semana'!$B:$B,'[4]5ª semana'!$F:$F,1,0)</f>
        <v>0</v>
      </c>
      <c r="J72">
        <f>_xlfn.XLOOKUP(Table1456[[#This Row],[Nome docente]],'[4]5ª semana'!$B:$B,'[4]5ª semana'!$G:$G,1,0)</f>
        <v>0</v>
      </c>
      <c r="K72">
        <f>_xlfn.XLOOKUP(Table1456[[#This Row],[Nome docente]],'[4]5ª semana'!$B:$B,'[4]5ª semana'!$H:$H,1,0)</f>
        <v>0</v>
      </c>
      <c r="L72" t="str">
        <f t="shared" si="2"/>
        <v/>
      </c>
      <c r="M72" t="b">
        <f t="shared" si="3"/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F679-E828-450B-AA4B-D88F1D9682DF}">
  <dimension ref="A1:X247"/>
  <sheetViews>
    <sheetView tabSelected="1" zoomScale="85" zoomScaleNormal="85" workbookViewId="0">
      <selection activeCell="G8" sqref="G8"/>
    </sheetView>
  </sheetViews>
  <sheetFormatPr defaultRowHeight="15"/>
  <cols>
    <col min="1" max="1" width="17.7109375" style="2" bestFit="1" customWidth="1"/>
    <col min="2" max="2" width="56.28515625" bestFit="1" customWidth="1"/>
    <col min="3" max="3" width="12.42578125" bestFit="1" customWidth="1"/>
    <col min="4" max="4" width="9.7109375" customWidth="1"/>
    <col min="5" max="5" width="14.28515625" bestFit="1" customWidth="1"/>
    <col min="6" max="6" width="27.5703125" bestFit="1" customWidth="1"/>
    <col min="7" max="7" width="27.85546875" bestFit="1" customWidth="1"/>
    <col min="8" max="8" width="14.28515625" bestFit="1" customWidth="1"/>
    <col min="9" max="9" width="23.42578125" bestFit="1" customWidth="1"/>
    <col min="10" max="10" width="27.5703125" bestFit="1" customWidth="1"/>
    <col min="11" max="11" width="23.42578125" bestFit="1" customWidth="1"/>
    <col min="12" max="12" width="27.5703125" bestFit="1" customWidth="1"/>
    <col min="13" max="14" width="27.5703125" customWidth="1"/>
    <col min="15" max="15" width="27.7109375" bestFit="1" customWidth="1"/>
    <col min="16" max="16" width="23.85546875" bestFit="1" customWidth="1"/>
    <col min="17" max="17" width="14.28515625" bestFit="1" customWidth="1"/>
    <col min="18" max="18" width="25" bestFit="1" customWidth="1"/>
    <col min="19" max="19" width="23.85546875" bestFit="1" customWidth="1"/>
    <col min="20" max="20" width="32.7109375" bestFit="1" customWidth="1"/>
    <col min="21" max="21" width="31.5703125" bestFit="1" customWidth="1"/>
    <col min="22" max="22" width="17.28515625" bestFit="1" customWidth="1"/>
    <col min="23" max="23" width="16.140625" bestFit="1" customWidth="1"/>
    <col min="24" max="24" width="45.140625" bestFit="1" customWidth="1"/>
  </cols>
  <sheetData>
    <row r="1" spans="1:24">
      <c r="A1" s="7" t="s">
        <v>97</v>
      </c>
      <c r="B1" s="7" t="s">
        <v>98</v>
      </c>
      <c r="C1" s="7" t="s">
        <v>94</v>
      </c>
      <c r="D1" s="7" t="s">
        <v>77</v>
      </c>
      <c r="E1" s="7" t="s">
        <v>2</v>
      </c>
      <c r="F1" s="7" t="s">
        <v>136</v>
      </c>
      <c r="G1" s="8" t="s">
        <v>137</v>
      </c>
      <c r="H1" s="7" t="s">
        <v>2</v>
      </c>
      <c r="I1" s="7" t="s">
        <v>138</v>
      </c>
      <c r="J1" s="8" t="s">
        <v>139</v>
      </c>
      <c r="K1" s="7" t="s">
        <v>2</v>
      </c>
      <c r="L1" s="7" t="s">
        <v>140</v>
      </c>
      <c r="M1" s="8" t="s">
        <v>141</v>
      </c>
      <c r="N1" s="7" t="s">
        <v>2</v>
      </c>
      <c r="O1" s="7" t="s">
        <v>142</v>
      </c>
      <c r="P1" s="8" t="s">
        <v>143</v>
      </c>
      <c r="Q1" s="7" t="s">
        <v>2</v>
      </c>
      <c r="R1" s="7" t="s">
        <v>144</v>
      </c>
      <c r="S1" s="8" t="s">
        <v>145</v>
      </c>
      <c r="T1" s="7" t="s">
        <v>146</v>
      </c>
      <c r="U1" s="8" t="s">
        <v>147</v>
      </c>
      <c r="V1" s="10" t="s">
        <v>148</v>
      </c>
      <c r="W1" s="10" t="s">
        <v>149</v>
      </c>
      <c r="X1" s="11" t="s">
        <v>150</v>
      </c>
    </row>
    <row r="2" spans="1:24">
      <c r="A2" s="9">
        <v>8306</v>
      </c>
      <c r="B2" s="9" t="s">
        <v>7</v>
      </c>
      <c r="C2" s="9" t="s">
        <v>70</v>
      </c>
      <c r="D2" s="9">
        <v>2</v>
      </c>
      <c r="E2" s="9" t="s">
        <v>8</v>
      </c>
      <c r="F2" s="6" t="s">
        <v>283</v>
      </c>
      <c r="G2" s="6" t="s">
        <v>284</v>
      </c>
      <c r="H2" s="9" t="s">
        <v>8</v>
      </c>
      <c r="I2" s="6" t="s">
        <v>283</v>
      </c>
      <c r="J2" s="6" t="s">
        <v>284</v>
      </c>
      <c r="K2" s="9" t="s">
        <v>8</v>
      </c>
      <c r="L2" s="6" t="s">
        <v>283</v>
      </c>
      <c r="M2" s="6" t="s">
        <v>284</v>
      </c>
      <c r="N2" s="9" t="s">
        <v>8</v>
      </c>
      <c r="O2" s="6" t="s">
        <v>283</v>
      </c>
      <c r="P2" s="6" t="s">
        <v>284</v>
      </c>
      <c r="Q2" s="9">
        <v>2</v>
      </c>
      <c r="R2" s="6" t="s">
        <v>283</v>
      </c>
      <c r="S2" s="6" t="s">
        <v>284</v>
      </c>
      <c r="T2" s="6" t="str">
        <f>IF(AND(D2&gt;0,OR(E2&gt;0,H2&gt;0,K2&gt;0,N2&gt;0,Q2&gt;0)),"Pendencia de Agenda e Cartões","")</f>
        <v>Pendencia de Agenda e Cartões</v>
      </c>
      <c r="U2" s="6" t="str">
        <f>IF(OR(G2="Pendência de TACH",J2="Pendência de TACH",M2="Pendência de TACH",P2="Pendência de TACH",S2="Pendência de TACH"),"Pendência de TACH","")</f>
        <v>Pendência de TACH</v>
      </c>
      <c r="V2" s="9">
        <f>COUNTIF(F2:S2,"Pendência de Agenda")</f>
        <v>5</v>
      </c>
      <c r="W2" s="9">
        <f>COUNTIF(F2:S2,"Pendência de TACH")</f>
        <v>5</v>
      </c>
      <c r="X2" s="6" t="str">
        <f>IF(AND(T2&lt;&gt;"",U2&lt;&gt;""),T2&amp;" ("&amp;V2&amp;") &amp; "&amp;U2&amp;" ("&amp;W2&amp;")",IF(T2&lt;&gt;"",T2&amp;" ("&amp;V2&amp;")",IF(U2&lt;&gt;"",U2&amp;" ("&amp;W2&amp;")","")))</f>
        <v>Pendencia de Agenda e Cartões (5) &amp; Pendência de TACH (5)</v>
      </c>
    </row>
    <row r="3" spans="1:24">
      <c r="A3" s="9">
        <v>90004225</v>
      </c>
      <c r="B3" s="9" t="s">
        <v>79</v>
      </c>
      <c r="C3" s="9" t="s">
        <v>70</v>
      </c>
      <c r="D3" s="9">
        <v>16</v>
      </c>
      <c r="E3" s="9">
        <v>0</v>
      </c>
      <c r="F3" s="6" t="s">
        <v>287</v>
      </c>
      <c r="G3" s="6" t="s">
        <v>289</v>
      </c>
      <c r="H3" s="9">
        <v>0</v>
      </c>
      <c r="I3" s="6" t="s">
        <v>282</v>
      </c>
      <c r="J3" s="6" t="s">
        <v>282</v>
      </c>
      <c r="K3" s="9">
        <v>0</v>
      </c>
      <c r="L3" s="6" t="s">
        <v>282</v>
      </c>
      <c r="M3" s="6" t="s">
        <v>282</v>
      </c>
      <c r="N3" s="9">
        <v>0</v>
      </c>
      <c r="O3" s="6" t="s">
        <v>282</v>
      </c>
      <c r="P3" s="6" t="s">
        <v>282</v>
      </c>
      <c r="Q3" s="9">
        <v>0</v>
      </c>
      <c r="R3" s="6" t="s">
        <v>282</v>
      </c>
      <c r="S3" s="6" t="s">
        <v>282</v>
      </c>
      <c r="T3" s="6" t="str">
        <f>IF(AND(D3&gt;0,OR(E3&gt;0,H3&gt;0,K3&gt;0,N3&gt;0,Q3&gt;0)),"Pendencia de Agenda e Cartões","")</f>
        <v/>
      </c>
      <c r="U3" s="6" t="str">
        <f t="shared" ref="U3:U65" si="0">IF(OR(G3="Pendência de TACH",J3="Pendência de TACH",M3="Pendência de TACH",P3="Pendência de TACH",S3="Pendência de TACH"),"Pendência de TACH","")</f>
        <v/>
      </c>
      <c r="V3" s="9">
        <f t="shared" ref="V3:V65" si="1">COUNTIF(F3:S3,"Pendência de Agenda")</f>
        <v>0</v>
      </c>
      <c r="W3" s="9">
        <f t="shared" ref="W3:W65" si="2">COUNTIF(F3:S3,"Pendência de TACH")</f>
        <v>0</v>
      </c>
      <c r="X3" s="6" t="str">
        <f t="shared" ref="X3:X65" si="3">IF(AND(T3&lt;&gt;"",U3&lt;&gt;""),T3&amp;" ("&amp;V3&amp;") &amp; "&amp;U3&amp;" ("&amp;W3&amp;")",IF(T3&lt;&gt;"",T3&amp;" ("&amp;V3&amp;")",IF(U3&lt;&gt;"",U3&amp;" ("&amp;W3&amp;")","")))</f>
        <v/>
      </c>
    </row>
    <row r="4" spans="1:24">
      <c r="A4" s="9">
        <v>7850</v>
      </c>
      <c r="B4" s="9" t="s">
        <v>11</v>
      </c>
      <c r="C4" s="9" t="s">
        <v>70</v>
      </c>
      <c r="D4" s="9">
        <v>8</v>
      </c>
      <c r="E4" s="9">
        <v>0</v>
      </c>
      <c r="F4" s="6" t="s">
        <v>287</v>
      </c>
      <c r="G4" s="6" t="s">
        <v>289</v>
      </c>
      <c r="H4" s="9">
        <v>0</v>
      </c>
      <c r="I4" s="6" t="s">
        <v>282</v>
      </c>
      <c r="J4" s="6" t="s">
        <v>282</v>
      </c>
      <c r="K4" s="9">
        <v>0</v>
      </c>
      <c r="L4" s="6" t="s">
        <v>282</v>
      </c>
      <c r="M4" s="6" t="s">
        <v>282</v>
      </c>
      <c r="N4" s="9">
        <v>0</v>
      </c>
      <c r="O4" s="6" t="s">
        <v>282</v>
      </c>
      <c r="P4" s="6" t="s">
        <v>282</v>
      </c>
      <c r="Q4" s="9">
        <v>0</v>
      </c>
      <c r="R4" s="6" t="s">
        <v>282</v>
      </c>
      <c r="S4" s="6" t="s">
        <v>282</v>
      </c>
      <c r="T4" s="6" t="str">
        <f t="shared" ref="T4:T66" si="4">IF(AND(D4&gt;0,OR(E4&gt;0,H4&gt;0,K4&gt;0,N4&gt;0,Q4&gt;0)),"Pendencia de Agenda e Cartões","")</f>
        <v/>
      </c>
      <c r="U4" s="6" t="str">
        <f t="shared" si="0"/>
        <v/>
      </c>
      <c r="V4" s="9">
        <f t="shared" si="1"/>
        <v>0</v>
      </c>
      <c r="W4" s="9">
        <f t="shared" si="2"/>
        <v>0</v>
      </c>
      <c r="X4" s="6" t="str">
        <f t="shared" si="3"/>
        <v/>
      </c>
    </row>
    <row r="5" spans="1:24">
      <c r="A5" s="9">
        <v>90013961</v>
      </c>
      <c r="B5" s="9" t="s">
        <v>87</v>
      </c>
      <c r="C5" s="9" t="s">
        <v>70</v>
      </c>
      <c r="D5" s="9">
        <v>8</v>
      </c>
      <c r="E5" s="9" t="s">
        <v>29</v>
      </c>
      <c r="F5" s="6" t="s">
        <v>283</v>
      </c>
      <c r="G5" s="6" t="s">
        <v>284</v>
      </c>
      <c r="H5" s="9" t="s">
        <v>29</v>
      </c>
      <c r="I5" s="6" t="s">
        <v>283</v>
      </c>
      <c r="J5" s="6" t="s">
        <v>284</v>
      </c>
      <c r="K5" s="9">
        <v>0</v>
      </c>
      <c r="L5" s="6" t="s">
        <v>282</v>
      </c>
      <c r="M5" s="6" t="s">
        <v>282</v>
      </c>
      <c r="N5" s="9">
        <v>0</v>
      </c>
      <c r="O5" s="6" t="s">
        <v>282</v>
      </c>
      <c r="P5" s="6" t="s">
        <v>282</v>
      </c>
      <c r="Q5" s="9">
        <v>0</v>
      </c>
      <c r="R5" s="6" t="s">
        <v>282</v>
      </c>
      <c r="S5" s="6" t="s">
        <v>282</v>
      </c>
      <c r="T5" s="6" t="str">
        <f t="shared" si="4"/>
        <v>Pendencia de Agenda e Cartões</v>
      </c>
      <c r="U5" s="6" t="str">
        <f t="shared" si="0"/>
        <v>Pendência de TACH</v>
      </c>
      <c r="V5" s="9">
        <f t="shared" si="1"/>
        <v>2</v>
      </c>
      <c r="W5" s="9">
        <f t="shared" si="2"/>
        <v>2</v>
      </c>
      <c r="X5" s="6" t="str">
        <f t="shared" si="3"/>
        <v>Pendencia de Agenda e Cartões (2) &amp; Pendência de TACH (2)</v>
      </c>
    </row>
    <row r="6" spans="1:24">
      <c r="A6" s="9">
        <v>23952</v>
      </c>
      <c r="B6" s="9" t="s">
        <v>16</v>
      </c>
      <c r="C6" s="9" t="s">
        <v>70</v>
      </c>
      <c r="D6" s="9">
        <v>10</v>
      </c>
      <c r="E6" s="9" t="s">
        <v>21</v>
      </c>
      <c r="F6" s="6" t="s">
        <v>283</v>
      </c>
      <c r="G6" s="6" t="s">
        <v>284</v>
      </c>
      <c r="H6" s="9" t="s">
        <v>21</v>
      </c>
      <c r="I6" s="6" t="s">
        <v>283</v>
      </c>
      <c r="J6" s="6" t="s">
        <v>284</v>
      </c>
      <c r="K6" s="9">
        <v>0</v>
      </c>
      <c r="L6" s="6" t="s">
        <v>282</v>
      </c>
      <c r="M6" s="6" t="s">
        <v>282</v>
      </c>
      <c r="N6" s="9">
        <v>0</v>
      </c>
      <c r="O6" s="6" t="s">
        <v>282</v>
      </c>
      <c r="P6" s="6" t="s">
        <v>282</v>
      </c>
      <c r="Q6" s="9">
        <v>0</v>
      </c>
      <c r="R6" s="6" t="s">
        <v>282</v>
      </c>
      <c r="S6" s="6" t="s">
        <v>282</v>
      </c>
      <c r="T6" s="6" t="str">
        <f t="shared" si="4"/>
        <v>Pendencia de Agenda e Cartões</v>
      </c>
      <c r="U6" s="6" t="str">
        <f t="shared" si="0"/>
        <v>Pendência de TACH</v>
      </c>
      <c r="V6" s="9">
        <f t="shared" si="1"/>
        <v>2</v>
      </c>
      <c r="W6" s="9">
        <f t="shared" si="2"/>
        <v>2</v>
      </c>
      <c r="X6" s="6" t="str">
        <f t="shared" si="3"/>
        <v>Pendencia de Agenda e Cartões (2) &amp; Pendência de TACH (2)</v>
      </c>
    </row>
    <row r="7" spans="1:24">
      <c r="A7" s="9">
        <v>90003158</v>
      </c>
      <c r="B7" s="9" t="s">
        <v>19</v>
      </c>
      <c r="C7" s="9" t="s">
        <v>70</v>
      </c>
      <c r="D7" s="9">
        <v>1</v>
      </c>
      <c r="E7" s="9">
        <v>0</v>
      </c>
      <c r="F7" s="6" t="s">
        <v>287</v>
      </c>
      <c r="G7" s="6" t="s">
        <v>289</v>
      </c>
      <c r="H7" s="9">
        <v>0</v>
      </c>
      <c r="I7" s="6" t="s">
        <v>282</v>
      </c>
      <c r="J7" s="6" t="s">
        <v>282</v>
      </c>
      <c r="K7" s="9">
        <v>0</v>
      </c>
      <c r="L7" s="6" t="s">
        <v>282</v>
      </c>
      <c r="M7" s="6" t="s">
        <v>282</v>
      </c>
      <c r="N7" s="9">
        <v>0</v>
      </c>
      <c r="O7" s="6" t="s">
        <v>282</v>
      </c>
      <c r="P7" s="6" t="s">
        <v>282</v>
      </c>
      <c r="Q7" s="9">
        <v>0</v>
      </c>
      <c r="R7" s="6" t="s">
        <v>282</v>
      </c>
      <c r="S7" s="6" t="s">
        <v>282</v>
      </c>
      <c r="T7" s="6" t="str">
        <f t="shared" si="4"/>
        <v/>
      </c>
      <c r="U7" s="6" t="str">
        <f t="shared" si="0"/>
        <v/>
      </c>
      <c r="V7" s="9">
        <f t="shared" si="1"/>
        <v>0</v>
      </c>
      <c r="W7" s="9">
        <f t="shared" si="2"/>
        <v>0</v>
      </c>
      <c r="X7" s="6" t="str">
        <f t="shared" si="3"/>
        <v/>
      </c>
    </row>
    <row r="8" spans="1:24">
      <c r="A8" s="9">
        <v>90009703</v>
      </c>
      <c r="B8" s="9" t="s">
        <v>24</v>
      </c>
      <c r="C8" s="9" t="s">
        <v>70</v>
      </c>
      <c r="D8" s="9">
        <v>18</v>
      </c>
      <c r="E8" s="9" t="s">
        <v>25</v>
      </c>
      <c r="F8" s="6" t="s">
        <v>283</v>
      </c>
      <c r="G8" s="6" t="s">
        <v>284</v>
      </c>
      <c r="H8" s="9" t="s">
        <v>25</v>
      </c>
      <c r="I8" s="6" t="s">
        <v>283</v>
      </c>
      <c r="J8" s="6" t="s">
        <v>284</v>
      </c>
      <c r="K8" s="9" t="s">
        <v>25</v>
      </c>
      <c r="L8" s="6" t="s">
        <v>283</v>
      </c>
      <c r="M8" s="6" t="s">
        <v>284</v>
      </c>
      <c r="N8" s="9" t="s">
        <v>25</v>
      </c>
      <c r="O8" s="6" t="s">
        <v>283</v>
      </c>
      <c r="P8" s="6" t="s">
        <v>284</v>
      </c>
      <c r="Q8" s="9">
        <v>18</v>
      </c>
      <c r="R8" s="6" t="s">
        <v>283</v>
      </c>
      <c r="S8" s="6" t="s">
        <v>284</v>
      </c>
      <c r="T8" s="6" t="str">
        <f t="shared" si="4"/>
        <v>Pendencia de Agenda e Cartões</v>
      </c>
      <c r="U8" s="6" t="str">
        <f t="shared" si="0"/>
        <v>Pendência de TACH</v>
      </c>
      <c r="V8" s="9">
        <f t="shared" si="1"/>
        <v>5</v>
      </c>
      <c r="W8" s="9">
        <f t="shared" si="2"/>
        <v>5</v>
      </c>
      <c r="X8" s="6" t="str">
        <f t="shared" si="3"/>
        <v>Pendencia de Agenda e Cartões (5) &amp; Pendência de TACH (5)</v>
      </c>
    </row>
    <row r="9" spans="1:24">
      <c r="A9" s="9">
        <v>28841</v>
      </c>
      <c r="B9" s="9" t="s">
        <v>99</v>
      </c>
      <c r="C9" s="9" t="s">
        <v>70</v>
      </c>
      <c r="D9" s="9">
        <v>14</v>
      </c>
      <c r="E9" s="9">
        <v>0</v>
      </c>
      <c r="F9" s="6" t="s">
        <v>287</v>
      </c>
      <c r="G9" s="6" t="s">
        <v>289</v>
      </c>
      <c r="H9" s="9">
        <v>0</v>
      </c>
      <c r="I9" s="6" t="s">
        <v>282</v>
      </c>
      <c r="J9" s="6" t="s">
        <v>282</v>
      </c>
      <c r="K9" s="9">
        <v>0</v>
      </c>
      <c r="L9" s="6" t="s">
        <v>282</v>
      </c>
      <c r="M9" s="6" t="s">
        <v>282</v>
      </c>
      <c r="N9" s="9">
        <v>0</v>
      </c>
      <c r="O9" s="6" t="s">
        <v>282</v>
      </c>
      <c r="P9" s="6" t="s">
        <v>282</v>
      </c>
      <c r="Q9" s="9">
        <v>0</v>
      </c>
      <c r="R9" s="6" t="s">
        <v>282</v>
      </c>
      <c r="S9" s="6" t="s">
        <v>282</v>
      </c>
      <c r="T9" s="6" t="str">
        <f t="shared" si="4"/>
        <v/>
      </c>
      <c r="U9" s="6" t="str">
        <f t="shared" si="0"/>
        <v/>
      </c>
      <c r="V9" s="9">
        <f t="shared" si="1"/>
        <v>0</v>
      </c>
      <c r="W9" s="9">
        <f t="shared" si="2"/>
        <v>0</v>
      </c>
      <c r="X9" s="6" t="str">
        <f t="shared" si="3"/>
        <v/>
      </c>
    </row>
    <row r="10" spans="1:24">
      <c r="A10" s="9">
        <v>90014031</v>
      </c>
      <c r="B10" s="9" t="s">
        <v>100</v>
      </c>
      <c r="C10" s="9" t="s">
        <v>70</v>
      </c>
      <c r="D10" s="9">
        <v>3</v>
      </c>
      <c r="E10" s="9">
        <v>0</v>
      </c>
      <c r="F10" s="6" t="s">
        <v>287</v>
      </c>
      <c r="G10" s="6" t="s">
        <v>290</v>
      </c>
      <c r="H10" s="9">
        <v>0</v>
      </c>
      <c r="I10" s="6" t="s">
        <v>282</v>
      </c>
      <c r="J10" s="6" t="s">
        <v>282</v>
      </c>
      <c r="K10" s="9">
        <v>0</v>
      </c>
      <c r="L10" s="6" t="s">
        <v>282</v>
      </c>
      <c r="M10" s="6" t="s">
        <v>282</v>
      </c>
      <c r="N10" s="9">
        <v>0</v>
      </c>
      <c r="O10" s="6" t="s">
        <v>282</v>
      </c>
      <c r="P10" s="6" t="s">
        <v>282</v>
      </c>
      <c r="Q10" s="9">
        <v>0</v>
      </c>
      <c r="R10" s="6" t="s">
        <v>282</v>
      </c>
      <c r="S10" s="6" t="s">
        <v>282</v>
      </c>
      <c r="T10" s="6" t="str">
        <f t="shared" si="4"/>
        <v/>
      </c>
      <c r="U10" s="6" t="str">
        <f t="shared" si="0"/>
        <v/>
      </c>
      <c r="V10" s="9">
        <f t="shared" si="1"/>
        <v>0</v>
      </c>
      <c r="W10" s="9">
        <f t="shared" si="2"/>
        <v>0</v>
      </c>
      <c r="X10" s="6" t="str">
        <f t="shared" si="3"/>
        <v/>
      </c>
    </row>
    <row r="11" spans="1:24">
      <c r="A11" s="9">
        <v>90005226</v>
      </c>
      <c r="B11" s="9" t="s">
        <v>31</v>
      </c>
      <c r="C11" s="9" t="s">
        <v>70</v>
      </c>
      <c r="D11" s="9">
        <v>14</v>
      </c>
      <c r="E11" s="9" t="s">
        <v>46</v>
      </c>
      <c r="F11" s="6" t="s">
        <v>283</v>
      </c>
      <c r="G11" s="6" t="s">
        <v>284</v>
      </c>
      <c r="H11" s="9" t="s">
        <v>46</v>
      </c>
      <c r="I11" s="6" t="s">
        <v>283</v>
      </c>
      <c r="J11" s="6" t="s">
        <v>284</v>
      </c>
      <c r="K11" s="9" t="s">
        <v>46</v>
      </c>
      <c r="L11" s="6" t="s">
        <v>283</v>
      </c>
      <c r="M11" s="6" t="s">
        <v>284</v>
      </c>
      <c r="N11" s="9" t="s">
        <v>46</v>
      </c>
      <c r="O11" s="6" t="s">
        <v>283</v>
      </c>
      <c r="P11" s="6" t="s">
        <v>284</v>
      </c>
      <c r="Q11" s="9">
        <v>14</v>
      </c>
      <c r="R11" s="6" t="s">
        <v>283</v>
      </c>
      <c r="S11" s="6" t="s">
        <v>284</v>
      </c>
      <c r="T11" s="6" t="str">
        <f t="shared" si="4"/>
        <v>Pendencia de Agenda e Cartões</v>
      </c>
      <c r="U11" s="6" t="str">
        <f t="shared" si="0"/>
        <v>Pendência de TACH</v>
      </c>
      <c r="V11" s="9">
        <f t="shared" si="1"/>
        <v>5</v>
      </c>
      <c r="W11" s="9">
        <f t="shared" si="2"/>
        <v>5</v>
      </c>
      <c r="X11" s="6" t="str">
        <f t="shared" si="3"/>
        <v>Pendencia de Agenda e Cartões (5) &amp; Pendência de TACH (5)</v>
      </c>
    </row>
    <row r="12" spans="1:24">
      <c r="A12" s="9">
        <v>90005023</v>
      </c>
      <c r="B12" s="9" t="s">
        <v>32</v>
      </c>
      <c r="C12" s="9" t="s">
        <v>70</v>
      </c>
      <c r="D12" s="9">
        <v>10</v>
      </c>
      <c r="E12" s="9" t="s">
        <v>21</v>
      </c>
      <c r="F12" s="6" t="s">
        <v>283</v>
      </c>
      <c r="G12" s="6" t="s">
        <v>285</v>
      </c>
      <c r="H12" s="9" t="s">
        <v>21</v>
      </c>
      <c r="I12" s="6" t="s">
        <v>283</v>
      </c>
      <c r="J12" s="6" t="s">
        <v>285</v>
      </c>
      <c r="K12" s="9" t="s">
        <v>21</v>
      </c>
      <c r="L12" s="6" t="s">
        <v>283</v>
      </c>
      <c r="M12" s="6" t="s">
        <v>285</v>
      </c>
      <c r="N12" s="9">
        <v>0</v>
      </c>
      <c r="O12" s="6" t="s">
        <v>282</v>
      </c>
      <c r="P12" s="6" t="s">
        <v>282</v>
      </c>
      <c r="Q12" s="9">
        <v>0</v>
      </c>
      <c r="R12" s="6" t="s">
        <v>282</v>
      </c>
      <c r="S12" s="6" t="s">
        <v>282</v>
      </c>
      <c r="T12" s="6" t="str">
        <f t="shared" si="4"/>
        <v>Pendencia de Agenda e Cartões</v>
      </c>
      <c r="U12" s="6" t="str">
        <f t="shared" si="0"/>
        <v/>
      </c>
      <c r="V12" s="9">
        <f t="shared" si="1"/>
        <v>3</v>
      </c>
      <c r="W12" s="9">
        <f t="shared" si="2"/>
        <v>0</v>
      </c>
      <c r="X12" s="6" t="str">
        <f t="shared" si="3"/>
        <v>Pendencia de Agenda e Cartões (3)</v>
      </c>
    </row>
    <row r="13" spans="1:24">
      <c r="A13" s="9">
        <v>34033</v>
      </c>
      <c r="B13" s="9" t="s">
        <v>35</v>
      </c>
      <c r="C13" s="9" t="s">
        <v>70</v>
      </c>
      <c r="D13" s="9">
        <v>2</v>
      </c>
      <c r="E13" s="9">
        <v>0</v>
      </c>
      <c r="F13" s="6" t="s">
        <v>287</v>
      </c>
      <c r="G13" s="6" t="s">
        <v>289</v>
      </c>
      <c r="H13" s="9">
        <v>0</v>
      </c>
      <c r="I13" s="6" t="s">
        <v>282</v>
      </c>
      <c r="J13" s="6" t="s">
        <v>282</v>
      </c>
      <c r="K13" s="9">
        <v>0</v>
      </c>
      <c r="L13" s="6" t="s">
        <v>282</v>
      </c>
      <c r="M13" s="6" t="s">
        <v>282</v>
      </c>
      <c r="N13" s="9">
        <v>0</v>
      </c>
      <c r="O13" s="6" t="s">
        <v>282</v>
      </c>
      <c r="P13" s="6" t="s">
        <v>282</v>
      </c>
      <c r="Q13" s="9">
        <v>0</v>
      </c>
      <c r="R13" s="6" t="s">
        <v>282</v>
      </c>
      <c r="S13" s="6" t="s">
        <v>282</v>
      </c>
      <c r="T13" s="6" t="str">
        <f t="shared" si="4"/>
        <v/>
      </c>
      <c r="U13" s="6" t="str">
        <f t="shared" si="0"/>
        <v/>
      </c>
      <c r="V13" s="9">
        <f t="shared" si="1"/>
        <v>0</v>
      </c>
      <c r="W13" s="9">
        <f t="shared" si="2"/>
        <v>0</v>
      </c>
      <c r="X13" s="6" t="str">
        <f t="shared" si="3"/>
        <v/>
      </c>
    </row>
    <row r="14" spans="1:24">
      <c r="A14" s="9">
        <v>9506</v>
      </c>
      <c r="B14" s="9" t="s">
        <v>101</v>
      </c>
      <c r="C14" s="9" t="s">
        <v>70</v>
      </c>
      <c r="D14" s="9">
        <v>1</v>
      </c>
      <c r="E14" s="9" t="s">
        <v>20</v>
      </c>
      <c r="F14" s="6" t="s">
        <v>283</v>
      </c>
      <c r="G14" s="6" t="s">
        <v>285</v>
      </c>
      <c r="H14" s="9" t="s">
        <v>20</v>
      </c>
      <c r="I14" s="6" t="s">
        <v>283</v>
      </c>
      <c r="J14" s="6" t="s">
        <v>285</v>
      </c>
      <c r="K14" s="9" t="s">
        <v>20</v>
      </c>
      <c r="L14" s="6" t="s">
        <v>283</v>
      </c>
      <c r="M14" s="6" t="s">
        <v>285</v>
      </c>
      <c r="N14" s="9" t="s">
        <v>20</v>
      </c>
      <c r="O14" s="6" t="s">
        <v>283</v>
      </c>
      <c r="P14" s="6" t="s">
        <v>285</v>
      </c>
      <c r="Q14" s="9">
        <v>0</v>
      </c>
      <c r="R14" s="6" t="s">
        <v>282</v>
      </c>
      <c r="S14" s="6" t="s">
        <v>282</v>
      </c>
      <c r="T14" s="6" t="str">
        <f t="shared" si="4"/>
        <v>Pendencia de Agenda e Cartões</v>
      </c>
      <c r="U14" s="6" t="str">
        <f t="shared" si="0"/>
        <v/>
      </c>
      <c r="V14" s="9">
        <f t="shared" si="1"/>
        <v>4</v>
      </c>
      <c r="W14" s="9">
        <f t="shared" si="2"/>
        <v>0</v>
      </c>
      <c r="X14" s="6" t="str">
        <f t="shared" si="3"/>
        <v>Pendencia de Agenda e Cartões (4)</v>
      </c>
    </row>
    <row r="15" spans="1:24">
      <c r="A15" s="9">
        <v>90012464</v>
      </c>
      <c r="B15" s="9" t="s">
        <v>102</v>
      </c>
      <c r="C15" s="9" t="s">
        <v>70</v>
      </c>
      <c r="D15" s="9">
        <v>4</v>
      </c>
      <c r="E15" s="9">
        <v>0</v>
      </c>
      <c r="F15" s="6" t="s">
        <v>287</v>
      </c>
      <c r="G15" s="6" t="s">
        <v>289</v>
      </c>
      <c r="H15" s="9">
        <v>0</v>
      </c>
      <c r="I15" s="6" t="s">
        <v>282</v>
      </c>
      <c r="J15" s="6" t="s">
        <v>282</v>
      </c>
      <c r="K15" s="9">
        <v>0</v>
      </c>
      <c r="L15" s="6" t="s">
        <v>282</v>
      </c>
      <c r="M15" s="6" t="s">
        <v>282</v>
      </c>
      <c r="N15" s="9">
        <v>0</v>
      </c>
      <c r="O15" s="6" t="s">
        <v>282</v>
      </c>
      <c r="P15" s="6" t="s">
        <v>282</v>
      </c>
      <c r="Q15" s="9">
        <v>0</v>
      </c>
      <c r="R15" s="6" t="s">
        <v>282</v>
      </c>
      <c r="S15" s="6" t="s">
        <v>282</v>
      </c>
      <c r="T15" s="6" t="str">
        <f t="shared" si="4"/>
        <v/>
      </c>
      <c r="U15" s="6" t="str">
        <f t="shared" si="0"/>
        <v/>
      </c>
      <c r="V15" s="9">
        <f t="shared" si="1"/>
        <v>0</v>
      </c>
      <c r="W15" s="9">
        <f t="shared" si="2"/>
        <v>0</v>
      </c>
      <c r="X15" s="6" t="str">
        <f t="shared" si="3"/>
        <v/>
      </c>
    </row>
    <row r="16" spans="1:24">
      <c r="A16" s="9">
        <v>90013955</v>
      </c>
      <c r="B16" s="9" t="s">
        <v>89</v>
      </c>
      <c r="C16" s="9" t="s">
        <v>70</v>
      </c>
      <c r="D16" s="9">
        <v>3</v>
      </c>
      <c r="E16" s="9" t="s">
        <v>51</v>
      </c>
      <c r="F16" s="6" t="s">
        <v>283</v>
      </c>
      <c r="G16" s="6" t="s">
        <v>284</v>
      </c>
      <c r="H16" s="9" t="s">
        <v>51</v>
      </c>
      <c r="I16" s="6" t="s">
        <v>283</v>
      </c>
      <c r="J16" s="6" t="s">
        <v>284</v>
      </c>
      <c r="K16" s="9" t="s">
        <v>51</v>
      </c>
      <c r="L16" s="6" t="s">
        <v>283</v>
      </c>
      <c r="M16" s="6" t="s">
        <v>284</v>
      </c>
      <c r="N16" s="9" t="s">
        <v>51</v>
      </c>
      <c r="O16" s="6" t="s">
        <v>283</v>
      </c>
      <c r="P16" s="6" t="s">
        <v>284</v>
      </c>
      <c r="Q16" s="9">
        <v>3</v>
      </c>
      <c r="R16" s="6" t="s">
        <v>283</v>
      </c>
      <c r="S16" s="6" t="s">
        <v>284</v>
      </c>
      <c r="T16" s="6" t="str">
        <f t="shared" si="4"/>
        <v>Pendencia de Agenda e Cartões</v>
      </c>
      <c r="U16" s="6" t="str">
        <f t="shared" si="0"/>
        <v>Pendência de TACH</v>
      </c>
      <c r="V16" s="9">
        <f t="shared" si="1"/>
        <v>5</v>
      </c>
      <c r="W16" s="9">
        <f t="shared" si="2"/>
        <v>5</v>
      </c>
      <c r="X16" s="6" t="str">
        <f t="shared" si="3"/>
        <v>Pendencia de Agenda e Cartões (5) &amp; Pendência de TACH (5)</v>
      </c>
    </row>
    <row r="17" spans="1:24">
      <c r="A17" s="9">
        <v>90002842</v>
      </c>
      <c r="B17" s="9" t="s">
        <v>38</v>
      </c>
      <c r="C17" s="9" t="s">
        <v>70</v>
      </c>
      <c r="D17" s="9">
        <v>22</v>
      </c>
      <c r="E17" s="9" t="s">
        <v>83</v>
      </c>
      <c r="F17" s="6" t="s">
        <v>283</v>
      </c>
      <c r="G17" s="6" t="s">
        <v>284</v>
      </c>
      <c r="H17" s="9">
        <v>0</v>
      </c>
      <c r="I17" s="6" t="s">
        <v>286</v>
      </c>
      <c r="J17" s="6" t="s">
        <v>284</v>
      </c>
      <c r="K17" s="9">
        <v>0</v>
      </c>
      <c r="L17" s="6" t="s">
        <v>282</v>
      </c>
      <c r="M17" s="6" t="s">
        <v>282</v>
      </c>
      <c r="N17" s="9">
        <v>0</v>
      </c>
      <c r="O17" s="6" t="s">
        <v>282</v>
      </c>
      <c r="P17" s="6" t="s">
        <v>282</v>
      </c>
      <c r="Q17" s="9">
        <v>0</v>
      </c>
      <c r="R17" s="6" t="s">
        <v>282</v>
      </c>
      <c r="S17" s="6" t="s">
        <v>282</v>
      </c>
      <c r="T17" s="6" t="str">
        <f t="shared" si="4"/>
        <v>Pendencia de Agenda e Cartões</v>
      </c>
      <c r="U17" s="6" t="str">
        <f t="shared" si="0"/>
        <v>Pendência de TACH</v>
      </c>
      <c r="V17" s="9">
        <f t="shared" si="1"/>
        <v>1</v>
      </c>
      <c r="W17" s="9">
        <f t="shared" si="2"/>
        <v>2</v>
      </c>
      <c r="X17" s="6" t="str">
        <f t="shared" si="3"/>
        <v>Pendencia de Agenda e Cartões (1) &amp; Pendência de TACH (2)</v>
      </c>
    </row>
    <row r="18" spans="1:24">
      <c r="A18" s="9">
        <v>23773</v>
      </c>
      <c r="B18" s="9" t="s">
        <v>40</v>
      </c>
      <c r="C18" s="9" t="s">
        <v>70</v>
      </c>
      <c r="D18" s="9">
        <v>7</v>
      </c>
      <c r="E18" s="9">
        <v>0</v>
      </c>
      <c r="F18" s="6" t="s">
        <v>287</v>
      </c>
      <c r="G18" s="6" t="s">
        <v>289</v>
      </c>
      <c r="H18" s="9">
        <v>0</v>
      </c>
      <c r="I18" s="6" t="s">
        <v>282</v>
      </c>
      <c r="J18" s="6" t="s">
        <v>282</v>
      </c>
      <c r="K18" s="9">
        <v>0</v>
      </c>
      <c r="L18" s="6" t="s">
        <v>282</v>
      </c>
      <c r="M18" s="6" t="s">
        <v>282</v>
      </c>
      <c r="N18" s="9">
        <v>0</v>
      </c>
      <c r="O18" s="6" t="s">
        <v>282</v>
      </c>
      <c r="P18" s="6" t="s">
        <v>282</v>
      </c>
      <c r="Q18" s="9">
        <v>0</v>
      </c>
      <c r="R18" s="6" t="s">
        <v>282</v>
      </c>
      <c r="S18" s="6" t="s">
        <v>282</v>
      </c>
      <c r="T18" s="6" t="str">
        <f t="shared" si="4"/>
        <v/>
      </c>
      <c r="U18" s="6" t="str">
        <f t="shared" si="0"/>
        <v/>
      </c>
      <c r="V18" s="9">
        <f t="shared" si="1"/>
        <v>0</v>
      </c>
      <c r="W18" s="9">
        <f t="shared" si="2"/>
        <v>0</v>
      </c>
      <c r="X18" s="6" t="str">
        <f t="shared" si="3"/>
        <v/>
      </c>
    </row>
    <row r="19" spans="1:24">
      <c r="A19" s="9">
        <v>90012407</v>
      </c>
      <c r="B19" s="9" t="s">
        <v>103</v>
      </c>
      <c r="C19" s="9" t="s">
        <v>70</v>
      </c>
      <c r="D19" s="9">
        <v>9</v>
      </c>
      <c r="E19" s="9">
        <v>0</v>
      </c>
      <c r="F19" s="6" t="s">
        <v>287</v>
      </c>
      <c r="G19" s="6" t="s">
        <v>289</v>
      </c>
      <c r="H19" s="9">
        <v>0</v>
      </c>
      <c r="I19" s="6" t="s">
        <v>282</v>
      </c>
      <c r="J19" s="6" t="s">
        <v>282</v>
      </c>
      <c r="K19" s="9">
        <v>0</v>
      </c>
      <c r="L19" s="6" t="s">
        <v>282</v>
      </c>
      <c r="M19" s="6" t="s">
        <v>282</v>
      </c>
      <c r="N19" s="9">
        <v>0</v>
      </c>
      <c r="O19" s="6" t="s">
        <v>282</v>
      </c>
      <c r="P19" s="6" t="s">
        <v>282</v>
      </c>
      <c r="Q19" s="9">
        <v>0</v>
      </c>
      <c r="R19" s="6" t="s">
        <v>282</v>
      </c>
      <c r="S19" s="6" t="s">
        <v>282</v>
      </c>
      <c r="T19" s="6" t="str">
        <f t="shared" si="4"/>
        <v/>
      </c>
      <c r="U19" s="6" t="str">
        <f t="shared" si="0"/>
        <v/>
      </c>
      <c r="V19" s="9">
        <f t="shared" si="1"/>
        <v>0</v>
      </c>
      <c r="W19" s="9">
        <f t="shared" si="2"/>
        <v>0</v>
      </c>
      <c r="X19" s="6" t="str">
        <f t="shared" si="3"/>
        <v/>
      </c>
    </row>
    <row r="20" spans="1:24">
      <c r="A20" s="9">
        <v>90005014</v>
      </c>
      <c r="B20" s="9" t="s">
        <v>80</v>
      </c>
      <c r="C20" s="9" t="s">
        <v>70</v>
      </c>
      <c r="D20" s="9">
        <v>2</v>
      </c>
      <c r="E20" s="9" t="s">
        <v>8</v>
      </c>
      <c r="F20" s="6" t="s">
        <v>283</v>
      </c>
      <c r="G20" s="6" t="s">
        <v>284</v>
      </c>
      <c r="H20" s="9" t="s">
        <v>8</v>
      </c>
      <c r="I20" s="6" t="s">
        <v>283</v>
      </c>
      <c r="J20" s="6" t="s">
        <v>284</v>
      </c>
      <c r="K20" s="9">
        <v>0</v>
      </c>
      <c r="L20" s="6" t="s">
        <v>282</v>
      </c>
      <c r="M20" s="6" t="s">
        <v>282</v>
      </c>
      <c r="N20" s="9">
        <v>0</v>
      </c>
      <c r="O20" s="6" t="s">
        <v>282</v>
      </c>
      <c r="P20" s="6" t="s">
        <v>282</v>
      </c>
      <c r="Q20" s="9">
        <v>0</v>
      </c>
      <c r="R20" s="6" t="s">
        <v>282</v>
      </c>
      <c r="S20" s="6" t="s">
        <v>282</v>
      </c>
      <c r="T20" s="6" t="str">
        <f t="shared" si="4"/>
        <v>Pendencia de Agenda e Cartões</v>
      </c>
      <c r="U20" s="6" t="str">
        <f t="shared" si="0"/>
        <v>Pendência de TACH</v>
      </c>
      <c r="V20" s="9">
        <f t="shared" si="1"/>
        <v>2</v>
      </c>
      <c r="W20" s="9">
        <f t="shared" si="2"/>
        <v>2</v>
      </c>
      <c r="X20" s="6" t="str">
        <f t="shared" si="3"/>
        <v>Pendencia de Agenda e Cartões (2) &amp; Pendência de TACH (2)</v>
      </c>
    </row>
    <row r="21" spans="1:24">
      <c r="A21" s="9">
        <v>90009702</v>
      </c>
      <c r="B21" s="9" t="s">
        <v>104</v>
      </c>
      <c r="C21" s="9" t="s">
        <v>70</v>
      </c>
      <c r="D21" s="9">
        <v>15</v>
      </c>
      <c r="E21" s="9">
        <v>0</v>
      </c>
      <c r="F21" s="6" t="s">
        <v>282</v>
      </c>
      <c r="G21" s="6" t="s">
        <v>282</v>
      </c>
      <c r="H21" s="9">
        <v>0</v>
      </c>
      <c r="I21" s="6" t="s">
        <v>286</v>
      </c>
      <c r="J21" s="6" t="s">
        <v>284</v>
      </c>
      <c r="K21" s="9">
        <v>0</v>
      </c>
      <c r="L21" s="6" t="s">
        <v>282</v>
      </c>
      <c r="M21" s="6" t="s">
        <v>282</v>
      </c>
      <c r="N21" s="9">
        <v>0</v>
      </c>
      <c r="O21" s="6" t="s">
        <v>282</v>
      </c>
      <c r="P21" s="6" t="s">
        <v>282</v>
      </c>
      <c r="Q21" s="9">
        <v>0</v>
      </c>
      <c r="R21" s="6" t="s">
        <v>282</v>
      </c>
      <c r="S21" s="6" t="s">
        <v>282</v>
      </c>
      <c r="T21" s="6" t="str">
        <f t="shared" si="4"/>
        <v/>
      </c>
      <c r="U21" s="6" t="str">
        <f t="shared" si="0"/>
        <v>Pendência de TACH</v>
      </c>
      <c r="V21" s="9">
        <f t="shared" si="1"/>
        <v>0</v>
      </c>
      <c r="W21" s="9">
        <f t="shared" si="2"/>
        <v>1</v>
      </c>
      <c r="X21" s="6" t="str">
        <f t="shared" si="3"/>
        <v>Pendência de TACH (1)</v>
      </c>
    </row>
    <row r="22" spans="1:24">
      <c r="A22" s="9">
        <v>90011183</v>
      </c>
      <c r="B22" s="9" t="s">
        <v>42</v>
      </c>
      <c r="C22" s="9" t="s">
        <v>70</v>
      </c>
      <c r="D22" s="9">
        <v>4</v>
      </c>
      <c r="E22" s="9" t="s">
        <v>5</v>
      </c>
      <c r="F22" s="6" t="s">
        <v>283</v>
      </c>
      <c r="G22" s="6" t="s">
        <v>284</v>
      </c>
      <c r="H22" s="9" t="s">
        <v>5</v>
      </c>
      <c r="I22" s="6" t="s">
        <v>283</v>
      </c>
      <c r="J22" s="6" t="s">
        <v>284</v>
      </c>
      <c r="K22" s="9" t="s">
        <v>5</v>
      </c>
      <c r="L22" s="6" t="s">
        <v>283</v>
      </c>
      <c r="M22" s="6" t="s">
        <v>284</v>
      </c>
      <c r="N22" s="9" t="s">
        <v>5</v>
      </c>
      <c r="O22" s="6" t="s">
        <v>283</v>
      </c>
      <c r="P22" s="6" t="s">
        <v>284</v>
      </c>
      <c r="Q22" s="9">
        <v>0</v>
      </c>
      <c r="R22" s="6" t="s">
        <v>282</v>
      </c>
      <c r="S22" s="6" t="s">
        <v>282</v>
      </c>
      <c r="T22" s="6" t="str">
        <f t="shared" si="4"/>
        <v>Pendencia de Agenda e Cartões</v>
      </c>
      <c r="U22" s="6" t="str">
        <f t="shared" si="0"/>
        <v>Pendência de TACH</v>
      </c>
      <c r="V22" s="9">
        <f t="shared" si="1"/>
        <v>4</v>
      </c>
      <c r="W22" s="9">
        <f t="shared" si="2"/>
        <v>4</v>
      </c>
      <c r="X22" s="6" t="str">
        <f t="shared" si="3"/>
        <v>Pendencia de Agenda e Cartões (4) &amp; Pendência de TACH (4)</v>
      </c>
    </row>
    <row r="23" spans="1:24">
      <c r="A23" s="9">
        <v>90003306</v>
      </c>
      <c r="B23" s="9" t="s">
        <v>43</v>
      </c>
      <c r="C23" s="9" t="s">
        <v>70</v>
      </c>
      <c r="D23" s="9">
        <v>8</v>
      </c>
      <c r="E23" s="9" t="s">
        <v>29</v>
      </c>
      <c r="F23" s="6" t="s">
        <v>283</v>
      </c>
      <c r="G23" s="6" t="s">
        <v>284</v>
      </c>
      <c r="H23" s="9" t="s">
        <v>29</v>
      </c>
      <c r="I23" s="6" t="s">
        <v>283</v>
      </c>
      <c r="J23" s="6" t="s">
        <v>284</v>
      </c>
      <c r="K23" s="9" t="s">
        <v>29</v>
      </c>
      <c r="L23" s="6" t="s">
        <v>283</v>
      </c>
      <c r="M23" s="6" t="s">
        <v>284</v>
      </c>
      <c r="N23" s="9" t="s">
        <v>29</v>
      </c>
      <c r="O23" s="6" t="s">
        <v>283</v>
      </c>
      <c r="P23" s="6" t="s">
        <v>284</v>
      </c>
      <c r="Q23" s="9">
        <v>8</v>
      </c>
      <c r="R23" s="6" t="s">
        <v>283</v>
      </c>
      <c r="S23" s="6" t="s">
        <v>284</v>
      </c>
      <c r="T23" s="6" t="str">
        <f t="shared" si="4"/>
        <v>Pendencia de Agenda e Cartões</v>
      </c>
      <c r="U23" s="6" t="str">
        <f t="shared" si="0"/>
        <v>Pendência de TACH</v>
      </c>
      <c r="V23" s="9">
        <f t="shared" si="1"/>
        <v>5</v>
      </c>
      <c r="W23" s="9">
        <f t="shared" si="2"/>
        <v>5</v>
      </c>
      <c r="X23" s="6" t="str">
        <f t="shared" si="3"/>
        <v>Pendencia de Agenda e Cartões (5) &amp; Pendência de TACH (5)</v>
      </c>
    </row>
    <row r="24" spans="1:24">
      <c r="A24" s="9">
        <v>90003308</v>
      </c>
      <c r="B24" s="9" t="s">
        <v>105</v>
      </c>
      <c r="C24" s="9" t="s">
        <v>70</v>
      </c>
      <c r="D24" s="9">
        <v>34</v>
      </c>
      <c r="E24" s="9">
        <v>0</v>
      </c>
      <c r="F24" s="6" t="s">
        <v>287</v>
      </c>
      <c r="G24" s="6" t="s">
        <v>290</v>
      </c>
      <c r="H24" s="9">
        <v>0</v>
      </c>
      <c r="I24" s="6" t="s">
        <v>282</v>
      </c>
      <c r="J24" s="6" t="s">
        <v>282</v>
      </c>
      <c r="K24" s="9">
        <v>0</v>
      </c>
      <c r="L24" s="6" t="s">
        <v>282</v>
      </c>
      <c r="M24" s="6" t="s">
        <v>282</v>
      </c>
      <c r="N24" s="9">
        <v>0</v>
      </c>
      <c r="O24" s="6" t="s">
        <v>282</v>
      </c>
      <c r="P24" s="6" t="s">
        <v>282</v>
      </c>
      <c r="Q24" s="9">
        <v>0</v>
      </c>
      <c r="R24" s="6" t="s">
        <v>282</v>
      </c>
      <c r="S24" s="6" t="s">
        <v>282</v>
      </c>
      <c r="T24" s="6" t="str">
        <f t="shared" si="4"/>
        <v/>
      </c>
      <c r="U24" s="6" t="str">
        <f t="shared" si="0"/>
        <v/>
      </c>
      <c r="V24" s="9">
        <f t="shared" si="1"/>
        <v>0</v>
      </c>
      <c r="W24" s="9">
        <f t="shared" si="2"/>
        <v>0</v>
      </c>
      <c r="X24" s="6" t="str">
        <f t="shared" si="3"/>
        <v/>
      </c>
    </row>
    <row r="25" spans="1:24">
      <c r="A25" s="9">
        <v>90013946</v>
      </c>
      <c r="B25" s="9" t="s">
        <v>81</v>
      </c>
      <c r="C25" s="9" t="s">
        <v>70</v>
      </c>
      <c r="D25" s="9">
        <v>15</v>
      </c>
      <c r="E25" s="9">
        <v>0</v>
      </c>
      <c r="F25" s="6" t="s">
        <v>287</v>
      </c>
      <c r="G25" s="6" t="s">
        <v>289</v>
      </c>
      <c r="H25" s="9">
        <v>0</v>
      </c>
      <c r="I25" s="6" t="s">
        <v>282</v>
      </c>
      <c r="J25" s="6" t="s">
        <v>282</v>
      </c>
      <c r="K25" s="9">
        <v>0</v>
      </c>
      <c r="L25" s="6" t="s">
        <v>282</v>
      </c>
      <c r="M25" s="6" t="s">
        <v>282</v>
      </c>
      <c r="N25" s="9">
        <v>0</v>
      </c>
      <c r="O25" s="6" t="s">
        <v>282</v>
      </c>
      <c r="P25" s="6" t="s">
        <v>282</v>
      </c>
      <c r="Q25" s="9">
        <v>0</v>
      </c>
      <c r="R25" s="6" t="s">
        <v>282</v>
      </c>
      <c r="S25" s="6" t="s">
        <v>282</v>
      </c>
      <c r="T25" s="6" t="str">
        <f t="shared" si="4"/>
        <v/>
      </c>
      <c r="U25" s="6" t="str">
        <f t="shared" si="0"/>
        <v/>
      </c>
      <c r="V25" s="9">
        <f t="shared" si="1"/>
        <v>0</v>
      </c>
      <c r="W25" s="9">
        <f t="shared" si="2"/>
        <v>0</v>
      </c>
      <c r="X25" s="6" t="str">
        <f t="shared" si="3"/>
        <v/>
      </c>
    </row>
    <row r="26" spans="1:24">
      <c r="A26" s="9">
        <v>90010235</v>
      </c>
      <c r="B26" s="9" t="s">
        <v>95</v>
      </c>
      <c r="C26" s="9" t="s">
        <v>70</v>
      </c>
      <c r="D26" s="9">
        <v>22</v>
      </c>
      <c r="E26" s="9">
        <v>0</v>
      </c>
      <c r="F26" s="6" t="s">
        <v>287</v>
      </c>
      <c r="G26" s="6" t="s">
        <v>289</v>
      </c>
      <c r="H26" s="9">
        <v>0</v>
      </c>
      <c r="I26" s="6" t="s">
        <v>282</v>
      </c>
      <c r="J26" s="6" t="s">
        <v>282</v>
      </c>
      <c r="K26" s="9">
        <v>0</v>
      </c>
      <c r="L26" s="6" t="s">
        <v>282</v>
      </c>
      <c r="M26" s="6" t="s">
        <v>282</v>
      </c>
      <c r="N26" s="9">
        <v>0</v>
      </c>
      <c r="O26" s="6" t="s">
        <v>282</v>
      </c>
      <c r="P26" s="6" t="s">
        <v>282</v>
      </c>
      <c r="Q26" s="9">
        <v>0</v>
      </c>
      <c r="R26" s="6" t="s">
        <v>282</v>
      </c>
      <c r="S26" s="6" t="s">
        <v>282</v>
      </c>
      <c r="T26" s="6" t="str">
        <f t="shared" si="4"/>
        <v/>
      </c>
      <c r="U26" s="6" t="str">
        <f t="shared" si="0"/>
        <v/>
      </c>
      <c r="V26" s="9">
        <f t="shared" si="1"/>
        <v>0</v>
      </c>
      <c r="W26" s="9">
        <f t="shared" si="2"/>
        <v>0</v>
      </c>
      <c r="X26" s="6" t="str">
        <f t="shared" si="3"/>
        <v/>
      </c>
    </row>
    <row r="27" spans="1:24">
      <c r="A27" s="9">
        <v>90013958</v>
      </c>
      <c r="B27" s="9" t="s">
        <v>90</v>
      </c>
      <c r="C27" s="9" t="s">
        <v>70</v>
      </c>
      <c r="D27" s="9">
        <v>2</v>
      </c>
      <c r="E27" s="9" t="s">
        <v>8</v>
      </c>
      <c r="F27" s="6" t="s">
        <v>283</v>
      </c>
      <c r="G27" s="6" t="s">
        <v>284</v>
      </c>
      <c r="H27" s="9" t="s">
        <v>8</v>
      </c>
      <c r="I27" s="6" t="s">
        <v>283</v>
      </c>
      <c r="J27" s="6" t="s">
        <v>284</v>
      </c>
      <c r="K27" s="9" t="s">
        <v>8</v>
      </c>
      <c r="L27" s="6" t="s">
        <v>283</v>
      </c>
      <c r="M27" s="6" t="s">
        <v>284</v>
      </c>
      <c r="N27" s="9" t="s">
        <v>8</v>
      </c>
      <c r="O27" s="6" t="s">
        <v>283</v>
      </c>
      <c r="P27" s="6" t="s">
        <v>284</v>
      </c>
      <c r="Q27" s="9">
        <v>2</v>
      </c>
      <c r="R27" s="6" t="s">
        <v>283</v>
      </c>
      <c r="S27" s="6" t="s">
        <v>284</v>
      </c>
      <c r="T27" s="6" t="str">
        <f t="shared" si="4"/>
        <v>Pendencia de Agenda e Cartões</v>
      </c>
      <c r="U27" s="6" t="str">
        <f t="shared" si="0"/>
        <v>Pendência de TACH</v>
      </c>
      <c r="V27" s="9">
        <f t="shared" si="1"/>
        <v>5</v>
      </c>
      <c r="W27" s="9">
        <f t="shared" si="2"/>
        <v>5</v>
      </c>
      <c r="X27" s="6" t="str">
        <f t="shared" si="3"/>
        <v>Pendencia de Agenda e Cartões (5) &amp; Pendência de TACH (5)</v>
      </c>
    </row>
    <row r="28" spans="1:24">
      <c r="A28" s="9">
        <v>90002614</v>
      </c>
      <c r="B28" s="9" t="s">
        <v>44</v>
      </c>
      <c r="C28" s="9" t="s">
        <v>70</v>
      </c>
      <c r="D28" s="9">
        <v>2</v>
      </c>
      <c r="E28" s="9" t="s">
        <v>8</v>
      </c>
      <c r="F28" s="6" t="s">
        <v>283</v>
      </c>
      <c r="G28" s="6" t="s">
        <v>285</v>
      </c>
      <c r="H28" s="9" t="s">
        <v>8</v>
      </c>
      <c r="I28" s="6" t="s">
        <v>283</v>
      </c>
      <c r="J28" s="6" t="s">
        <v>285</v>
      </c>
      <c r="K28" s="9" t="s">
        <v>8</v>
      </c>
      <c r="L28" s="6" t="s">
        <v>283</v>
      </c>
      <c r="M28" s="6" t="s">
        <v>285</v>
      </c>
      <c r="N28" s="9" t="s">
        <v>8</v>
      </c>
      <c r="O28" s="6" t="s">
        <v>283</v>
      </c>
      <c r="P28" s="6" t="s">
        <v>285</v>
      </c>
      <c r="Q28" s="9">
        <v>2</v>
      </c>
      <c r="R28" s="6" t="s">
        <v>283</v>
      </c>
      <c r="S28" s="6" t="s">
        <v>285</v>
      </c>
      <c r="T28" s="6" t="str">
        <f t="shared" si="4"/>
        <v>Pendencia de Agenda e Cartões</v>
      </c>
      <c r="U28" s="6" t="str">
        <f t="shared" si="0"/>
        <v/>
      </c>
      <c r="V28" s="9">
        <f t="shared" si="1"/>
        <v>5</v>
      </c>
      <c r="W28" s="9">
        <f t="shared" si="2"/>
        <v>0</v>
      </c>
      <c r="X28" s="6" t="str">
        <f t="shared" si="3"/>
        <v>Pendencia de Agenda e Cartões (5)</v>
      </c>
    </row>
    <row r="29" spans="1:24">
      <c r="A29" s="9">
        <v>90006746</v>
      </c>
      <c r="B29" s="9" t="s">
        <v>47</v>
      </c>
      <c r="C29" s="9" t="s">
        <v>70</v>
      </c>
      <c r="D29" s="9">
        <v>8</v>
      </c>
      <c r="E29" s="9" t="s">
        <v>29</v>
      </c>
      <c r="F29" s="6" t="s">
        <v>283</v>
      </c>
      <c r="G29" s="6" t="s">
        <v>284</v>
      </c>
      <c r="H29" s="9" t="s">
        <v>29</v>
      </c>
      <c r="I29" s="6" t="s">
        <v>283</v>
      </c>
      <c r="J29" s="6" t="s">
        <v>284</v>
      </c>
      <c r="K29" s="9" t="s">
        <v>29</v>
      </c>
      <c r="L29" s="6" t="s">
        <v>283</v>
      </c>
      <c r="M29" s="6" t="s">
        <v>284</v>
      </c>
      <c r="N29" s="9" t="s">
        <v>29</v>
      </c>
      <c r="O29" s="6" t="s">
        <v>283</v>
      </c>
      <c r="P29" s="6" t="s">
        <v>284</v>
      </c>
      <c r="Q29" s="9">
        <v>8</v>
      </c>
      <c r="R29" s="6" t="s">
        <v>283</v>
      </c>
      <c r="S29" s="6" t="s">
        <v>284</v>
      </c>
      <c r="T29" s="6" t="str">
        <f t="shared" si="4"/>
        <v>Pendencia de Agenda e Cartões</v>
      </c>
      <c r="U29" s="6" t="str">
        <f t="shared" si="0"/>
        <v>Pendência de TACH</v>
      </c>
      <c r="V29" s="9">
        <f t="shared" si="1"/>
        <v>5</v>
      </c>
      <c r="W29" s="9">
        <f t="shared" si="2"/>
        <v>5</v>
      </c>
      <c r="X29" s="6" t="str">
        <f t="shared" si="3"/>
        <v>Pendencia de Agenda e Cartões (5) &amp; Pendência de TACH (5)</v>
      </c>
    </row>
    <row r="30" spans="1:24">
      <c r="A30" s="9">
        <v>90013721</v>
      </c>
      <c r="B30" s="9" t="s">
        <v>50</v>
      </c>
      <c r="C30" s="9" t="s">
        <v>70</v>
      </c>
      <c r="D30" s="9">
        <v>9</v>
      </c>
      <c r="E30" s="9">
        <v>0</v>
      </c>
      <c r="F30" s="6" t="s">
        <v>287</v>
      </c>
      <c r="G30" s="6" t="s">
        <v>290</v>
      </c>
      <c r="H30" s="9">
        <v>0</v>
      </c>
      <c r="I30" s="6" t="s">
        <v>282</v>
      </c>
      <c r="J30" s="6" t="s">
        <v>282</v>
      </c>
      <c r="K30" s="9">
        <v>0</v>
      </c>
      <c r="L30" s="6" t="s">
        <v>282</v>
      </c>
      <c r="M30" s="6" t="s">
        <v>282</v>
      </c>
      <c r="N30" s="9">
        <v>0</v>
      </c>
      <c r="O30" s="6" t="s">
        <v>282</v>
      </c>
      <c r="P30" s="6" t="s">
        <v>282</v>
      </c>
      <c r="Q30" s="9">
        <v>0</v>
      </c>
      <c r="R30" s="6" t="s">
        <v>282</v>
      </c>
      <c r="S30" s="6" t="s">
        <v>282</v>
      </c>
      <c r="T30" s="6" t="str">
        <f t="shared" si="4"/>
        <v/>
      </c>
      <c r="U30" s="6" t="str">
        <f t="shared" si="0"/>
        <v/>
      </c>
      <c r="V30" s="9">
        <f t="shared" si="1"/>
        <v>0</v>
      </c>
      <c r="W30" s="9">
        <f t="shared" si="2"/>
        <v>0</v>
      </c>
      <c r="X30" s="6" t="str">
        <f t="shared" si="3"/>
        <v/>
      </c>
    </row>
    <row r="31" spans="1:24">
      <c r="A31" s="9">
        <v>90013834</v>
      </c>
      <c r="B31" s="9" t="s">
        <v>52</v>
      </c>
      <c r="C31" s="9" t="s">
        <v>70</v>
      </c>
      <c r="D31" s="9">
        <v>1</v>
      </c>
      <c r="E31" s="9">
        <v>0</v>
      </c>
      <c r="F31" s="6" t="s">
        <v>282</v>
      </c>
      <c r="G31" s="6" t="s">
        <v>282</v>
      </c>
      <c r="H31" s="9">
        <v>0</v>
      </c>
      <c r="I31" s="6" t="s">
        <v>282</v>
      </c>
      <c r="J31" s="6" t="s">
        <v>282</v>
      </c>
      <c r="K31" s="9">
        <v>0</v>
      </c>
      <c r="L31" s="6" t="s">
        <v>282</v>
      </c>
      <c r="M31" s="6" t="s">
        <v>282</v>
      </c>
      <c r="N31" s="9" t="s">
        <v>20</v>
      </c>
      <c r="O31" s="6" t="s">
        <v>283</v>
      </c>
      <c r="P31" s="6" t="s">
        <v>285</v>
      </c>
      <c r="Q31" s="9">
        <v>1</v>
      </c>
      <c r="R31" s="6" t="s">
        <v>283</v>
      </c>
      <c r="S31" s="6" t="s">
        <v>285</v>
      </c>
      <c r="T31" s="6" t="str">
        <f t="shared" si="4"/>
        <v>Pendencia de Agenda e Cartões</v>
      </c>
      <c r="U31" s="6" t="str">
        <f t="shared" si="0"/>
        <v/>
      </c>
      <c r="V31" s="9">
        <f t="shared" si="1"/>
        <v>2</v>
      </c>
      <c r="W31" s="9">
        <f t="shared" si="2"/>
        <v>0</v>
      </c>
      <c r="X31" s="6" t="str">
        <f t="shared" si="3"/>
        <v>Pendencia de Agenda e Cartões (2)</v>
      </c>
    </row>
    <row r="32" spans="1:24">
      <c r="A32" s="9">
        <v>90013639</v>
      </c>
      <c r="B32" s="9" t="s">
        <v>53</v>
      </c>
      <c r="C32" s="9" t="s">
        <v>70</v>
      </c>
      <c r="D32" s="9">
        <v>14</v>
      </c>
      <c r="E32" s="9" t="s">
        <v>46</v>
      </c>
      <c r="F32" s="6" t="s">
        <v>283</v>
      </c>
      <c r="G32" s="6" t="s">
        <v>285</v>
      </c>
      <c r="H32" s="9" t="s">
        <v>46</v>
      </c>
      <c r="I32" s="6" t="s">
        <v>283</v>
      </c>
      <c r="J32" s="6" t="s">
        <v>285</v>
      </c>
      <c r="K32" s="9" t="s">
        <v>46</v>
      </c>
      <c r="L32" s="6" t="s">
        <v>283</v>
      </c>
      <c r="M32" s="6" t="s">
        <v>285</v>
      </c>
      <c r="N32" s="9" t="s">
        <v>46</v>
      </c>
      <c r="O32" s="6" t="s">
        <v>283</v>
      </c>
      <c r="P32" s="6" t="s">
        <v>285</v>
      </c>
      <c r="Q32" s="9">
        <v>14</v>
      </c>
      <c r="R32" s="6" t="s">
        <v>283</v>
      </c>
      <c r="S32" s="6" t="s">
        <v>285</v>
      </c>
      <c r="T32" s="6" t="str">
        <f t="shared" si="4"/>
        <v>Pendencia de Agenda e Cartões</v>
      </c>
      <c r="U32" s="6" t="str">
        <f t="shared" si="0"/>
        <v/>
      </c>
      <c r="V32" s="9">
        <f t="shared" si="1"/>
        <v>5</v>
      </c>
      <c r="W32" s="9">
        <f t="shared" si="2"/>
        <v>0</v>
      </c>
      <c r="X32" s="6" t="str">
        <f t="shared" si="3"/>
        <v>Pendencia de Agenda e Cartões (5)</v>
      </c>
    </row>
    <row r="33" spans="1:24">
      <c r="A33" s="9">
        <v>5291</v>
      </c>
      <c r="B33" s="9" t="s">
        <v>54</v>
      </c>
      <c r="C33" s="9" t="s">
        <v>70</v>
      </c>
      <c r="D33" s="9">
        <v>14</v>
      </c>
      <c r="E33" s="9">
        <v>0</v>
      </c>
      <c r="F33" s="6" t="s">
        <v>287</v>
      </c>
      <c r="G33" s="6" t="s">
        <v>289</v>
      </c>
      <c r="H33" s="9">
        <v>0</v>
      </c>
      <c r="I33" s="6" t="s">
        <v>282</v>
      </c>
      <c r="J33" s="6" t="s">
        <v>282</v>
      </c>
      <c r="K33" s="9">
        <v>0</v>
      </c>
      <c r="L33" s="6" t="s">
        <v>282</v>
      </c>
      <c r="M33" s="6" t="s">
        <v>282</v>
      </c>
      <c r="N33" s="9">
        <v>0</v>
      </c>
      <c r="O33" s="6" t="s">
        <v>282</v>
      </c>
      <c r="P33" s="6" t="s">
        <v>282</v>
      </c>
      <c r="Q33" s="9">
        <v>0</v>
      </c>
      <c r="R33" s="6" t="s">
        <v>282</v>
      </c>
      <c r="S33" s="6" t="s">
        <v>282</v>
      </c>
      <c r="T33" s="6" t="str">
        <f t="shared" si="4"/>
        <v/>
      </c>
      <c r="U33" s="6" t="str">
        <f t="shared" si="0"/>
        <v/>
      </c>
      <c r="V33" s="9">
        <f t="shared" si="1"/>
        <v>0</v>
      </c>
      <c r="W33" s="9">
        <f t="shared" si="2"/>
        <v>0</v>
      </c>
      <c r="X33" s="6" t="str">
        <f t="shared" si="3"/>
        <v/>
      </c>
    </row>
    <row r="34" spans="1:24">
      <c r="A34" s="9">
        <v>90001409</v>
      </c>
      <c r="B34" s="9" t="s">
        <v>82</v>
      </c>
      <c r="C34" s="9" t="s">
        <v>70</v>
      </c>
      <c r="D34" s="9">
        <v>20</v>
      </c>
      <c r="E34" s="9" t="s">
        <v>59</v>
      </c>
      <c r="F34" s="6" t="s">
        <v>283</v>
      </c>
      <c r="G34" s="6" t="s">
        <v>284</v>
      </c>
      <c r="H34" s="9" t="s">
        <v>59</v>
      </c>
      <c r="I34" s="6" t="s">
        <v>283</v>
      </c>
      <c r="J34" s="6" t="s">
        <v>284</v>
      </c>
      <c r="K34" s="9" t="s">
        <v>59</v>
      </c>
      <c r="L34" s="6" t="s">
        <v>283</v>
      </c>
      <c r="M34" s="6" t="s">
        <v>284</v>
      </c>
      <c r="N34" s="9" t="s">
        <v>59</v>
      </c>
      <c r="O34" s="6" t="s">
        <v>283</v>
      </c>
      <c r="P34" s="6" t="s">
        <v>284</v>
      </c>
      <c r="Q34" s="9">
        <v>20</v>
      </c>
      <c r="R34" s="6" t="s">
        <v>283</v>
      </c>
      <c r="S34" s="6" t="s">
        <v>284</v>
      </c>
      <c r="T34" s="6" t="str">
        <f t="shared" si="4"/>
        <v>Pendencia de Agenda e Cartões</v>
      </c>
      <c r="U34" s="6" t="str">
        <f t="shared" si="0"/>
        <v>Pendência de TACH</v>
      </c>
      <c r="V34" s="9">
        <f t="shared" si="1"/>
        <v>5</v>
      </c>
      <c r="W34" s="9">
        <f t="shared" si="2"/>
        <v>5</v>
      </c>
      <c r="X34" s="6" t="str">
        <f t="shared" si="3"/>
        <v>Pendencia de Agenda e Cartões (5) &amp; Pendência de TACH (5)</v>
      </c>
    </row>
    <row r="35" spans="1:24">
      <c r="A35" s="9">
        <v>32572</v>
      </c>
      <c r="B35" s="9" t="s">
        <v>106</v>
      </c>
      <c r="C35" s="9" t="s">
        <v>70</v>
      </c>
      <c r="D35" s="9">
        <v>31</v>
      </c>
      <c r="E35" s="9" t="s">
        <v>59</v>
      </c>
      <c r="F35" s="6" t="s">
        <v>283</v>
      </c>
      <c r="G35" s="6" t="s">
        <v>285</v>
      </c>
      <c r="H35" s="9" t="s">
        <v>158</v>
      </c>
      <c r="I35" s="6" t="s">
        <v>283</v>
      </c>
      <c r="J35" s="6" t="s">
        <v>285</v>
      </c>
      <c r="K35" s="9">
        <v>0</v>
      </c>
      <c r="L35" s="6" t="s">
        <v>282</v>
      </c>
      <c r="M35" s="6" t="s">
        <v>282</v>
      </c>
      <c r="N35" s="9">
        <v>0</v>
      </c>
      <c r="O35" s="6" t="s">
        <v>282</v>
      </c>
      <c r="P35" s="6" t="s">
        <v>282</v>
      </c>
      <c r="Q35" s="9">
        <v>0</v>
      </c>
      <c r="R35" s="6" t="s">
        <v>282</v>
      </c>
      <c r="S35" s="6" t="s">
        <v>282</v>
      </c>
      <c r="T35" s="6" t="str">
        <f t="shared" si="4"/>
        <v>Pendencia de Agenda e Cartões</v>
      </c>
      <c r="U35" s="6" t="str">
        <f t="shared" si="0"/>
        <v/>
      </c>
      <c r="V35" s="9">
        <f t="shared" si="1"/>
        <v>2</v>
      </c>
      <c r="W35" s="9">
        <f t="shared" si="2"/>
        <v>0</v>
      </c>
      <c r="X35" s="6" t="str">
        <f t="shared" si="3"/>
        <v>Pendencia de Agenda e Cartões (2)</v>
      </c>
    </row>
    <row r="36" spans="1:24">
      <c r="A36" s="9">
        <v>90009989</v>
      </c>
      <c r="B36" s="9" t="s">
        <v>55</v>
      </c>
      <c r="C36" s="9" t="s">
        <v>70</v>
      </c>
      <c r="D36" s="9">
        <v>2</v>
      </c>
      <c r="E36" s="9">
        <v>0</v>
      </c>
      <c r="F36" s="6" t="s">
        <v>282</v>
      </c>
      <c r="G36" s="6" t="s">
        <v>282</v>
      </c>
      <c r="H36" s="9">
        <v>0</v>
      </c>
      <c r="I36" s="6" t="s">
        <v>282</v>
      </c>
      <c r="J36" s="6" t="s">
        <v>282</v>
      </c>
      <c r="K36" s="9">
        <v>0</v>
      </c>
      <c r="L36" s="6" t="s">
        <v>282</v>
      </c>
      <c r="M36" s="6" t="s">
        <v>282</v>
      </c>
      <c r="N36" s="9">
        <v>0</v>
      </c>
      <c r="O36" s="6" t="s">
        <v>282</v>
      </c>
      <c r="P36" s="6" t="s">
        <v>282</v>
      </c>
      <c r="Q36" s="9">
        <v>2</v>
      </c>
      <c r="R36" s="6" t="s">
        <v>283</v>
      </c>
      <c r="S36" s="6" t="s">
        <v>285</v>
      </c>
      <c r="T36" s="6" t="str">
        <f t="shared" si="4"/>
        <v>Pendencia de Agenda e Cartões</v>
      </c>
      <c r="U36" s="6" t="str">
        <f t="shared" si="0"/>
        <v/>
      </c>
      <c r="V36" s="9">
        <f t="shared" si="1"/>
        <v>1</v>
      </c>
      <c r="W36" s="9">
        <f t="shared" si="2"/>
        <v>0</v>
      </c>
      <c r="X36" s="6" t="str">
        <f t="shared" si="3"/>
        <v>Pendencia de Agenda e Cartões (1)</v>
      </c>
    </row>
    <row r="37" spans="1:24">
      <c r="A37" s="9">
        <v>23775</v>
      </c>
      <c r="B37" s="9" t="s">
        <v>107</v>
      </c>
      <c r="C37" s="9" t="s">
        <v>70</v>
      </c>
      <c r="D37" s="9">
        <v>12</v>
      </c>
      <c r="E37" s="9">
        <v>0</v>
      </c>
      <c r="F37" s="6" t="s">
        <v>287</v>
      </c>
      <c r="G37" s="6" t="s">
        <v>289</v>
      </c>
      <c r="H37" s="9">
        <v>0</v>
      </c>
      <c r="I37" s="6" t="s">
        <v>282</v>
      </c>
      <c r="J37" s="6" t="s">
        <v>282</v>
      </c>
      <c r="K37" s="9">
        <v>0</v>
      </c>
      <c r="L37" s="6" t="s">
        <v>282</v>
      </c>
      <c r="M37" s="6" t="s">
        <v>282</v>
      </c>
      <c r="N37" s="9">
        <v>0</v>
      </c>
      <c r="O37" s="6" t="s">
        <v>282</v>
      </c>
      <c r="P37" s="6" t="s">
        <v>282</v>
      </c>
      <c r="Q37" s="9">
        <v>0</v>
      </c>
      <c r="R37" s="6" t="s">
        <v>282</v>
      </c>
      <c r="S37" s="6" t="s">
        <v>282</v>
      </c>
      <c r="T37" s="6" t="str">
        <f t="shared" si="4"/>
        <v/>
      </c>
      <c r="U37" s="6" t="str">
        <f t="shared" si="0"/>
        <v/>
      </c>
      <c r="V37" s="9">
        <f t="shared" si="1"/>
        <v>0</v>
      </c>
      <c r="W37" s="9">
        <f t="shared" si="2"/>
        <v>0</v>
      </c>
      <c r="X37" s="6" t="str">
        <f t="shared" si="3"/>
        <v/>
      </c>
    </row>
    <row r="38" spans="1:24">
      <c r="A38" s="9">
        <v>6792</v>
      </c>
      <c r="B38" s="9" t="s">
        <v>56</v>
      </c>
      <c r="C38" s="9" t="s">
        <v>70</v>
      </c>
      <c r="D38" s="9">
        <v>4</v>
      </c>
      <c r="E38" s="9" t="s">
        <v>5</v>
      </c>
      <c r="F38" s="6" t="s">
        <v>283</v>
      </c>
      <c r="G38" s="6" t="s">
        <v>285</v>
      </c>
      <c r="H38" s="9" t="s">
        <v>5</v>
      </c>
      <c r="I38" s="6" t="s">
        <v>283</v>
      </c>
      <c r="J38" s="6" t="s">
        <v>285</v>
      </c>
      <c r="K38" s="9" t="s">
        <v>5</v>
      </c>
      <c r="L38" s="6" t="s">
        <v>283</v>
      </c>
      <c r="M38" s="6" t="s">
        <v>285</v>
      </c>
      <c r="N38" s="9" t="s">
        <v>5</v>
      </c>
      <c r="O38" s="6" t="s">
        <v>283</v>
      </c>
      <c r="P38" s="6" t="s">
        <v>285</v>
      </c>
      <c r="Q38" s="9">
        <v>4</v>
      </c>
      <c r="R38" s="6" t="s">
        <v>283</v>
      </c>
      <c r="S38" s="6" t="s">
        <v>285</v>
      </c>
      <c r="T38" s="6" t="str">
        <f t="shared" si="4"/>
        <v>Pendencia de Agenda e Cartões</v>
      </c>
      <c r="U38" s="6" t="str">
        <f t="shared" si="0"/>
        <v/>
      </c>
      <c r="V38" s="9">
        <f t="shared" si="1"/>
        <v>5</v>
      </c>
      <c r="W38" s="9">
        <f t="shared" si="2"/>
        <v>0</v>
      </c>
      <c r="X38" s="6" t="str">
        <f t="shared" si="3"/>
        <v>Pendencia de Agenda e Cartões (5)</v>
      </c>
    </row>
    <row r="39" spans="1:24">
      <c r="A39" s="9">
        <v>90004950</v>
      </c>
      <c r="B39" s="9" t="s">
        <v>57</v>
      </c>
      <c r="C39" s="9" t="s">
        <v>70</v>
      </c>
      <c r="D39" s="9">
        <v>5</v>
      </c>
      <c r="E39" s="9" t="s">
        <v>14</v>
      </c>
      <c r="F39" s="6" t="s">
        <v>283</v>
      </c>
      <c r="G39" s="6" t="s">
        <v>284</v>
      </c>
      <c r="H39" s="9" t="s">
        <v>14</v>
      </c>
      <c r="I39" s="6" t="s">
        <v>283</v>
      </c>
      <c r="J39" s="6" t="s">
        <v>284</v>
      </c>
      <c r="K39" s="9" t="s">
        <v>14</v>
      </c>
      <c r="L39" s="6" t="s">
        <v>283</v>
      </c>
      <c r="M39" s="6" t="s">
        <v>284</v>
      </c>
      <c r="N39" s="9" t="s">
        <v>14</v>
      </c>
      <c r="O39" s="6" t="s">
        <v>283</v>
      </c>
      <c r="P39" s="6" t="s">
        <v>284</v>
      </c>
      <c r="Q39" s="9">
        <v>5</v>
      </c>
      <c r="R39" s="6" t="s">
        <v>283</v>
      </c>
      <c r="S39" s="6" t="s">
        <v>284</v>
      </c>
      <c r="T39" s="6" t="str">
        <f t="shared" si="4"/>
        <v>Pendencia de Agenda e Cartões</v>
      </c>
      <c r="U39" s="6" t="str">
        <f t="shared" si="0"/>
        <v>Pendência de TACH</v>
      </c>
      <c r="V39" s="9">
        <f t="shared" si="1"/>
        <v>5</v>
      </c>
      <c r="W39" s="9">
        <f t="shared" si="2"/>
        <v>5</v>
      </c>
      <c r="X39" s="6" t="str">
        <f t="shared" si="3"/>
        <v>Pendencia de Agenda e Cartões (5) &amp; Pendência de TACH (5)</v>
      </c>
    </row>
    <row r="40" spans="1:24">
      <c r="A40" s="9">
        <v>90001535</v>
      </c>
      <c r="B40" s="9" t="s">
        <v>58</v>
      </c>
      <c r="C40" s="9" t="s">
        <v>70</v>
      </c>
      <c r="D40" s="9">
        <v>8</v>
      </c>
      <c r="E40" s="9" t="s">
        <v>29</v>
      </c>
      <c r="F40" s="6" t="s">
        <v>283</v>
      </c>
      <c r="G40" s="6" t="s">
        <v>285</v>
      </c>
      <c r="H40" s="9" t="s">
        <v>29</v>
      </c>
      <c r="I40" s="6" t="s">
        <v>283</v>
      </c>
      <c r="J40" s="6" t="s">
        <v>285</v>
      </c>
      <c r="K40" s="9">
        <v>0</v>
      </c>
      <c r="L40" s="6" t="s">
        <v>282</v>
      </c>
      <c r="M40" s="6" t="s">
        <v>282</v>
      </c>
      <c r="N40" s="9">
        <v>0</v>
      </c>
      <c r="O40" s="6" t="s">
        <v>282</v>
      </c>
      <c r="P40" s="6" t="s">
        <v>282</v>
      </c>
      <c r="Q40" s="9">
        <v>0</v>
      </c>
      <c r="R40" s="6" t="s">
        <v>282</v>
      </c>
      <c r="S40" s="6" t="s">
        <v>282</v>
      </c>
      <c r="T40" s="6" t="str">
        <f t="shared" si="4"/>
        <v>Pendencia de Agenda e Cartões</v>
      </c>
      <c r="U40" s="6" t="str">
        <f t="shared" si="0"/>
        <v/>
      </c>
      <c r="V40" s="9">
        <f t="shared" si="1"/>
        <v>2</v>
      </c>
      <c r="W40" s="9">
        <f t="shared" si="2"/>
        <v>0</v>
      </c>
      <c r="X40" s="6" t="str">
        <f t="shared" si="3"/>
        <v>Pendencia de Agenda e Cartões (2)</v>
      </c>
    </row>
    <row r="41" spans="1:24">
      <c r="A41" s="9">
        <v>3363</v>
      </c>
      <c r="B41" s="9" t="s">
        <v>91</v>
      </c>
      <c r="C41" s="9" t="s">
        <v>70</v>
      </c>
      <c r="D41" s="9">
        <v>4</v>
      </c>
      <c r="E41" s="9" t="s">
        <v>5</v>
      </c>
      <c r="F41" s="6" t="s">
        <v>283</v>
      </c>
      <c r="G41" s="6" t="s">
        <v>284</v>
      </c>
      <c r="H41" s="9" t="s">
        <v>5</v>
      </c>
      <c r="I41" s="6" t="s">
        <v>283</v>
      </c>
      <c r="J41" s="6" t="s">
        <v>284</v>
      </c>
      <c r="K41" s="9" t="s">
        <v>5</v>
      </c>
      <c r="L41" s="6" t="s">
        <v>283</v>
      </c>
      <c r="M41" s="6" t="s">
        <v>284</v>
      </c>
      <c r="N41" s="9" t="s">
        <v>5</v>
      </c>
      <c r="O41" s="6" t="s">
        <v>283</v>
      </c>
      <c r="P41" s="6" t="s">
        <v>284</v>
      </c>
      <c r="Q41" s="9">
        <v>4</v>
      </c>
      <c r="R41" s="6" t="s">
        <v>283</v>
      </c>
      <c r="S41" s="6" t="s">
        <v>284</v>
      </c>
      <c r="T41" s="6" t="str">
        <f t="shared" si="4"/>
        <v>Pendencia de Agenda e Cartões</v>
      </c>
      <c r="U41" s="6" t="str">
        <f t="shared" si="0"/>
        <v>Pendência de TACH</v>
      </c>
      <c r="V41" s="9">
        <f t="shared" si="1"/>
        <v>5</v>
      </c>
      <c r="W41" s="9">
        <f t="shared" si="2"/>
        <v>5</v>
      </c>
      <c r="X41" s="6" t="str">
        <f t="shared" si="3"/>
        <v>Pendencia de Agenda e Cartões (5) &amp; Pendência de TACH (5)</v>
      </c>
    </row>
    <row r="42" spans="1:24">
      <c r="A42" s="9">
        <v>90010953</v>
      </c>
      <c r="B42" s="9" t="s">
        <v>92</v>
      </c>
      <c r="C42" s="9" t="s">
        <v>70</v>
      </c>
      <c r="D42" s="9">
        <v>8</v>
      </c>
      <c r="E42" s="9">
        <v>0</v>
      </c>
      <c r="F42" s="6" t="s">
        <v>287</v>
      </c>
      <c r="G42" s="6" t="s">
        <v>289</v>
      </c>
      <c r="H42" s="9">
        <v>0</v>
      </c>
      <c r="I42" s="6" t="s">
        <v>282</v>
      </c>
      <c r="J42" s="6" t="s">
        <v>282</v>
      </c>
      <c r="K42" s="9">
        <v>0</v>
      </c>
      <c r="L42" s="6" t="s">
        <v>282</v>
      </c>
      <c r="M42" s="6" t="s">
        <v>282</v>
      </c>
      <c r="N42" s="9">
        <v>0</v>
      </c>
      <c r="O42" s="6" t="s">
        <v>282</v>
      </c>
      <c r="P42" s="6" t="s">
        <v>282</v>
      </c>
      <c r="Q42" s="9">
        <v>0</v>
      </c>
      <c r="R42" s="6" t="s">
        <v>282</v>
      </c>
      <c r="S42" s="6" t="s">
        <v>282</v>
      </c>
      <c r="T42" s="6" t="str">
        <f t="shared" si="4"/>
        <v/>
      </c>
      <c r="U42" s="6" t="str">
        <f t="shared" si="0"/>
        <v/>
      </c>
      <c r="V42" s="9">
        <f t="shared" si="1"/>
        <v>0</v>
      </c>
      <c r="W42" s="9">
        <f t="shared" si="2"/>
        <v>0</v>
      </c>
      <c r="X42" s="6" t="str">
        <f t="shared" si="3"/>
        <v/>
      </c>
    </row>
    <row r="43" spans="1:24">
      <c r="A43" s="9">
        <v>90013729</v>
      </c>
      <c r="B43" s="9" t="s">
        <v>60</v>
      </c>
      <c r="C43" s="9" t="s">
        <v>70</v>
      </c>
      <c r="D43" s="9">
        <v>7</v>
      </c>
      <c r="E43" s="9" t="s">
        <v>26</v>
      </c>
      <c r="F43" s="6" t="s">
        <v>283</v>
      </c>
      <c r="G43" s="6" t="s">
        <v>285</v>
      </c>
      <c r="H43" s="9" t="s">
        <v>26</v>
      </c>
      <c r="I43" s="6" t="s">
        <v>283</v>
      </c>
      <c r="J43" s="6" t="s">
        <v>285</v>
      </c>
      <c r="K43" s="9" t="s">
        <v>26</v>
      </c>
      <c r="L43" s="6" t="s">
        <v>283</v>
      </c>
      <c r="M43" s="6" t="s">
        <v>285</v>
      </c>
      <c r="N43" s="9" t="s">
        <v>26</v>
      </c>
      <c r="O43" s="6" t="s">
        <v>283</v>
      </c>
      <c r="P43" s="6" t="s">
        <v>285</v>
      </c>
      <c r="Q43" s="9">
        <v>7</v>
      </c>
      <c r="R43" s="6" t="s">
        <v>283</v>
      </c>
      <c r="S43" s="6" t="s">
        <v>285</v>
      </c>
      <c r="T43" s="6" t="str">
        <f t="shared" si="4"/>
        <v>Pendencia de Agenda e Cartões</v>
      </c>
      <c r="U43" s="6" t="str">
        <f t="shared" si="0"/>
        <v/>
      </c>
      <c r="V43" s="9">
        <f t="shared" si="1"/>
        <v>5</v>
      </c>
      <c r="W43" s="9">
        <f t="shared" si="2"/>
        <v>0</v>
      </c>
      <c r="X43" s="6" t="str">
        <f t="shared" si="3"/>
        <v>Pendencia de Agenda e Cartões (5)</v>
      </c>
    </row>
    <row r="44" spans="1:24">
      <c r="A44" s="9">
        <v>90010292</v>
      </c>
      <c r="B44" s="9" t="s">
        <v>61</v>
      </c>
      <c r="C44" s="9" t="s">
        <v>70</v>
      </c>
      <c r="D44" s="9">
        <v>8</v>
      </c>
      <c r="E44" s="9" t="s">
        <v>29</v>
      </c>
      <c r="F44" s="6" t="s">
        <v>283</v>
      </c>
      <c r="G44" s="6" t="s">
        <v>284</v>
      </c>
      <c r="H44" s="9" t="s">
        <v>29</v>
      </c>
      <c r="I44" s="6" t="s">
        <v>283</v>
      </c>
      <c r="J44" s="6" t="s">
        <v>284</v>
      </c>
      <c r="K44" s="9" t="s">
        <v>29</v>
      </c>
      <c r="L44" s="6" t="s">
        <v>283</v>
      </c>
      <c r="M44" s="6" t="s">
        <v>284</v>
      </c>
      <c r="N44" s="9" t="s">
        <v>29</v>
      </c>
      <c r="O44" s="6" t="s">
        <v>283</v>
      </c>
      <c r="P44" s="6" t="s">
        <v>284</v>
      </c>
      <c r="Q44" s="9">
        <v>8</v>
      </c>
      <c r="R44" s="6" t="s">
        <v>283</v>
      </c>
      <c r="S44" s="6" t="s">
        <v>284</v>
      </c>
      <c r="T44" s="6" t="str">
        <f t="shared" si="4"/>
        <v>Pendencia de Agenda e Cartões</v>
      </c>
      <c r="U44" s="6" t="str">
        <f t="shared" si="0"/>
        <v>Pendência de TACH</v>
      </c>
      <c r="V44" s="9">
        <f t="shared" si="1"/>
        <v>5</v>
      </c>
      <c r="W44" s="9">
        <f t="shared" si="2"/>
        <v>5</v>
      </c>
      <c r="X44" s="6" t="str">
        <f t="shared" si="3"/>
        <v>Pendencia de Agenda e Cartões (5) &amp; Pendência de TACH (5)</v>
      </c>
    </row>
    <row r="45" spans="1:24">
      <c r="A45" s="9">
        <v>29939</v>
      </c>
      <c r="B45" s="9" t="s">
        <v>108</v>
      </c>
      <c r="C45" s="9" t="s">
        <v>70</v>
      </c>
      <c r="D45" s="9">
        <v>8</v>
      </c>
      <c r="E45" s="9">
        <v>0</v>
      </c>
      <c r="F45" s="6" t="s">
        <v>287</v>
      </c>
      <c r="G45" s="6" t="s">
        <v>289</v>
      </c>
      <c r="H45" s="9">
        <v>0</v>
      </c>
      <c r="I45" s="6" t="s">
        <v>282</v>
      </c>
      <c r="J45" s="6" t="s">
        <v>282</v>
      </c>
      <c r="K45" s="9">
        <v>0</v>
      </c>
      <c r="L45" s="6" t="s">
        <v>282</v>
      </c>
      <c r="M45" s="6" t="s">
        <v>282</v>
      </c>
      <c r="N45" s="9">
        <v>0</v>
      </c>
      <c r="O45" s="6" t="s">
        <v>282</v>
      </c>
      <c r="P45" s="6" t="s">
        <v>282</v>
      </c>
      <c r="Q45" s="9">
        <v>0</v>
      </c>
      <c r="R45" s="6" t="s">
        <v>282</v>
      </c>
      <c r="S45" s="6" t="s">
        <v>282</v>
      </c>
      <c r="T45" s="6" t="str">
        <f t="shared" si="4"/>
        <v/>
      </c>
      <c r="U45" s="6" t="str">
        <f t="shared" si="0"/>
        <v/>
      </c>
      <c r="V45" s="9">
        <f t="shared" si="1"/>
        <v>0</v>
      </c>
      <c r="W45" s="9">
        <f t="shared" si="2"/>
        <v>0</v>
      </c>
      <c r="X45" s="6" t="str">
        <f t="shared" si="3"/>
        <v/>
      </c>
    </row>
    <row r="46" spans="1:24">
      <c r="A46" s="9">
        <v>90013912</v>
      </c>
      <c r="B46" s="9" t="s">
        <v>84</v>
      </c>
      <c r="C46" s="9" t="s">
        <v>70</v>
      </c>
      <c r="D46" s="9">
        <v>4</v>
      </c>
      <c r="E46" s="9" t="s">
        <v>5</v>
      </c>
      <c r="F46" s="6" t="s">
        <v>283</v>
      </c>
      <c r="G46" s="6" t="s">
        <v>285</v>
      </c>
      <c r="H46" s="9" t="s">
        <v>5</v>
      </c>
      <c r="I46" s="6" t="s">
        <v>283</v>
      </c>
      <c r="J46" s="6" t="s">
        <v>285</v>
      </c>
      <c r="K46" s="9" t="s">
        <v>5</v>
      </c>
      <c r="L46" s="6" t="s">
        <v>283</v>
      </c>
      <c r="M46" s="6" t="s">
        <v>285</v>
      </c>
      <c r="N46" s="9">
        <v>0</v>
      </c>
      <c r="O46" s="6" t="s">
        <v>282</v>
      </c>
      <c r="P46" s="6" t="s">
        <v>282</v>
      </c>
      <c r="Q46" s="9">
        <v>0</v>
      </c>
      <c r="R46" s="6" t="s">
        <v>282</v>
      </c>
      <c r="S46" s="6" t="s">
        <v>282</v>
      </c>
      <c r="T46" s="6" t="str">
        <f t="shared" si="4"/>
        <v>Pendencia de Agenda e Cartões</v>
      </c>
      <c r="U46" s="6" t="str">
        <f t="shared" si="0"/>
        <v/>
      </c>
      <c r="V46" s="9">
        <f t="shared" si="1"/>
        <v>3</v>
      </c>
      <c r="W46" s="9">
        <f t="shared" si="2"/>
        <v>0</v>
      </c>
      <c r="X46" s="6" t="str">
        <f t="shared" si="3"/>
        <v>Pendencia de Agenda e Cartões (3)</v>
      </c>
    </row>
    <row r="47" spans="1:24">
      <c r="A47" s="9">
        <v>31303</v>
      </c>
      <c r="B47" s="9" t="s">
        <v>63</v>
      </c>
      <c r="C47" s="9" t="s">
        <v>70</v>
      </c>
      <c r="D47" s="9">
        <v>28</v>
      </c>
      <c r="E47" s="9" t="s">
        <v>64</v>
      </c>
      <c r="F47" s="6" t="s">
        <v>283</v>
      </c>
      <c r="G47" s="6" t="s">
        <v>284</v>
      </c>
      <c r="H47" s="9" t="s">
        <v>64</v>
      </c>
      <c r="I47" s="6" t="s">
        <v>283</v>
      </c>
      <c r="J47" s="6" t="s">
        <v>284</v>
      </c>
      <c r="K47" s="9" t="s">
        <v>64</v>
      </c>
      <c r="L47" s="6" t="s">
        <v>283</v>
      </c>
      <c r="M47" s="6" t="s">
        <v>284</v>
      </c>
      <c r="N47" s="9" t="s">
        <v>64</v>
      </c>
      <c r="O47" s="6" t="s">
        <v>283</v>
      </c>
      <c r="P47" s="6" t="s">
        <v>284</v>
      </c>
      <c r="Q47" s="9">
        <v>28</v>
      </c>
      <c r="R47" s="6" t="s">
        <v>283</v>
      </c>
      <c r="S47" s="6" t="s">
        <v>284</v>
      </c>
      <c r="T47" s="6" t="str">
        <f t="shared" si="4"/>
        <v>Pendencia de Agenda e Cartões</v>
      </c>
      <c r="U47" s="6" t="str">
        <f t="shared" si="0"/>
        <v>Pendência de TACH</v>
      </c>
      <c r="V47" s="9">
        <f t="shared" si="1"/>
        <v>5</v>
      </c>
      <c r="W47" s="9">
        <f t="shared" si="2"/>
        <v>5</v>
      </c>
      <c r="X47" s="6" t="str">
        <f t="shared" si="3"/>
        <v>Pendencia de Agenda e Cartões (5) &amp; Pendência de TACH (5)</v>
      </c>
    </row>
    <row r="48" spans="1:24">
      <c r="A48" s="9">
        <v>4178</v>
      </c>
      <c r="B48" s="9" t="s">
        <v>85</v>
      </c>
      <c r="C48" s="9" t="s">
        <v>70</v>
      </c>
      <c r="D48" s="9">
        <v>4</v>
      </c>
      <c r="E48" s="9" t="s">
        <v>8</v>
      </c>
      <c r="F48" s="6" t="s">
        <v>283</v>
      </c>
      <c r="G48" s="6" t="s">
        <v>285</v>
      </c>
      <c r="H48" s="9" t="s">
        <v>8</v>
      </c>
      <c r="I48" s="6" t="s">
        <v>283</v>
      </c>
      <c r="J48" s="6" t="s">
        <v>285</v>
      </c>
      <c r="K48" s="9" t="s">
        <v>8</v>
      </c>
      <c r="L48" s="6" t="s">
        <v>283</v>
      </c>
      <c r="M48" s="6" t="s">
        <v>285</v>
      </c>
      <c r="N48" s="9" t="s">
        <v>8</v>
      </c>
      <c r="O48" s="6" t="s">
        <v>283</v>
      </c>
      <c r="P48" s="6" t="s">
        <v>285</v>
      </c>
      <c r="Q48" s="9">
        <v>4</v>
      </c>
      <c r="R48" s="6" t="s">
        <v>283</v>
      </c>
      <c r="S48" s="6" t="s">
        <v>284</v>
      </c>
      <c r="T48" s="6" t="str">
        <f t="shared" si="4"/>
        <v>Pendencia de Agenda e Cartões</v>
      </c>
      <c r="U48" s="6" t="str">
        <f t="shared" si="0"/>
        <v>Pendência de TACH</v>
      </c>
      <c r="V48" s="9">
        <f t="shared" si="1"/>
        <v>5</v>
      </c>
      <c r="W48" s="9">
        <f t="shared" si="2"/>
        <v>1</v>
      </c>
      <c r="X48" s="6" t="str">
        <f t="shared" si="3"/>
        <v>Pendencia de Agenda e Cartões (5) &amp; Pendência de TACH (1)</v>
      </c>
    </row>
    <row r="49" spans="1:24">
      <c r="A49" s="9">
        <v>31582</v>
      </c>
      <c r="B49" s="9" t="s">
        <v>65</v>
      </c>
      <c r="C49" s="9" t="s">
        <v>70</v>
      </c>
      <c r="D49" s="9">
        <v>10</v>
      </c>
      <c r="E49" s="9">
        <v>0</v>
      </c>
      <c r="F49" s="6" t="s">
        <v>287</v>
      </c>
      <c r="G49" s="6" t="s">
        <v>289</v>
      </c>
      <c r="H49" s="9">
        <v>0</v>
      </c>
      <c r="I49" s="6" t="s">
        <v>282</v>
      </c>
      <c r="J49" s="6" t="s">
        <v>282</v>
      </c>
      <c r="K49" s="9">
        <v>0</v>
      </c>
      <c r="L49" s="6" t="s">
        <v>282</v>
      </c>
      <c r="M49" s="6" t="s">
        <v>282</v>
      </c>
      <c r="N49" s="9">
        <v>0</v>
      </c>
      <c r="O49" s="6" t="s">
        <v>282</v>
      </c>
      <c r="P49" s="6" t="s">
        <v>282</v>
      </c>
      <c r="Q49" s="9">
        <v>0</v>
      </c>
      <c r="R49" s="6" t="s">
        <v>282</v>
      </c>
      <c r="S49" s="6" t="s">
        <v>282</v>
      </c>
      <c r="T49" s="6" t="str">
        <f t="shared" si="4"/>
        <v/>
      </c>
      <c r="U49" s="6" t="str">
        <f t="shared" si="0"/>
        <v/>
      </c>
      <c r="V49" s="9">
        <f t="shared" si="1"/>
        <v>0</v>
      </c>
      <c r="W49" s="9">
        <f t="shared" si="2"/>
        <v>0</v>
      </c>
      <c r="X49" s="6" t="str">
        <f t="shared" si="3"/>
        <v/>
      </c>
    </row>
    <row r="50" spans="1:24">
      <c r="A50" s="9">
        <v>26297</v>
      </c>
      <c r="B50" s="9" t="s">
        <v>109</v>
      </c>
      <c r="C50" s="9" t="s">
        <v>70</v>
      </c>
      <c r="D50" s="9">
        <v>3</v>
      </c>
      <c r="E50" s="9">
        <v>0</v>
      </c>
      <c r="F50" s="6" t="s">
        <v>287</v>
      </c>
      <c r="G50" s="6" t="s">
        <v>290</v>
      </c>
      <c r="H50" s="9">
        <v>0</v>
      </c>
      <c r="I50" s="6" t="s">
        <v>282</v>
      </c>
      <c r="J50" s="6" t="s">
        <v>282</v>
      </c>
      <c r="K50" s="9">
        <v>0</v>
      </c>
      <c r="L50" s="6" t="s">
        <v>282</v>
      </c>
      <c r="M50" s="6" t="s">
        <v>282</v>
      </c>
      <c r="N50" s="9">
        <v>0</v>
      </c>
      <c r="O50" s="6" t="s">
        <v>282</v>
      </c>
      <c r="P50" s="6" t="s">
        <v>282</v>
      </c>
      <c r="Q50" s="9">
        <v>0</v>
      </c>
      <c r="R50" s="6" t="s">
        <v>282</v>
      </c>
      <c r="S50" s="6" t="s">
        <v>282</v>
      </c>
      <c r="T50" s="6" t="str">
        <f t="shared" si="4"/>
        <v/>
      </c>
      <c r="U50" s="6" t="str">
        <f t="shared" si="0"/>
        <v/>
      </c>
      <c r="V50" s="9">
        <f t="shared" si="1"/>
        <v>0</v>
      </c>
      <c r="W50" s="9">
        <f t="shared" si="2"/>
        <v>0</v>
      </c>
      <c r="X50" s="6" t="str">
        <f t="shared" si="3"/>
        <v/>
      </c>
    </row>
    <row r="51" spans="1:24">
      <c r="A51" s="9">
        <v>90012539</v>
      </c>
      <c r="B51" s="9" t="s">
        <v>66</v>
      </c>
      <c r="C51" s="9" t="s">
        <v>70</v>
      </c>
      <c r="D51" s="9">
        <v>8</v>
      </c>
      <c r="E51" s="9" t="s">
        <v>29</v>
      </c>
      <c r="F51" s="6" t="s">
        <v>283</v>
      </c>
      <c r="G51" s="6" t="s">
        <v>285</v>
      </c>
      <c r="H51" s="9" t="s">
        <v>29</v>
      </c>
      <c r="I51" s="6" t="s">
        <v>283</v>
      </c>
      <c r="J51" s="6" t="s">
        <v>285</v>
      </c>
      <c r="K51" s="9">
        <v>0</v>
      </c>
      <c r="L51" s="6" t="s">
        <v>282</v>
      </c>
      <c r="M51" s="6" t="s">
        <v>282</v>
      </c>
      <c r="N51" s="9">
        <v>0</v>
      </c>
      <c r="O51" s="6" t="s">
        <v>282</v>
      </c>
      <c r="P51" s="6" t="s">
        <v>282</v>
      </c>
      <c r="Q51" s="9">
        <v>0</v>
      </c>
      <c r="R51" s="6" t="s">
        <v>282</v>
      </c>
      <c r="S51" s="6" t="s">
        <v>282</v>
      </c>
      <c r="T51" s="6" t="str">
        <f t="shared" si="4"/>
        <v>Pendencia de Agenda e Cartões</v>
      </c>
      <c r="U51" s="6" t="str">
        <f t="shared" si="0"/>
        <v/>
      </c>
      <c r="V51" s="9">
        <f t="shared" si="1"/>
        <v>2</v>
      </c>
      <c r="W51" s="9">
        <f t="shared" si="2"/>
        <v>0</v>
      </c>
      <c r="X51" s="6" t="str">
        <f t="shared" si="3"/>
        <v>Pendencia de Agenda e Cartões (2)</v>
      </c>
    </row>
    <row r="52" spans="1:24">
      <c r="A52" s="9">
        <v>90012493</v>
      </c>
      <c r="B52" s="9" t="s">
        <v>67</v>
      </c>
      <c r="C52" s="9" t="s">
        <v>70</v>
      </c>
      <c r="D52" s="9">
        <v>8</v>
      </c>
      <c r="E52" s="9">
        <v>0</v>
      </c>
      <c r="F52" s="6" t="s">
        <v>287</v>
      </c>
      <c r="G52" s="6" t="s">
        <v>289</v>
      </c>
      <c r="H52" s="9">
        <v>0</v>
      </c>
      <c r="I52" s="6" t="s">
        <v>282</v>
      </c>
      <c r="J52" s="6" t="s">
        <v>282</v>
      </c>
      <c r="K52" s="9">
        <v>0</v>
      </c>
      <c r="L52" s="6" t="s">
        <v>282</v>
      </c>
      <c r="M52" s="6" t="s">
        <v>282</v>
      </c>
      <c r="N52" s="9">
        <v>0</v>
      </c>
      <c r="O52" s="6" t="s">
        <v>282</v>
      </c>
      <c r="P52" s="6" t="s">
        <v>282</v>
      </c>
      <c r="Q52" s="9">
        <v>0</v>
      </c>
      <c r="R52" s="6" t="s">
        <v>282</v>
      </c>
      <c r="S52" s="6" t="s">
        <v>282</v>
      </c>
      <c r="T52" s="6" t="str">
        <f t="shared" si="4"/>
        <v/>
      </c>
      <c r="U52" s="6" t="str">
        <f t="shared" si="0"/>
        <v/>
      </c>
      <c r="V52" s="9">
        <f t="shared" si="1"/>
        <v>0</v>
      </c>
      <c r="W52" s="9">
        <f t="shared" si="2"/>
        <v>0</v>
      </c>
      <c r="X52" s="6" t="str">
        <f t="shared" si="3"/>
        <v/>
      </c>
    </row>
    <row r="53" spans="1:24">
      <c r="A53" s="9">
        <v>90013875</v>
      </c>
      <c r="B53" s="9" t="s">
        <v>86</v>
      </c>
      <c r="C53" s="9" t="s">
        <v>70</v>
      </c>
      <c r="D53" s="9">
        <v>4</v>
      </c>
      <c r="E53" s="9" t="s">
        <v>20</v>
      </c>
      <c r="F53" s="6" t="s">
        <v>283</v>
      </c>
      <c r="G53" s="6" t="s">
        <v>285</v>
      </c>
      <c r="H53" s="9" t="s">
        <v>8</v>
      </c>
      <c r="I53" s="6" t="s">
        <v>283</v>
      </c>
      <c r="J53" s="6" t="s">
        <v>285</v>
      </c>
      <c r="K53" s="9" t="s">
        <v>8</v>
      </c>
      <c r="L53" s="6" t="s">
        <v>283</v>
      </c>
      <c r="M53" s="6" t="s">
        <v>285</v>
      </c>
      <c r="N53" s="9" t="s">
        <v>8</v>
      </c>
      <c r="O53" s="6" t="s">
        <v>283</v>
      </c>
      <c r="P53" s="6" t="s">
        <v>285</v>
      </c>
      <c r="Q53" s="9">
        <v>2</v>
      </c>
      <c r="R53" s="6" t="s">
        <v>283</v>
      </c>
      <c r="S53" s="6" t="s">
        <v>285</v>
      </c>
      <c r="T53" s="6" t="str">
        <f t="shared" si="4"/>
        <v>Pendencia de Agenda e Cartões</v>
      </c>
      <c r="U53" s="6" t="str">
        <f t="shared" si="0"/>
        <v/>
      </c>
      <c r="V53" s="9">
        <f t="shared" si="1"/>
        <v>5</v>
      </c>
      <c r="W53" s="9">
        <f t="shared" si="2"/>
        <v>0</v>
      </c>
      <c r="X53" s="6" t="str">
        <f t="shared" si="3"/>
        <v>Pendencia de Agenda e Cartões (5)</v>
      </c>
    </row>
    <row r="54" spans="1:24">
      <c r="A54" s="9">
        <v>503</v>
      </c>
      <c r="B54" s="9" t="s">
        <v>111</v>
      </c>
      <c r="C54" s="9" t="s">
        <v>120</v>
      </c>
      <c r="D54" s="9">
        <v>32</v>
      </c>
      <c r="E54" s="9">
        <v>0</v>
      </c>
      <c r="F54" s="6" t="s">
        <v>286</v>
      </c>
      <c r="G54" s="6" t="s">
        <v>284</v>
      </c>
      <c r="H54" s="9">
        <v>0</v>
      </c>
      <c r="I54" s="6" t="s">
        <v>286</v>
      </c>
      <c r="J54" s="6" t="s">
        <v>284</v>
      </c>
      <c r="K54" s="9">
        <v>0</v>
      </c>
      <c r="L54" s="6" t="s">
        <v>286</v>
      </c>
      <c r="M54" s="6" t="s">
        <v>284</v>
      </c>
      <c r="N54" s="9">
        <v>0</v>
      </c>
      <c r="O54" s="6" t="s">
        <v>282</v>
      </c>
      <c r="P54" s="6" t="s">
        <v>282</v>
      </c>
      <c r="Q54" s="9">
        <v>0</v>
      </c>
      <c r="R54" s="6" t="s">
        <v>282</v>
      </c>
      <c r="S54" s="6" t="s">
        <v>282</v>
      </c>
      <c r="T54" s="6" t="str">
        <f t="shared" si="4"/>
        <v/>
      </c>
      <c r="U54" s="6" t="str">
        <f t="shared" si="0"/>
        <v>Pendência de TACH</v>
      </c>
      <c r="V54" s="9">
        <f t="shared" si="1"/>
        <v>0</v>
      </c>
      <c r="W54" s="9">
        <f t="shared" si="2"/>
        <v>3</v>
      </c>
      <c r="X54" s="6" t="str">
        <f t="shared" si="3"/>
        <v>Pendência de TACH (3)</v>
      </c>
    </row>
    <row r="55" spans="1:24">
      <c r="A55" s="9">
        <v>32130</v>
      </c>
      <c r="B55" s="9" t="s">
        <v>112</v>
      </c>
      <c r="C55" s="9" t="s">
        <v>120</v>
      </c>
      <c r="D55" s="9">
        <v>32</v>
      </c>
      <c r="E55" s="9">
        <v>0</v>
      </c>
      <c r="F55" s="6" t="s">
        <v>286</v>
      </c>
      <c r="G55" s="6" t="s">
        <v>284</v>
      </c>
      <c r="H55" s="9">
        <v>0</v>
      </c>
      <c r="I55" s="6" t="s">
        <v>286</v>
      </c>
      <c r="J55" s="6" t="s">
        <v>284</v>
      </c>
      <c r="K55" s="9">
        <v>0</v>
      </c>
      <c r="L55" s="6" t="s">
        <v>286</v>
      </c>
      <c r="M55" s="6" t="s">
        <v>284</v>
      </c>
      <c r="N55" s="9">
        <v>0</v>
      </c>
      <c r="O55" s="6" t="s">
        <v>286</v>
      </c>
      <c r="P55" s="6" t="s">
        <v>284</v>
      </c>
      <c r="Q55" s="9">
        <v>0</v>
      </c>
      <c r="R55" s="6" t="s">
        <v>282</v>
      </c>
      <c r="S55" s="6" t="s">
        <v>282</v>
      </c>
      <c r="T55" s="6" t="str">
        <f t="shared" si="4"/>
        <v/>
      </c>
      <c r="U55" s="6" t="str">
        <f t="shared" si="0"/>
        <v>Pendência de TACH</v>
      </c>
      <c r="V55" s="9">
        <f t="shared" si="1"/>
        <v>0</v>
      </c>
      <c r="W55" s="9">
        <f t="shared" si="2"/>
        <v>4</v>
      </c>
      <c r="X55" s="6" t="str">
        <f t="shared" si="3"/>
        <v>Pendência de TACH (4)</v>
      </c>
    </row>
    <row r="56" spans="1:24">
      <c r="A56" s="9">
        <v>20244</v>
      </c>
      <c r="B56" s="9" t="s">
        <v>113</v>
      </c>
      <c r="C56" s="9" t="s">
        <v>120</v>
      </c>
      <c r="D56" s="9">
        <v>36</v>
      </c>
      <c r="E56" s="9">
        <v>0</v>
      </c>
      <c r="F56" s="6" t="s">
        <v>286</v>
      </c>
      <c r="G56" s="6" t="s">
        <v>284</v>
      </c>
      <c r="H56" s="9">
        <v>0</v>
      </c>
      <c r="I56" s="6" t="s">
        <v>286</v>
      </c>
      <c r="J56" s="6" t="s">
        <v>284</v>
      </c>
      <c r="K56" s="9">
        <v>0</v>
      </c>
      <c r="L56" s="6" t="s">
        <v>282</v>
      </c>
      <c r="M56" s="6" t="s">
        <v>282</v>
      </c>
      <c r="N56" s="9">
        <v>0</v>
      </c>
      <c r="O56" s="6" t="s">
        <v>282</v>
      </c>
      <c r="P56" s="6" t="s">
        <v>282</v>
      </c>
      <c r="Q56" s="9">
        <v>0</v>
      </c>
      <c r="R56" s="6" t="s">
        <v>282</v>
      </c>
      <c r="S56" s="6" t="s">
        <v>282</v>
      </c>
      <c r="T56" s="6" t="str">
        <f t="shared" si="4"/>
        <v/>
      </c>
      <c r="U56" s="6" t="str">
        <f t="shared" si="0"/>
        <v>Pendência de TACH</v>
      </c>
      <c r="V56" s="9">
        <f t="shared" si="1"/>
        <v>0</v>
      </c>
      <c r="W56" s="9">
        <f t="shared" si="2"/>
        <v>2</v>
      </c>
      <c r="X56" s="6" t="str">
        <f t="shared" si="3"/>
        <v>Pendência de TACH (2)</v>
      </c>
    </row>
    <row r="57" spans="1:24">
      <c r="A57" s="9">
        <v>20857</v>
      </c>
      <c r="B57" s="9" t="s">
        <v>114</v>
      </c>
      <c r="C57" s="9" t="s">
        <v>120</v>
      </c>
      <c r="D57" s="9">
        <v>34</v>
      </c>
      <c r="E57" s="9">
        <v>0</v>
      </c>
      <c r="F57" s="6" t="s">
        <v>286</v>
      </c>
      <c r="G57" s="6" t="s">
        <v>284</v>
      </c>
      <c r="H57" s="9">
        <v>0</v>
      </c>
      <c r="I57" s="6" t="s">
        <v>286</v>
      </c>
      <c r="J57" s="6" t="s">
        <v>284</v>
      </c>
      <c r="K57" s="9">
        <v>0</v>
      </c>
      <c r="L57" s="6" t="s">
        <v>286</v>
      </c>
      <c r="M57" s="6" t="s">
        <v>284</v>
      </c>
      <c r="N57" s="9">
        <v>0</v>
      </c>
      <c r="O57" s="6" t="s">
        <v>286</v>
      </c>
      <c r="P57" s="6" t="s">
        <v>284</v>
      </c>
      <c r="Q57" s="9">
        <v>0</v>
      </c>
      <c r="R57" s="6" t="s">
        <v>282</v>
      </c>
      <c r="S57" s="6" t="s">
        <v>282</v>
      </c>
      <c r="T57" s="6" t="str">
        <f t="shared" si="4"/>
        <v/>
      </c>
      <c r="U57" s="6" t="str">
        <f t="shared" si="0"/>
        <v>Pendência de TACH</v>
      </c>
      <c r="V57" s="9">
        <f t="shared" si="1"/>
        <v>0</v>
      </c>
      <c r="W57" s="9">
        <f t="shared" si="2"/>
        <v>4</v>
      </c>
      <c r="X57" s="6" t="str">
        <f t="shared" si="3"/>
        <v>Pendência de TACH (4)</v>
      </c>
    </row>
    <row r="58" spans="1:24">
      <c r="A58" s="9">
        <v>23850</v>
      </c>
      <c r="B58" s="9" t="s">
        <v>115</v>
      </c>
      <c r="C58" s="9" t="s">
        <v>120</v>
      </c>
      <c r="D58" s="9">
        <v>40</v>
      </c>
      <c r="E58" s="9">
        <v>0</v>
      </c>
      <c r="F58" s="6" t="s">
        <v>286</v>
      </c>
      <c r="G58" s="6" t="s">
        <v>284</v>
      </c>
      <c r="H58" s="9">
        <v>0</v>
      </c>
      <c r="I58" s="6" t="s">
        <v>286</v>
      </c>
      <c r="J58" s="6" t="s">
        <v>284</v>
      </c>
      <c r="K58" s="9">
        <v>0</v>
      </c>
      <c r="L58" s="6" t="s">
        <v>286</v>
      </c>
      <c r="M58" s="6" t="s">
        <v>284</v>
      </c>
      <c r="N58" s="9">
        <v>0</v>
      </c>
      <c r="O58" s="6" t="s">
        <v>286</v>
      </c>
      <c r="P58" s="6" t="s">
        <v>284</v>
      </c>
      <c r="Q58" s="9">
        <v>0</v>
      </c>
      <c r="R58" s="6" t="s">
        <v>282</v>
      </c>
      <c r="S58" s="6" t="s">
        <v>282</v>
      </c>
      <c r="T58" s="6" t="str">
        <f t="shared" si="4"/>
        <v/>
      </c>
      <c r="U58" s="6" t="str">
        <f t="shared" si="0"/>
        <v>Pendência de TACH</v>
      </c>
      <c r="V58" s="9">
        <f t="shared" si="1"/>
        <v>0</v>
      </c>
      <c r="W58" s="9">
        <f t="shared" si="2"/>
        <v>4</v>
      </c>
      <c r="X58" s="6" t="str">
        <f t="shared" si="3"/>
        <v>Pendência de TACH (4)</v>
      </c>
    </row>
    <row r="59" spans="1:24">
      <c r="A59" s="9">
        <v>90011017</v>
      </c>
      <c r="B59" s="9" t="s">
        <v>116</v>
      </c>
      <c r="C59" s="9" t="s">
        <v>120</v>
      </c>
      <c r="D59" s="9">
        <v>26</v>
      </c>
      <c r="E59" s="9">
        <v>0</v>
      </c>
      <c r="F59" s="6" t="s">
        <v>286</v>
      </c>
      <c r="G59" s="6" t="s">
        <v>284</v>
      </c>
      <c r="H59" s="9">
        <v>0</v>
      </c>
      <c r="I59" s="6" t="s">
        <v>286</v>
      </c>
      <c r="J59" s="6" t="s">
        <v>284</v>
      </c>
      <c r="K59" s="9">
        <v>0</v>
      </c>
      <c r="L59" s="6" t="s">
        <v>282</v>
      </c>
      <c r="M59" s="6" t="s">
        <v>282</v>
      </c>
      <c r="N59" s="9">
        <v>0</v>
      </c>
      <c r="O59" s="6" t="s">
        <v>282</v>
      </c>
      <c r="P59" s="6" t="s">
        <v>282</v>
      </c>
      <c r="Q59" s="9">
        <v>0</v>
      </c>
      <c r="R59" s="6" t="s">
        <v>282</v>
      </c>
      <c r="S59" s="6" t="s">
        <v>282</v>
      </c>
      <c r="T59" s="6" t="str">
        <f t="shared" si="4"/>
        <v/>
      </c>
      <c r="U59" s="6" t="str">
        <f t="shared" si="0"/>
        <v>Pendência de TACH</v>
      </c>
      <c r="V59" s="9">
        <f t="shared" si="1"/>
        <v>0</v>
      </c>
      <c r="W59" s="9">
        <f t="shared" si="2"/>
        <v>2</v>
      </c>
      <c r="X59" s="6" t="str">
        <f t="shared" si="3"/>
        <v>Pendência de TACH (2)</v>
      </c>
    </row>
    <row r="60" spans="1:24">
      <c r="A60" s="9">
        <v>22466</v>
      </c>
      <c r="B60" s="9" t="s">
        <v>117</v>
      </c>
      <c r="C60" s="9" t="s">
        <v>120</v>
      </c>
      <c r="D60" s="9">
        <v>40</v>
      </c>
      <c r="E60" s="9">
        <v>0</v>
      </c>
      <c r="F60" s="6" t="s">
        <v>286</v>
      </c>
      <c r="G60" s="6" t="s">
        <v>284</v>
      </c>
      <c r="H60" s="9">
        <v>0</v>
      </c>
      <c r="I60" s="6" t="s">
        <v>286</v>
      </c>
      <c r="J60" s="6" t="s">
        <v>284</v>
      </c>
      <c r="K60" s="9">
        <v>0</v>
      </c>
      <c r="L60" s="6" t="s">
        <v>282</v>
      </c>
      <c r="M60" s="6" t="s">
        <v>282</v>
      </c>
      <c r="N60" s="9">
        <v>0</v>
      </c>
      <c r="O60" s="6" t="s">
        <v>286</v>
      </c>
      <c r="P60" s="6" t="s">
        <v>284</v>
      </c>
      <c r="Q60" s="9">
        <v>0</v>
      </c>
      <c r="R60" s="6" t="s">
        <v>282</v>
      </c>
      <c r="S60" s="6" t="s">
        <v>282</v>
      </c>
      <c r="T60" s="6" t="str">
        <f t="shared" si="4"/>
        <v/>
      </c>
      <c r="U60" s="6" t="str">
        <f t="shared" si="0"/>
        <v>Pendência de TACH</v>
      </c>
      <c r="V60" s="9">
        <f t="shared" si="1"/>
        <v>0</v>
      </c>
      <c r="W60" s="9">
        <f t="shared" si="2"/>
        <v>3</v>
      </c>
      <c r="X60" s="6" t="str">
        <f t="shared" si="3"/>
        <v>Pendência de TACH (3)</v>
      </c>
    </row>
    <row r="61" spans="1:24">
      <c r="A61" s="9">
        <v>34006</v>
      </c>
      <c r="B61" s="9" t="s">
        <v>118</v>
      </c>
      <c r="C61" s="9" t="s">
        <v>120</v>
      </c>
      <c r="D61" s="9">
        <v>40</v>
      </c>
      <c r="E61" s="9">
        <v>0</v>
      </c>
      <c r="F61" s="6" t="s">
        <v>288</v>
      </c>
      <c r="G61" s="6" t="s">
        <v>290</v>
      </c>
      <c r="H61" s="9">
        <v>0</v>
      </c>
      <c r="I61" s="6" t="s">
        <v>282</v>
      </c>
      <c r="J61" s="6" t="s">
        <v>282</v>
      </c>
      <c r="K61" s="9">
        <v>0</v>
      </c>
      <c r="L61" s="6" t="s">
        <v>282</v>
      </c>
      <c r="M61" s="6" t="s">
        <v>282</v>
      </c>
      <c r="N61" s="9">
        <v>0</v>
      </c>
      <c r="O61" s="6" t="s">
        <v>282</v>
      </c>
      <c r="P61" s="6" t="s">
        <v>282</v>
      </c>
      <c r="Q61" s="9">
        <v>0</v>
      </c>
      <c r="R61" s="6" t="s">
        <v>282</v>
      </c>
      <c r="S61" s="6" t="s">
        <v>282</v>
      </c>
      <c r="T61" s="6" t="str">
        <f t="shared" si="4"/>
        <v/>
      </c>
      <c r="U61" s="6" t="str">
        <f t="shared" si="0"/>
        <v/>
      </c>
      <c r="V61" s="9">
        <f t="shared" si="1"/>
        <v>0</v>
      </c>
      <c r="W61" s="9">
        <f t="shared" si="2"/>
        <v>0</v>
      </c>
      <c r="X61" s="6" t="str">
        <f t="shared" si="3"/>
        <v/>
      </c>
    </row>
    <row r="62" spans="1:24">
      <c r="A62" s="9">
        <v>90009732</v>
      </c>
      <c r="B62" s="9" t="s">
        <v>119</v>
      </c>
      <c r="C62" s="9" t="s">
        <v>120</v>
      </c>
      <c r="D62" s="9">
        <v>22</v>
      </c>
      <c r="E62" s="9">
        <v>0</v>
      </c>
      <c r="F62" s="6" t="s">
        <v>288</v>
      </c>
      <c r="G62" s="6" t="s">
        <v>290</v>
      </c>
      <c r="H62" s="9">
        <v>0</v>
      </c>
      <c r="I62" s="6" t="s">
        <v>282</v>
      </c>
      <c r="J62" s="6" t="s">
        <v>282</v>
      </c>
      <c r="K62" s="9">
        <v>0</v>
      </c>
      <c r="L62" s="6" t="s">
        <v>282</v>
      </c>
      <c r="M62" s="6" t="s">
        <v>282</v>
      </c>
      <c r="N62" s="9">
        <v>0</v>
      </c>
      <c r="O62" s="6" t="s">
        <v>282</v>
      </c>
      <c r="P62" s="6" t="s">
        <v>282</v>
      </c>
      <c r="Q62" s="9">
        <v>0</v>
      </c>
      <c r="R62" s="6" t="s">
        <v>282</v>
      </c>
      <c r="S62" s="6" t="s">
        <v>282</v>
      </c>
      <c r="T62" s="6" t="str">
        <f t="shared" si="4"/>
        <v/>
      </c>
      <c r="U62" s="6" t="str">
        <f t="shared" si="0"/>
        <v/>
      </c>
      <c r="V62" s="9">
        <f t="shared" si="1"/>
        <v>0</v>
      </c>
      <c r="W62" s="9">
        <f t="shared" si="2"/>
        <v>0</v>
      </c>
      <c r="X62" s="6" t="str">
        <f t="shared" si="3"/>
        <v/>
      </c>
    </row>
    <row r="63" spans="1:24">
      <c r="A63" s="9">
        <v>8306</v>
      </c>
      <c r="B63" s="9" t="s">
        <v>7</v>
      </c>
      <c r="C63" s="9" t="s">
        <v>70</v>
      </c>
      <c r="D63" s="9">
        <v>2</v>
      </c>
      <c r="E63" s="9" t="s">
        <v>8</v>
      </c>
      <c r="F63" s="6" t="s">
        <v>283</v>
      </c>
      <c r="G63" s="6" t="s">
        <v>284</v>
      </c>
      <c r="H63" s="9" t="s">
        <v>8</v>
      </c>
      <c r="I63" s="6" t="s">
        <v>283</v>
      </c>
      <c r="J63" s="6" t="s">
        <v>284</v>
      </c>
      <c r="K63" s="9" t="s">
        <v>8</v>
      </c>
      <c r="L63" s="6" t="s">
        <v>283</v>
      </c>
      <c r="M63" s="6" t="s">
        <v>284</v>
      </c>
      <c r="N63" s="9" t="s">
        <v>8</v>
      </c>
      <c r="O63" s="6" t="s">
        <v>283</v>
      </c>
      <c r="P63" s="6" t="s">
        <v>284</v>
      </c>
      <c r="Q63" s="9">
        <v>2</v>
      </c>
      <c r="R63" s="6" t="s">
        <v>283</v>
      </c>
      <c r="S63" s="6" t="s">
        <v>284</v>
      </c>
      <c r="T63" s="6" t="str">
        <f t="shared" si="4"/>
        <v>Pendencia de Agenda e Cartões</v>
      </c>
      <c r="U63" s="6" t="str">
        <f t="shared" si="0"/>
        <v>Pendência de TACH</v>
      </c>
      <c r="V63" s="9">
        <f t="shared" si="1"/>
        <v>5</v>
      </c>
      <c r="W63" s="9">
        <f t="shared" si="2"/>
        <v>5</v>
      </c>
      <c r="X63" s="6" t="str">
        <f t="shared" si="3"/>
        <v>Pendencia de Agenda e Cartões (5) &amp; Pendência de TACH (5)</v>
      </c>
    </row>
    <row r="64" spans="1:24">
      <c r="A64" s="9">
        <v>90012552</v>
      </c>
      <c r="B64" s="9" t="s">
        <v>151</v>
      </c>
      <c r="C64" s="9" t="s">
        <v>70</v>
      </c>
      <c r="D64" s="9">
        <v>7</v>
      </c>
      <c r="E64" s="9">
        <v>0</v>
      </c>
      <c r="F64" s="6" t="s">
        <v>282</v>
      </c>
      <c r="G64" s="6" t="s">
        <v>282</v>
      </c>
      <c r="H64" s="9" t="s">
        <v>26</v>
      </c>
      <c r="I64" s="6" t="s">
        <v>283</v>
      </c>
      <c r="J64" s="6" t="s">
        <v>285</v>
      </c>
      <c r="K64" s="9">
        <v>0</v>
      </c>
      <c r="L64" s="6" t="s">
        <v>282</v>
      </c>
      <c r="M64" s="6" t="s">
        <v>282</v>
      </c>
      <c r="N64" s="9">
        <v>0</v>
      </c>
      <c r="O64" s="6" t="s">
        <v>282</v>
      </c>
      <c r="P64" s="6" t="s">
        <v>282</v>
      </c>
      <c r="Q64" s="9">
        <v>0</v>
      </c>
      <c r="R64" s="6" t="s">
        <v>282</v>
      </c>
      <c r="S64" s="6" t="s">
        <v>282</v>
      </c>
      <c r="T64" s="6" t="str">
        <f t="shared" si="4"/>
        <v>Pendencia de Agenda e Cartões</v>
      </c>
      <c r="U64" s="6" t="str">
        <f t="shared" si="0"/>
        <v/>
      </c>
      <c r="V64" s="9">
        <f t="shared" si="1"/>
        <v>1</v>
      </c>
      <c r="W64" s="9">
        <f t="shared" si="2"/>
        <v>0</v>
      </c>
      <c r="X64" s="6" t="str">
        <f t="shared" si="3"/>
        <v>Pendencia de Agenda e Cartões (1)</v>
      </c>
    </row>
    <row r="65" spans="1:24">
      <c r="A65" s="9">
        <v>90010230</v>
      </c>
      <c r="B65" s="9" t="s">
        <v>152</v>
      </c>
      <c r="C65" s="9" t="s">
        <v>70</v>
      </c>
      <c r="D65" s="9">
        <v>22</v>
      </c>
      <c r="E65" s="9">
        <v>0</v>
      </c>
      <c r="F65" s="6" t="s">
        <v>282</v>
      </c>
      <c r="G65" s="6" t="s">
        <v>282</v>
      </c>
      <c r="H65" s="9" t="s">
        <v>17</v>
      </c>
      <c r="I65" s="6" t="s">
        <v>283</v>
      </c>
      <c r="J65" s="6" t="s">
        <v>285</v>
      </c>
      <c r="K65" s="9" t="s">
        <v>83</v>
      </c>
      <c r="L65" s="6" t="s">
        <v>283</v>
      </c>
      <c r="M65" s="6" t="s">
        <v>285</v>
      </c>
      <c r="N65" s="9">
        <v>0</v>
      </c>
      <c r="O65" s="6" t="s">
        <v>282</v>
      </c>
      <c r="P65" s="6" t="s">
        <v>282</v>
      </c>
      <c r="Q65" s="9">
        <v>0</v>
      </c>
      <c r="R65" s="6" t="s">
        <v>282</v>
      </c>
      <c r="S65" s="6" t="s">
        <v>282</v>
      </c>
      <c r="T65" s="6" t="str">
        <f t="shared" si="4"/>
        <v>Pendencia de Agenda e Cartões</v>
      </c>
      <c r="U65" s="6" t="str">
        <f t="shared" si="0"/>
        <v/>
      </c>
      <c r="V65" s="9">
        <f t="shared" si="1"/>
        <v>2</v>
      </c>
      <c r="W65" s="9">
        <f t="shared" si="2"/>
        <v>0</v>
      </c>
      <c r="X65" s="6" t="str">
        <f t="shared" si="3"/>
        <v>Pendencia de Agenda e Cartões (2)</v>
      </c>
    </row>
    <row r="66" spans="1:24">
      <c r="A66" s="9">
        <v>32442</v>
      </c>
      <c r="B66" s="9" t="s">
        <v>153</v>
      </c>
      <c r="C66" s="9" t="s">
        <v>70</v>
      </c>
      <c r="D66" s="9">
        <v>2</v>
      </c>
      <c r="E66" s="9">
        <v>0</v>
      </c>
      <c r="F66" s="6" t="s">
        <v>282</v>
      </c>
      <c r="G66" s="6" t="s">
        <v>282</v>
      </c>
      <c r="H66" s="9" t="s">
        <v>8</v>
      </c>
      <c r="I66" s="6" t="s">
        <v>283</v>
      </c>
      <c r="J66" s="6" t="s">
        <v>285</v>
      </c>
      <c r="K66" s="9">
        <v>0</v>
      </c>
      <c r="L66" s="6" t="s">
        <v>282</v>
      </c>
      <c r="M66" s="6" t="s">
        <v>282</v>
      </c>
      <c r="N66" s="9">
        <v>0</v>
      </c>
      <c r="O66" s="6" t="s">
        <v>282</v>
      </c>
      <c r="P66" s="6" t="s">
        <v>282</v>
      </c>
      <c r="Q66" s="9">
        <v>0</v>
      </c>
      <c r="R66" s="6" t="s">
        <v>282</v>
      </c>
      <c r="S66" s="6" t="s">
        <v>282</v>
      </c>
      <c r="T66" s="6" t="str">
        <f t="shared" si="4"/>
        <v>Pendencia de Agenda e Cartões</v>
      </c>
      <c r="U66" s="6" t="str">
        <f t="shared" ref="U66:U105" si="5">IF(OR(G66="Pendência de TACH",J66="Pendência de TACH",M66="Pendência de TACH",P66="Pendência de TACH",S66="Pendência de TACH"),"Pendência de TACH","")</f>
        <v/>
      </c>
      <c r="V66" s="9">
        <f t="shared" ref="V66:V105" si="6">COUNTIF(F66:S66,"Pendência de Agenda")</f>
        <v>1</v>
      </c>
      <c r="W66" s="9">
        <f t="shared" ref="W66:W105" si="7">COUNTIF(F66:S66,"Pendência de TACH")</f>
        <v>0</v>
      </c>
      <c r="X66" s="6" t="str">
        <f t="shared" ref="X66:X105" si="8">IF(AND(T66&lt;&gt;"",U66&lt;&gt;""),T66&amp;" ("&amp;V66&amp;") &amp; "&amp;U66&amp;" ("&amp;W66&amp;")",IF(T66&lt;&gt;"",T66&amp;" ("&amp;V66&amp;")",IF(U66&lt;&gt;"",U66&amp;" ("&amp;W66&amp;")","")))</f>
        <v>Pendencia de Agenda e Cartões (1)</v>
      </c>
    </row>
    <row r="67" spans="1:24">
      <c r="A67" s="9">
        <v>90013147</v>
      </c>
      <c r="B67" s="9" t="s">
        <v>154</v>
      </c>
      <c r="C67" s="9" t="s">
        <v>70</v>
      </c>
      <c r="D67" s="9">
        <v>21</v>
      </c>
      <c r="E67" s="9">
        <v>0</v>
      </c>
      <c r="F67" s="6" t="s">
        <v>282</v>
      </c>
      <c r="G67" s="6" t="s">
        <v>282</v>
      </c>
      <c r="H67" s="9" t="s">
        <v>157</v>
      </c>
      <c r="I67" s="6" t="s">
        <v>283</v>
      </c>
      <c r="J67" s="6" t="s">
        <v>284</v>
      </c>
      <c r="K67" s="9" t="s">
        <v>201</v>
      </c>
      <c r="L67" s="6" t="s">
        <v>283</v>
      </c>
      <c r="M67" s="6" t="s">
        <v>284</v>
      </c>
      <c r="N67" s="9" t="s">
        <v>234</v>
      </c>
      <c r="O67" s="6" t="s">
        <v>283</v>
      </c>
      <c r="P67" s="6" t="s">
        <v>285</v>
      </c>
      <c r="Q67" s="9">
        <v>0</v>
      </c>
      <c r="R67" s="6" t="s">
        <v>282</v>
      </c>
      <c r="S67" s="6" t="s">
        <v>282</v>
      </c>
      <c r="T67" s="6" t="str">
        <f t="shared" ref="T67:T105" si="9">IF(AND(D67&gt;0,OR(E67&gt;0,H67&gt;0,K67&gt;0,N67&gt;0,Q67&gt;0)),"Pendencia de Agenda e Cartões","")</f>
        <v>Pendencia de Agenda e Cartões</v>
      </c>
      <c r="U67" s="6" t="str">
        <f t="shared" si="5"/>
        <v>Pendência de TACH</v>
      </c>
      <c r="V67" s="9">
        <f t="shared" si="6"/>
        <v>3</v>
      </c>
      <c r="W67" s="9">
        <f t="shared" si="7"/>
        <v>2</v>
      </c>
      <c r="X67" s="6" t="str">
        <f t="shared" si="8"/>
        <v>Pendencia de Agenda e Cartões (3) &amp; Pendência de TACH (2)</v>
      </c>
    </row>
    <row r="68" spans="1:24">
      <c r="A68" s="9">
        <v>90010238</v>
      </c>
      <c r="B68" s="9" t="s">
        <v>156</v>
      </c>
      <c r="C68" s="9" t="s">
        <v>70</v>
      </c>
      <c r="D68" s="9">
        <v>6</v>
      </c>
      <c r="E68" s="9">
        <v>0</v>
      </c>
      <c r="F68" s="6" t="s">
        <v>282</v>
      </c>
      <c r="G68" s="6" t="s">
        <v>282</v>
      </c>
      <c r="H68" s="9" t="s">
        <v>12</v>
      </c>
      <c r="I68" s="6" t="s">
        <v>283</v>
      </c>
      <c r="J68" s="6" t="s">
        <v>285</v>
      </c>
      <c r="K68" s="9">
        <v>0</v>
      </c>
      <c r="L68" s="6" t="s">
        <v>282</v>
      </c>
      <c r="M68" s="6" t="s">
        <v>282</v>
      </c>
      <c r="N68" s="9">
        <v>0</v>
      </c>
      <c r="O68" s="6" t="s">
        <v>282</v>
      </c>
      <c r="P68" s="6" t="s">
        <v>282</v>
      </c>
      <c r="Q68" s="9">
        <v>0</v>
      </c>
      <c r="R68" s="6" t="s">
        <v>282</v>
      </c>
      <c r="S68" s="6" t="s">
        <v>282</v>
      </c>
      <c r="T68" s="6" t="str">
        <f t="shared" si="9"/>
        <v>Pendencia de Agenda e Cartões</v>
      </c>
      <c r="U68" s="6" t="str">
        <f t="shared" si="5"/>
        <v/>
      </c>
      <c r="V68" s="9">
        <f t="shared" si="6"/>
        <v>1</v>
      </c>
      <c r="W68" s="9">
        <f t="shared" si="7"/>
        <v>0</v>
      </c>
      <c r="X68" s="6" t="str">
        <f t="shared" si="8"/>
        <v>Pendencia de Agenda e Cartões (1)</v>
      </c>
    </row>
    <row r="69" spans="1:24">
      <c r="A69" s="9">
        <v>90013014</v>
      </c>
      <c r="B69" s="9" t="s">
        <v>169</v>
      </c>
      <c r="C69" s="9" t="s">
        <v>70</v>
      </c>
      <c r="D69" s="9">
        <v>7</v>
      </c>
      <c r="E69" s="9">
        <v>0</v>
      </c>
      <c r="F69" s="6" t="s">
        <v>282</v>
      </c>
      <c r="G69" s="6" t="s">
        <v>282</v>
      </c>
      <c r="H69" s="9">
        <v>0</v>
      </c>
      <c r="I69" s="6" t="s">
        <v>286</v>
      </c>
      <c r="J69" s="6" t="s">
        <v>284</v>
      </c>
      <c r="K69" s="9">
        <v>0</v>
      </c>
      <c r="L69" s="6" t="s">
        <v>286</v>
      </c>
      <c r="M69" s="6" t="s">
        <v>284</v>
      </c>
      <c r="N69" s="9" t="s">
        <v>12</v>
      </c>
      <c r="O69" s="6" t="s">
        <v>283</v>
      </c>
      <c r="P69" s="6" t="s">
        <v>284</v>
      </c>
      <c r="Q69" s="9">
        <v>7</v>
      </c>
      <c r="R69" s="6" t="s">
        <v>283</v>
      </c>
      <c r="S69" s="6" t="s">
        <v>285</v>
      </c>
      <c r="T69" s="6" t="str">
        <f t="shared" si="9"/>
        <v>Pendencia de Agenda e Cartões</v>
      </c>
      <c r="U69" s="6" t="str">
        <f t="shared" si="5"/>
        <v>Pendência de TACH</v>
      </c>
      <c r="V69" s="9">
        <f t="shared" si="6"/>
        <v>2</v>
      </c>
      <c r="W69" s="9">
        <f t="shared" si="7"/>
        <v>3</v>
      </c>
      <c r="X69" s="6" t="str">
        <f t="shared" si="8"/>
        <v>Pendencia de Agenda e Cartões (2) &amp; Pendência de TACH (3)</v>
      </c>
    </row>
    <row r="70" spans="1:24">
      <c r="A70" s="9">
        <v>7892</v>
      </c>
      <c r="B70" s="9" t="s">
        <v>170</v>
      </c>
      <c r="C70" s="9" t="s">
        <v>120</v>
      </c>
      <c r="D70" s="9">
        <v>24</v>
      </c>
      <c r="E70" s="9">
        <v>0</v>
      </c>
      <c r="F70" s="6" t="s">
        <v>282</v>
      </c>
      <c r="G70" s="6" t="s">
        <v>282</v>
      </c>
      <c r="H70" s="9">
        <v>0</v>
      </c>
      <c r="I70" s="6" t="s">
        <v>286</v>
      </c>
      <c r="J70" s="6" t="s">
        <v>284</v>
      </c>
      <c r="K70" s="9">
        <v>0</v>
      </c>
      <c r="L70" s="6" t="s">
        <v>282</v>
      </c>
      <c r="M70" s="6" t="s">
        <v>282</v>
      </c>
      <c r="N70" s="9">
        <v>0</v>
      </c>
      <c r="O70" s="6" t="s">
        <v>282</v>
      </c>
      <c r="P70" s="6" t="s">
        <v>282</v>
      </c>
      <c r="Q70" s="9">
        <v>0</v>
      </c>
      <c r="R70" s="6" t="s">
        <v>282</v>
      </c>
      <c r="S70" s="6" t="s">
        <v>282</v>
      </c>
      <c r="T70" s="6" t="str">
        <f t="shared" si="9"/>
        <v/>
      </c>
      <c r="U70" s="6" t="str">
        <f t="shared" si="5"/>
        <v>Pendência de TACH</v>
      </c>
      <c r="V70" s="9">
        <f t="shared" si="6"/>
        <v>0</v>
      </c>
      <c r="W70" s="9">
        <f t="shared" si="7"/>
        <v>1</v>
      </c>
      <c r="X70" s="6" t="str">
        <f t="shared" si="8"/>
        <v>Pendência de TACH (1)</v>
      </c>
    </row>
    <row r="71" spans="1:24">
      <c r="A71" s="9">
        <v>14747</v>
      </c>
      <c r="B71" s="9" t="s">
        <v>171</v>
      </c>
      <c r="C71" s="9" t="s">
        <v>70</v>
      </c>
      <c r="D71" s="9">
        <v>30</v>
      </c>
      <c r="E71" s="9">
        <v>0</v>
      </c>
      <c r="F71" s="6" t="s">
        <v>282</v>
      </c>
      <c r="G71" s="6" t="s">
        <v>282</v>
      </c>
      <c r="H71" s="9">
        <v>0</v>
      </c>
      <c r="I71" s="6" t="s">
        <v>286</v>
      </c>
      <c r="J71" s="6" t="s">
        <v>284</v>
      </c>
      <c r="K71" s="9">
        <v>0</v>
      </c>
      <c r="L71" s="6" t="s">
        <v>282</v>
      </c>
      <c r="M71" s="6" t="s">
        <v>282</v>
      </c>
      <c r="N71" s="9">
        <v>0</v>
      </c>
      <c r="O71" s="6" t="s">
        <v>282</v>
      </c>
      <c r="P71" s="6" t="s">
        <v>282</v>
      </c>
      <c r="Q71" s="9">
        <v>0</v>
      </c>
      <c r="R71" s="6" t="s">
        <v>282</v>
      </c>
      <c r="S71" s="6" t="s">
        <v>282</v>
      </c>
      <c r="T71" s="6" t="str">
        <f t="shared" si="9"/>
        <v/>
      </c>
      <c r="U71" s="6" t="str">
        <f t="shared" si="5"/>
        <v>Pendência de TACH</v>
      </c>
      <c r="V71" s="9">
        <f t="shared" si="6"/>
        <v>0</v>
      </c>
      <c r="W71" s="9">
        <f t="shared" si="7"/>
        <v>1</v>
      </c>
      <c r="X71" s="6" t="str">
        <f t="shared" si="8"/>
        <v>Pendência de TACH (1)</v>
      </c>
    </row>
    <row r="72" spans="1:24">
      <c r="A72" s="9">
        <v>1030</v>
      </c>
      <c r="B72" s="9" t="s">
        <v>172</v>
      </c>
      <c r="C72" s="9" t="s">
        <v>120</v>
      </c>
      <c r="D72" s="9">
        <v>36</v>
      </c>
      <c r="E72" s="9">
        <v>0</v>
      </c>
      <c r="F72" s="6" t="s">
        <v>282</v>
      </c>
      <c r="G72" s="6" t="s">
        <v>282</v>
      </c>
      <c r="H72" s="9">
        <v>0</v>
      </c>
      <c r="I72" s="6" t="s">
        <v>286</v>
      </c>
      <c r="J72" s="6" t="s">
        <v>284</v>
      </c>
      <c r="K72" s="9">
        <v>0</v>
      </c>
      <c r="L72" s="6" t="s">
        <v>286</v>
      </c>
      <c r="M72" s="6" t="s">
        <v>284</v>
      </c>
      <c r="N72" s="9">
        <v>0</v>
      </c>
      <c r="O72" s="6" t="s">
        <v>282</v>
      </c>
      <c r="P72" s="6" t="s">
        <v>282</v>
      </c>
      <c r="Q72" s="9">
        <v>0</v>
      </c>
      <c r="R72" s="6" t="s">
        <v>282</v>
      </c>
      <c r="S72" s="6" t="s">
        <v>282</v>
      </c>
      <c r="T72" s="6" t="str">
        <f t="shared" si="9"/>
        <v/>
      </c>
      <c r="U72" s="6" t="str">
        <f t="shared" si="5"/>
        <v>Pendência de TACH</v>
      </c>
      <c r="V72" s="9">
        <f t="shared" si="6"/>
        <v>0</v>
      </c>
      <c r="W72" s="9">
        <f t="shared" si="7"/>
        <v>2</v>
      </c>
      <c r="X72" s="6" t="str">
        <f t="shared" si="8"/>
        <v>Pendência de TACH (2)</v>
      </c>
    </row>
    <row r="73" spans="1:24">
      <c r="A73" s="9">
        <v>90001957</v>
      </c>
      <c r="B73" s="9" t="s">
        <v>173</v>
      </c>
      <c r="C73" s="9" t="s">
        <v>120</v>
      </c>
      <c r="D73" s="9">
        <v>40</v>
      </c>
      <c r="E73" s="9">
        <v>0</v>
      </c>
      <c r="F73" s="6" t="s">
        <v>282</v>
      </c>
      <c r="G73" s="6" t="s">
        <v>282</v>
      </c>
      <c r="H73" s="9">
        <v>0</v>
      </c>
      <c r="I73" s="6" t="s">
        <v>286</v>
      </c>
      <c r="J73" s="6" t="s">
        <v>284</v>
      </c>
      <c r="K73" s="9">
        <v>0</v>
      </c>
      <c r="L73" s="6" t="s">
        <v>282</v>
      </c>
      <c r="M73" s="6" t="s">
        <v>282</v>
      </c>
      <c r="N73" s="9">
        <v>0</v>
      </c>
      <c r="O73" s="6" t="s">
        <v>282</v>
      </c>
      <c r="P73" s="6" t="s">
        <v>282</v>
      </c>
      <c r="Q73" s="9">
        <v>0</v>
      </c>
      <c r="R73" s="6" t="s">
        <v>282</v>
      </c>
      <c r="S73" s="6" t="s">
        <v>282</v>
      </c>
      <c r="T73" s="6" t="str">
        <f t="shared" si="9"/>
        <v/>
      </c>
      <c r="U73" s="6" t="str">
        <f t="shared" si="5"/>
        <v>Pendência de TACH</v>
      </c>
      <c r="V73" s="9">
        <f t="shared" si="6"/>
        <v>0</v>
      </c>
      <c r="W73" s="9">
        <f t="shared" si="7"/>
        <v>1</v>
      </c>
      <c r="X73" s="6" t="str">
        <f t="shared" si="8"/>
        <v>Pendência de TACH (1)</v>
      </c>
    </row>
    <row r="74" spans="1:24">
      <c r="A74" s="9">
        <v>90011695</v>
      </c>
      <c r="B74" s="9" t="s">
        <v>193</v>
      </c>
      <c r="C74" s="9" t="s">
        <v>70</v>
      </c>
      <c r="D74" s="9">
        <v>23</v>
      </c>
      <c r="E74" s="9">
        <v>0</v>
      </c>
      <c r="F74" s="6" t="s">
        <v>282</v>
      </c>
      <c r="G74" s="6" t="s">
        <v>282</v>
      </c>
      <c r="H74" s="9">
        <v>0</v>
      </c>
      <c r="I74" s="6" t="s">
        <v>282</v>
      </c>
      <c r="J74" s="6" t="s">
        <v>282</v>
      </c>
      <c r="K74" s="9" t="s">
        <v>21</v>
      </c>
      <c r="L74" s="6" t="s">
        <v>283</v>
      </c>
      <c r="M74" s="6" t="s">
        <v>284</v>
      </c>
      <c r="N74" s="9" t="s">
        <v>21</v>
      </c>
      <c r="O74" s="6" t="s">
        <v>283</v>
      </c>
      <c r="P74" s="6" t="s">
        <v>284</v>
      </c>
      <c r="Q74" s="9">
        <v>12</v>
      </c>
      <c r="R74" s="6" t="s">
        <v>283</v>
      </c>
      <c r="S74" s="6" t="s">
        <v>284</v>
      </c>
      <c r="T74" s="6" t="str">
        <f t="shared" si="9"/>
        <v>Pendencia de Agenda e Cartões</v>
      </c>
      <c r="U74" s="6" t="str">
        <f t="shared" si="5"/>
        <v>Pendência de TACH</v>
      </c>
      <c r="V74" s="9">
        <f t="shared" si="6"/>
        <v>3</v>
      </c>
      <c r="W74" s="9">
        <f t="shared" si="7"/>
        <v>3</v>
      </c>
      <c r="X74" s="6" t="str">
        <f t="shared" si="8"/>
        <v>Pendencia de Agenda e Cartões (3) &amp; Pendência de TACH (3)</v>
      </c>
    </row>
    <row r="75" spans="1:24">
      <c r="A75" s="9">
        <v>90014085</v>
      </c>
      <c r="B75" s="9" t="s">
        <v>194</v>
      </c>
      <c r="C75" s="9" t="s">
        <v>120</v>
      </c>
      <c r="D75" s="9">
        <v>40</v>
      </c>
      <c r="E75" s="9">
        <v>0</v>
      </c>
      <c r="F75" s="6" t="s">
        <v>282</v>
      </c>
      <c r="G75" s="6" t="s">
        <v>282</v>
      </c>
      <c r="H75" s="9">
        <v>0</v>
      </c>
      <c r="I75" s="6" t="s">
        <v>282</v>
      </c>
      <c r="J75" s="6" t="s">
        <v>282</v>
      </c>
      <c r="K75" s="9">
        <v>0</v>
      </c>
      <c r="L75" s="6" t="s">
        <v>283</v>
      </c>
      <c r="M75" s="6" t="s">
        <v>284</v>
      </c>
      <c r="N75" s="9">
        <v>0</v>
      </c>
      <c r="O75" s="6" t="s">
        <v>286</v>
      </c>
      <c r="P75" s="6" t="s">
        <v>284</v>
      </c>
      <c r="Q75" s="9">
        <v>0</v>
      </c>
      <c r="R75" s="6" t="s">
        <v>286</v>
      </c>
      <c r="S75" s="6" t="s">
        <v>284</v>
      </c>
      <c r="T75" s="6" t="str">
        <f t="shared" si="9"/>
        <v/>
      </c>
      <c r="U75" s="6" t="str">
        <f t="shared" si="5"/>
        <v>Pendência de TACH</v>
      </c>
      <c r="V75" s="9">
        <f t="shared" si="6"/>
        <v>1</v>
      </c>
      <c r="W75" s="9">
        <f t="shared" si="7"/>
        <v>3</v>
      </c>
      <c r="X75" s="6" t="str">
        <f t="shared" si="8"/>
        <v>Pendência de TACH (3)</v>
      </c>
    </row>
    <row r="76" spans="1:24">
      <c r="A76" s="9">
        <v>24108</v>
      </c>
      <c r="B76" s="9" t="s">
        <v>196</v>
      </c>
      <c r="C76" s="9" t="s">
        <v>70</v>
      </c>
      <c r="D76" s="9">
        <v>9</v>
      </c>
      <c r="E76" s="9">
        <v>0</v>
      </c>
      <c r="F76" s="6" t="s">
        <v>282</v>
      </c>
      <c r="G76" s="6" t="s">
        <v>282</v>
      </c>
      <c r="H76" s="9">
        <v>0</v>
      </c>
      <c r="I76" s="6" t="s">
        <v>282</v>
      </c>
      <c r="J76" s="6" t="s">
        <v>282</v>
      </c>
      <c r="K76" s="9" t="s">
        <v>96</v>
      </c>
      <c r="L76" s="6" t="s">
        <v>283</v>
      </c>
      <c r="M76" s="6" t="s">
        <v>284</v>
      </c>
      <c r="N76" s="9" t="s">
        <v>96</v>
      </c>
      <c r="O76" s="6" t="s">
        <v>283</v>
      </c>
      <c r="P76" s="6" t="s">
        <v>284</v>
      </c>
      <c r="Q76" s="9">
        <v>0</v>
      </c>
      <c r="R76" s="6" t="s">
        <v>282</v>
      </c>
      <c r="S76" s="6" t="s">
        <v>282</v>
      </c>
      <c r="T76" s="6" t="str">
        <f t="shared" si="9"/>
        <v>Pendencia de Agenda e Cartões</v>
      </c>
      <c r="U76" s="6" t="str">
        <f t="shared" si="5"/>
        <v>Pendência de TACH</v>
      </c>
      <c r="V76" s="9">
        <f t="shared" si="6"/>
        <v>2</v>
      </c>
      <c r="W76" s="9">
        <f t="shared" si="7"/>
        <v>2</v>
      </c>
      <c r="X76" s="6" t="str">
        <f t="shared" si="8"/>
        <v>Pendencia de Agenda e Cartões (2) &amp; Pendência de TACH (2)</v>
      </c>
    </row>
    <row r="77" spans="1:24">
      <c r="A77" s="9">
        <v>26165</v>
      </c>
      <c r="B77" s="9" t="s">
        <v>197</v>
      </c>
      <c r="C77" s="9" t="s">
        <v>70</v>
      </c>
      <c r="D77" s="9">
        <v>15</v>
      </c>
      <c r="E77" s="9">
        <v>0</v>
      </c>
      <c r="F77" s="6" t="s">
        <v>282</v>
      </c>
      <c r="G77" s="6" t="s">
        <v>282</v>
      </c>
      <c r="H77" s="9">
        <v>0</v>
      </c>
      <c r="I77" s="6" t="s">
        <v>282</v>
      </c>
      <c r="J77" s="6" t="s">
        <v>282</v>
      </c>
      <c r="K77" s="9" t="s">
        <v>48</v>
      </c>
      <c r="L77" s="6" t="s">
        <v>283</v>
      </c>
      <c r="M77" s="6" t="s">
        <v>285</v>
      </c>
      <c r="N77" s="9">
        <v>0</v>
      </c>
      <c r="O77" s="6" t="s">
        <v>282</v>
      </c>
      <c r="P77" s="6" t="s">
        <v>282</v>
      </c>
      <c r="Q77" s="9">
        <v>0</v>
      </c>
      <c r="R77" s="6" t="s">
        <v>282</v>
      </c>
      <c r="S77" s="6" t="s">
        <v>282</v>
      </c>
      <c r="T77" s="6" t="str">
        <f t="shared" si="9"/>
        <v>Pendencia de Agenda e Cartões</v>
      </c>
      <c r="U77" s="6" t="str">
        <f t="shared" si="5"/>
        <v/>
      </c>
      <c r="V77" s="9">
        <f t="shared" si="6"/>
        <v>1</v>
      </c>
      <c r="W77" s="9">
        <f t="shared" si="7"/>
        <v>0</v>
      </c>
      <c r="X77" s="6" t="str">
        <f t="shared" si="8"/>
        <v>Pendencia de Agenda e Cartões (1)</v>
      </c>
    </row>
    <row r="78" spans="1:24">
      <c r="A78" s="9">
        <v>90001974</v>
      </c>
      <c r="B78" s="9" t="s">
        <v>198</v>
      </c>
      <c r="C78" s="9" t="s">
        <v>70</v>
      </c>
      <c r="D78" s="9">
        <v>2</v>
      </c>
      <c r="E78" s="9">
        <v>0</v>
      </c>
      <c r="F78" s="6" t="s">
        <v>282</v>
      </c>
      <c r="G78" s="6" t="s">
        <v>282</v>
      </c>
      <c r="H78" s="9">
        <v>0</v>
      </c>
      <c r="I78" s="6" t="s">
        <v>282</v>
      </c>
      <c r="J78" s="6" t="s">
        <v>282</v>
      </c>
      <c r="K78" s="9" t="s">
        <v>8</v>
      </c>
      <c r="L78" s="6" t="s">
        <v>283</v>
      </c>
      <c r="M78" s="6" t="s">
        <v>284</v>
      </c>
      <c r="N78" s="9">
        <v>0</v>
      </c>
      <c r="O78" s="6" t="s">
        <v>286</v>
      </c>
      <c r="P78" s="6" t="s">
        <v>284</v>
      </c>
      <c r="Q78" s="9">
        <v>0</v>
      </c>
      <c r="R78" s="6" t="s">
        <v>282</v>
      </c>
      <c r="S78" s="6" t="s">
        <v>282</v>
      </c>
      <c r="T78" s="6" t="str">
        <f t="shared" si="9"/>
        <v>Pendencia de Agenda e Cartões</v>
      </c>
      <c r="U78" s="6" t="str">
        <f t="shared" si="5"/>
        <v>Pendência de TACH</v>
      </c>
      <c r="V78" s="9">
        <f t="shared" si="6"/>
        <v>1</v>
      </c>
      <c r="W78" s="9">
        <f t="shared" si="7"/>
        <v>2</v>
      </c>
      <c r="X78" s="6" t="str">
        <f t="shared" si="8"/>
        <v>Pendencia de Agenda e Cartões (1) &amp; Pendência de TACH (2)</v>
      </c>
    </row>
    <row r="79" spans="1:24">
      <c r="A79" s="9">
        <v>90006508</v>
      </c>
      <c r="B79" s="9" t="s">
        <v>199</v>
      </c>
      <c r="C79" s="9" t="s">
        <v>70</v>
      </c>
      <c r="D79" s="9">
        <v>17</v>
      </c>
      <c r="E79" s="9">
        <v>0</v>
      </c>
      <c r="F79" s="6" t="s">
        <v>282</v>
      </c>
      <c r="G79" s="6" t="s">
        <v>282</v>
      </c>
      <c r="H79" s="9">
        <v>0</v>
      </c>
      <c r="I79" s="6" t="s">
        <v>282</v>
      </c>
      <c r="J79" s="6" t="s">
        <v>282</v>
      </c>
      <c r="K79" s="9" t="s">
        <v>202</v>
      </c>
      <c r="L79" s="6" t="s">
        <v>283</v>
      </c>
      <c r="M79" s="6" t="s">
        <v>284</v>
      </c>
      <c r="N79" s="9" t="s">
        <v>202</v>
      </c>
      <c r="O79" s="6" t="s">
        <v>283</v>
      </c>
      <c r="P79" s="6" t="s">
        <v>284</v>
      </c>
      <c r="Q79" s="9">
        <v>0</v>
      </c>
      <c r="R79" s="6" t="s">
        <v>282</v>
      </c>
      <c r="S79" s="6" t="s">
        <v>282</v>
      </c>
      <c r="T79" s="6" t="str">
        <f t="shared" si="9"/>
        <v>Pendencia de Agenda e Cartões</v>
      </c>
      <c r="U79" s="6" t="str">
        <f t="shared" si="5"/>
        <v>Pendência de TACH</v>
      </c>
      <c r="V79" s="9">
        <f t="shared" si="6"/>
        <v>2</v>
      </c>
      <c r="W79" s="9">
        <f t="shared" si="7"/>
        <v>2</v>
      </c>
      <c r="X79" s="6" t="str">
        <f t="shared" si="8"/>
        <v>Pendencia de Agenda e Cartões (2) &amp; Pendência de TACH (2)</v>
      </c>
    </row>
    <row r="80" spans="1:24">
      <c r="A80" s="9">
        <v>90001484</v>
      </c>
      <c r="B80" s="9" t="s">
        <v>206</v>
      </c>
      <c r="C80" s="9" t="s">
        <v>70</v>
      </c>
      <c r="D80" s="9">
        <v>28</v>
      </c>
      <c r="E80" s="9">
        <v>0</v>
      </c>
      <c r="F80" s="6" t="s">
        <v>282</v>
      </c>
      <c r="G80" s="6" t="s">
        <v>282</v>
      </c>
      <c r="H80" s="9">
        <v>0</v>
      </c>
      <c r="I80" s="6" t="s">
        <v>282</v>
      </c>
      <c r="J80" s="6" t="s">
        <v>282</v>
      </c>
      <c r="K80" s="9">
        <v>0</v>
      </c>
      <c r="L80" s="6" t="s">
        <v>286</v>
      </c>
      <c r="M80" s="6" t="s">
        <v>284</v>
      </c>
      <c r="N80" s="9" t="s">
        <v>46</v>
      </c>
      <c r="O80" s="6" t="s">
        <v>283</v>
      </c>
      <c r="P80" s="6" t="s">
        <v>284</v>
      </c>
      <c r="Q80" s="9">
        <v>0</v>
      </c>
      <c r="R80" s="6" t="s">
        <v>282</v>
      </c>
      <c r="S80" s="6" t="s">
        <v>282</v>
      </c>
      <c r="T80" s="6" t="str">
        <f t="shared" si="9"/>
        <v>Pendencia de Agenda e Cartões</v>
      </c>
      <c r="U80" s="6" t="str">
        <f t="shared" si="5"/>
        <v>Pendência de TACH</v>
      </c>
      <c r="V80" s="9">
        <f t="shared" si="6"/>
        <v>1</v>
      </c>
      <c r="W80" s="9">
        <f t="shared" si="7"/>
        <v>2</v>
      </c>
      <c r="X80" s="6" t="str">
        <f t="shared" si="8"/>
        <v>Pendencia de Agenda e Cartões (1) &amp; Pendência de TACH (2)</v>
      </c>
    </row>
    <row r="81" spans="1:24">
      <c r="A81" s="9">
        <v>6558</v>
      </c>
      <c r="B81" s="9" t="s">
        <v>207</v>
      </c>
      <c r="C81" s="9" t="s">
        <v>120</v>
      </c>
      <c r="D81" s="9">
        <v>40</v>
      </c>
      <c r="E81" s="9">
        <v>0</v>
      </c>
      <c r="F81" s="6" t="s">
        <v>282</v>
      </c>
      <c r="G81" s="6" t="s">
        <v>282</v>
      </c>
      <c r="H81" s="9">
        <v>0</v>
      </c>
      <c r="I81" s="6" t="s">
        <v>282</v>
      </c>
      <c r="J81" s="6" t="s">
        <v>282</v>
      </c>
      <c r="K81" s="9">
        <v>0</v>
      </c>
      <c r="L81" s="6" t="s">
        <v>286</v>
      </c>
      <c r="M81" s="6" t="s">
        <v>284</v>
      </c>
      <c r="N81" s="9">
        <v>0</v>
      </c>
      <c r="O81" s="6" t="s">
        <v>282</v>
      </c>
      <c r="P81" s="6" t="s">
        <v>282</v>
      </c>
      <c r="Q81" s="9">
        <v>0</v>
      </c>
      <c r="R81" s="6" t="s">
        <v>282</v>
      </c>
      <c r="S81" s="6" t="s">
        <v>282</v>
      </c>
      <c r="T81" s="6" t="str">
        <f t="shared" si="9"/>
        <v/>
      </c>
      <c r="U81" s="6" t="str">
        <f t="shared" si="5"/>
        <v>Pendência de TACH</v>
      </c>
      <c r="V81" s="9">
        <f t="shared" si="6"/>
        <v>0</v>
      </c>
      <c r="W81" s="9">
        <f t="shared" si="7"/>
        <v>1</v>
      </c>
      <c r="X81" s="6" t="str">
        <f t="shared" si="8"/>
        <v>Pendência de TACH (1)</v>
      </c>
    </row>
    <row r="82" spans="1:24">
      <c r="A82" s="9">
        <v>31954</v>
      </c>
      <c r="B82" s="9" t="s">
        <v>208</v>
      </c>
      <c r="C82" s="9" t="s">
        <v>120</v>
      </c>
      <c r="D82" s="9">
        <v>40</v>
      </c>
      <c r="E82" s="9">
        <v>0</v>
      </c>
      <c r="F82" s="6" t="s">
        <v>282</v>
      </c>
      <c r="G82" s="6" t="s">
        <v>282</v>
      </c>
      <c r="H82" s="9">
        <v>0</v>
      </c>
      <c r="I82" s="6" t="s">
        <v>282</v>
      </c>
      <c r="J82" s="6" t="s">
        <v>282</v>
      </c>
      <c r="K82" s="9">
        <v>0</v>
      </c>
      <c r="L82" s="6" t="s">
        <v>286</v>
      </c>
      <c r="M82" s="6" t="s">
        <v>284</v>
      </c>
      <c r="N82" s="9">
        <v>0</v>
      </c>
      <c r="O82" s="6" t="s">
        <v>286</v>
      </c>
      <c r="P82" s="6" t="s">
        <v>284</v>
      </c>
      <c r="Q82" s="9">
        <v>0</v>
      </c>
      <c r="R82" s="6" t="s">
        <v>282</v>
      </c>
      <c r="S82" s="6" t="s">
        <v>282</v>
      </c>
      <c r="T82" s="6" t="str">
        <f t="shared" si="9"/>
        <v/>
      </c>
      <c r="U82" s="6" t="str">
        <f t="shared" si="5"/>
        <v>Pendência de TACH</v>
      </c>
      <c r="V82" s="9">
        <f t="shared" si="6"/>
        <v>0</v>
      </c>
      <c r="W82" s="9">
        <f t="shared" si="7"/>
        <v>2</v>
      </c>
      <c r="X82" s="6" t="str">
        <f t="shared" si="8"/>
        <v>Pendência de TACH (2)</v>
      </c>
    </row>
    <row r="83" spans="1:24">
      <c r="A83" s="9">
        <v>90002145</v>
      </c>
      <c r="B83" s="9" t="s">
        <v>209</v>
      </c>
      <c r="C83" s="9" t="s">
        <v>70</v>
      </c>
      <c r="D83" s="9">
        <v>4</v>
      </c>
      <c r="E83" s="9">
        <v>0</v>
      </c>
      <c r="F83" s="6" t="s">
        <v>282</v>
      </c>
      <c r="G83" s="6" t="s">
        <v>282</v>
      </c>
      <c r="H83" s="9">
        <v>0</v>
      </c>
      <c r="I83" s="6" t="s">
        <v>282</v>
      </c>
      <c r="J83" s="6" t="s">
        <v>282</v>
      </c>
      <c r="K83" s="9">
        <v>0</v>
      </c>
      <c r="L83" s="6" t="s">
        <v>286</v>
      </c>
      <c r="M83" s="6" t="s">
        <v>284</v>
      </c>
      <c r="N83" s="9">
        <v>0</v>
      </c>
      <c r="O83" s="6" t="s">
        <v>282</v>
      </c>
      <c r="P83" s="6" t="s">
        <v>282</v>
      </c>
      <c r="Q83" s="9">
        <v>0</v>
      </c>
      <c r="R83" s="6" t="s">
        <v>282</v>
      </c>
      <c r="S83" s="6" t="s">
        <v>282</v>
      </c>
      <c r="T83" s="6" t="str">
        <f t="shared" si="9"/>
        <v/>
      </c>
      <c r="U83" s="6" t="str">
        <f t="shared" si="5"/>
        <v>Pendência de TACH</v>
      </c>
      <c r="V83" s="9">
        <f t="shared" si="6"/>
        <v>0</v>
      </c>
      <c r="W83" s="9">
        <f t="shared" si="7"/>
        <v>1</v>
      </c>
      <c r="X83" s="6" t="str">
        <f t="shared" si="8"/>
        <v>Pendência de TACH (1)</v>
      </c>
    </row>
    <row r="84" spans="1:24">
      <c r="A84" s="9">
        <v>7319</v>
      </c>
      <c r="B84" s="9" t="s">
        <v>214</v>
      </c>
      <c r="C84" s="9" t="s">
        <v>120</v>
      </c>
      <c r="D84" s="9">
        <v>40</v>
      </c>
      <c r="E84" s="9">
        <v>0</v>
      </c>
      <c r="F84" s="6" t="s">
        <v>282</v>
      </c>
      <c r="G84" s="6" t="s">
        <v>282</v>
      </c>
      <c r="H84" s="9">
        <v>0</v>
      </c>
      <c r="I84" s="6" t="s">
        <v>282</v>
      </c>
      <c r="J84" s="6" t="s">
        <v>282</v>
      </c>
      <c r="K84" s="9">
        <v>0</v>
      </c>
      <c r="L84" s="6" t="s">
        <v>286</v>
      </c>
      <c r="M84" s="6" t="s">
        <v>284</v>
      </c>
      <c r="N84" s="9">
        <v>0</v>
      </c>
      <c r="O84" s="6" t="s">
        <v>282</v>
      </c>
      <c r="P84" s="6" t="s">
        <v>282</v>
      </c>
      <c r="Q84" s="9">
        <v>0</v>
      </c>
      <c r="R84" s="6" t="s">
        <v>282</v>
      </c>
      <c r="S84" s="6" t="s">
        <v>282</v>
      </c>
      <c r="T84" s="6" t="str">
        <f t="shared" si="9"/>
        <v/>
      </c>
      <c r="U84" s="6" t="str">
        <f t="shared" si="5"/>
        <v>Pendência de TACH</v>
      </c>
      <c r="V84" s="9">
        <f t="shared" si="6"/>
        <v>0</v>
      </c>
      <c r="W84" s="9">
        <f t="shared" si="7"/>
        <v>1</v>
      </c>
      <c r="X84" s="6" t="str">
        <f t="shared" si="8"/>
        <v>Pendência de TACH (1)</v>
      </c>
    </row>
    <row r="85" spans="1:24">
      <c r="A85" s="9">
        <v>7388</v>
      </c>
      <c r="B85" s="9" t="s">
        <v>215</v>
      </c>
      <c r="C85" s="9" t="s">
        <v>120</v>
      </c>
      <c r="D85" s="9">
        <v>40</v>
      </c>
      <c r="E85" s="9">
        <v>0</v>
      </c>
      <c r="F85" s="6" t="s">
        <v>282</v>
      </c>
      <c r="G85" s="6" t="s">
        <v>282</v>
      </c>
      <c r="H85" s="9">
        <v>0</v>
      </c>
      <c r="I85" s="6" t="s">
        <v>282</v>
      </c>
      <c r="J85" s="6" t="s">
        <v>282</v>
      </c>
      <c r="K85" s="9">
        <v>0</v>
      </c>
      <c r="L85" s="6" t="s">
        <v>286</v>
      </c>
      <c r="M85" s="6" t="s">
        <v>284</v>
      </c>
      <c r="N85" s="9">
        <v>0</v>
      </c>
      <c r="O85" s="6" t="s">
        <v>286</v>
      </c>
      <c r="P85" s="6" t="s">
        <v>284</v>
      </c>
      <c r="Q85" s="9">
        <v>0</v>
      </c>
      <c r="R85" s="6" t="s">
        <v>282</v>
      </c>
      <c r="S85" s="6" t="s">
        <v>282</v>
      </c>
      <c r="T85" s="6" t="str">
        <f t="shared" si="9"/>
        <v/>
      </c>
      <c r="U85" s="6" t="str">
        <f t="shared" si="5"/>
        <v>Pendência de TACH</v>
      </c>
      <c r="V85" s="9">
        <f t="shared" si="6"/>
        <v>0</v>
      </c>
      <c r="W85" s="9">
        <f t="shared" si="7"/>
        <v>2</v>
      </c>
      <c r="X85" s="6" t="str">
        <f t="shared" si="8"/>
        <v>Pendência de TACH (2)</v>
      </c>
    </row>
    <row r="86" spans="1:24">
      <c r="A86" s="9">
        <v>6622</v>
      </c>
      <c r="B86" s="9" t="s">
        <v>216</v>
      </c>
      <c r="C86" s="9" t="s">
        <v>120</v>
      </c>
      <c r="D86" s="9">
        <v>37</v>
      </c>
      <c r="E86" s="9">
        <v>0</v>
      </c>
      <c r="F86" s="6" t="s">
        <v>282</v>
      </c>
      <c r="G86" s="6" t="s">
        <v>282</v>
      </c>
      <c r="H86" s="9">
        <v>0</v>
      </c>
      <c r="I86" s="6" t="s">
        <v>282</v>
      </c>
      <c r="J86" s="6" t="s">
        <v>282</v>
      </c>
      <c r="K86" s="9">
        <v>0</v>
      </c>
      <c r="L86" s="6" t="s">
        <v>286</v>
      </c>
      <c r="M86" s="6" t="s">
        <v>284</v>
      </c>
      <c r="N86" s="9">
        <v>0</v>
      </c>
      <c r="O86" s="6" t="s">
        <v>282</v>
      </c>
      <c r="P86" s="6" t="s">
        <v>282</v>
      </c>
      <c r="Q86" s="9">
        <v>0</v>
      </c>
      <c r="R86" s="6" t="s">
        <v>282</v>
      </c>
      <c r="S86" s="6" t="s">
        <v>282</v>
      </c>
      <c r="T86" s="6" t="str">
        <f t="shared" si="9"/>
        <v/>
      </c>
      <c r="U86" s="6" t="str">
        <f t="shared" si="5"/>
        <v>Pendência de TACH</v>
      </c>
      <c r="V86" s="9">
        <f t="shared" si="6"/>
        <v>0</v>
      </c>
      <c r="W86" s="9">
        <f t="shared" si="7"/>
        <v>1</v>
      </c>
      <c r="X86" s="6" t="str">
        <f t="shared" si="8"/>
        <v>Pendência de TACH (1)</v>
      </c>
    </row>
    <row r="87" spans="1:24">
      <c r="A87" s="9">
        <v>20852</v>
      </c>
      <c r="B87" s="9" t="s">
        <v>217</v>
      </c>
      <c r="C87" s="9" t="s">
        <v>120</v>
      </c>
      <c r="D87" s="9">
        <v>30</v>
      </c>
      <c r="E87" s="9">
        <v>0</v>
      </c>
      <c r="F87" s="6" t="s">
        <v>282</v>
      </c>
      <c r="G87" s="6" t="s">
        <v>282</v>
      </c>
      <c r="H87" s="9">
        <v>0</v>
      </c>
      <c r="I87" s="6" t="s">
        <v>282</v>
      </c>
      <c r="J87" s="6" t="s">
        <v>282</v>
      </c>
      <c r="K87" s="9">
        <v>0</v>
      </c>
      <c r="L87" s="6" t="s">
        <v>286</v>
      </c>
      <c r="M87" s="6" t="s">
        <v>284</v>
      </c>
      <c r="N87" s="9">
        <v>0</v>
      </c>
      <c r="O87" s="6" t="s">
        <v>286</v>
      </c>
      <c r="P87" s="6" t="s">
        <v>284</v>
      </c>
      <c r="Q87" s="9">
        <v>0</v>
      </c>
      <c r="R87" s="6" t="s">
        <v>282</v>
      </c>
      <c r="S87" s="6" t="s">
        <v>282</v>
      </c>
      <c r="T87" s="6" t="str">
        <f t="shared" si="9"/>
        <v/>
      </c>
      <c r="U87" s="6" t="str">
        <f t="shared" si="5"/>
        <v>Pendência de TACH</v>
      </c>
      <c r="V87" s="9">
        <f t="shared" si="6"/>
        <v>0</v>
      </c>
      <c r="W87" s="9">
        <f t="shared" si="7"/>
        <v>2</v>
      </c>
      <c r="X87" s="6" t="str">
        <f t="shared" si="8"/>
        <v>Pendência de TACH (2)</v>
      </c>
    </row>
    <row r="88" spans="1:24">
      <c r="A88" s="9">
        <v>30144</v>
      </c>
      <c r="B88" s="9" t="s">
        <v>223</v>
      </c>
      <c r="C88" s="9" t="s">
        <v>70</v>
      </c>
      <c r="D88" s="9">
        <v>10</v>
      </c>
      <c r="E88" s="9">
        <v>0</v>
      </c>
      <c r="F88" s="6" t="s">
        <v>282</v>
      </c>
      <c r="G88" s="6" t="s">
        <v>282</v>
      </c>
      <c r="H88" s="9">
        <v>0</v>
      </c>
      <c r="I88" s="6" t="s">
        <v>282</v>
      </c>
      <c r="J88" s="6" t="s">
        <v>282</v>
      </c>
      <c r="K88" s="9">
        <v>0</v>
      </c>
      <c r="L88" s="6" t="s">
        <v>282</v>
      </c>
      <c r="M88" s="6" t="s">
        <v>282</v>
      </c>
      <c r="N88" s="9">
        <v>0</v>
      </c>
      <c r="O88" s="6" t="s">
        <v>287</v>
      </c>
      <c r="P88" s="6" t="s">
        <v>289</v>
      </c>
      <c r="Q88" s="9">
        <v>0</v>
      </c>
      <c r="R88" s="6" t="s">
        <v>282</v>
      </c>
      <c r="S88" s="6" t="s">
        <v>282</v>
      </c>
      <c r="T88" s="6" t="str">
        <f t="shared" si="9"/>
        <v/>
      </c>
      <c r="U88" s="6" t="str">
        <f t="shared" si="5"/>
        <v/>
      </c>
      <c r="V88" s="9">
        <f t="shared" si="6"/>
        <v>0</v>
      </c>
      <c r="W88" s="9">
        <f t="shared" si="7"/>
        <v>0</v>
      </c>
      <c r="X88" s="6" t="str">
        <f t="shared" si="8"/>
        <v/>
      </c>
    </row>
    <row r="89" spans="1:24">
      <c r="A89" s="9">
        <v>26276</v>
      </c>
      <c r="B89" s="9" t="s">
        <v>224</v>
      </c>
      <c r="C89" s="9" t="s">
        <v>70</v>
      </c>
      <c r="D89" s="9">
        <v>4</v>
      </c>
      <c r="E89" s="9">
        <v>0</v>
      </c>
      <c r="F89" s="6" t="s">
        <v>282</v>
      </c>
      <c r="G89" s="6" t="s">
        <v>282</v>
      </c>
      <c r="H89" s="9">
        <v>0</v>
      </c>
      <c r="I89" s="6" t="s">
        <v>282</v>
      </c>
      <c r="J89" s="6" t="s">
        <v>282</v>
      </c>
      <c r="K89" s="9">
        <v>0</v>
      </c>
      <c r="L89" s="6" t="s">
        <v>282</v>
      </c>
      <c r="M89" s="6" t="s">
        <v>282</v>
      </c>
      <c r="N89" s="9" t="s">
        <v>5</v>
      </c>
      <c r="O89" s="6" t="s">
        <v>283</v>
      </c>
      <c r="P89" s="6" t="s">
        <v>284</v>
      </c>
      <c r="Q89" s="9">
        <v>4</v>
      </c>
      <c r="R89" s="6" t="s">
        <v>283</v>
      </c>
      <c r="S89" s="6" t="s">
        <v>284</v>
      </c>
      <c r="T89" s="6" t="str">
        <f t="shared" si="9"/>
        <v>Pendencia de Agenda e Cartões</v>
      </c>
      <c r="U89" s="6" t="str">
        <f t="shared" si="5"/>
        <v>Pendência de TACH</v>
      </c>
      <c r="V89" s="9">
        <f t="shared" si="6"/>
        <v>2</v>
      </c>
      <c r="W89" s="9">
        <f t="shared" si="7"/>
        <v>2</v>
      </c>
      <c r="X89" s="6" t="str">
        <f t="shared" si="8"/>
        <v>Pendencia de Agenda e Cartões (2) &amp; Pendência de TACH (2)</v>
      </c>
    </row>
    <row r="90" spans="1:24">
      <c r="A90" s="9">
        <v>27508</v>
      </c>
      <c r="B90" s="9" t="s">
        <v>225</v>
      </c>
      <c r="C90" s="9" t="s">
        <v>70</v>
      </c>
      <c r="D90" s="9">
        <v>22</v>
      </c>
      <c r="E90" s="9">
        <v>0</v>
      </c>
      <c r="F90" s="6" t="s">
        <v>282</v>
      </c>
      <c r="G90" s="6" t="s">
        <v>282</v>
      </c>
      <c r="H90" s="9">
        <v>0</v>
      </c>
      <c r="I90" s="6" t="s">
        <v>282</v>
      </c>
      <c r="J90" s="6" t="s">
        <v>282</v>
      </c>
      <c r="K90" s="9">
        <v>0</v>
      </c>
      <c r="L90" s="6" t="s">
        <v>282</v>
      </c>
      <c r="M90" s="6" t="s">
        <v>282</v>
      </c>
      <c r="N90" s="9">
        <v>0</v>
      </c>
      <c r="O90" s="6" t="s">
        <v>287</v>
      </c>
      <c r="P90" s="6" t="s">
        <v>289</v>
      </c>
      <c r="Q90" s="9">
        <v>0</v>
      </c>
      <c r="R90" s="6" t="s">
        <v>282</v>
      </c>
      <c r="S90" s="6" t="s">
        <v>282</v>
      </c>
      <c r="T90" s="6" t="str">
        <f t="shared" si="9"/>
        <v/>
      </c>
      <c r="U90" s="6" t="str">
        <f t="shared" si="5"/>
        <v/>
      </c>
      <c r="V90" s="9">
        <f t="shared" si="6"/>
        <v>0</v>
      </c>
      <c r="W90" s="9">
        <f t="shared" si="7"/>
        <v>0</v>
      </c>
      <c r="X90" s="6" t="str">
        <f t="shared" si="8"/>
        <v/>
      </c>
    </row>
    <row r="91" spans="1:24">
      <c r="A91" s="9">
        <v>23702</v>
      </c>
      <c r="B91" s="9" t="s">
        <v>226</v>
      </c>
      <c r="C91" s="9" t="s">
        <v>70</v>
      </c>
      <c r="D91" s="9">
        <v>22</v>
      </c>
      <c r="E91" s="9">
        <v>0</v>
      </c>
      <c r="F91" s="6" t="s">
        <v>282</v>
      </c>
      <c r="G91" s="6" t="s">
        <v>282</v>
      </c>
      <c r="H91" s="9">
        <v>0</v>
      </c>
      <c r="I91" s="6" t="s">
        <v>282</v>
      </c>
      <c r="J91" s="6" t="s">
        <v>282</v>
      </c>
      <c r="K91" s="9">
        <v>0</v>
      </c>
      <c r="L91" s="6" t="s">
        <v>282</v>
      </c>
      <c r="M91" s="6" t="s">
        <v>282</v>
      </c>
      <c r="N91" s="9">
        <v>0</v>
      </c>
      <c r="O91" s="6" t="s">
        <v>287</v>
      </c>
      <c r="P91" s="6" t="s">
        <v>290</v>
      </c>
      <c r="Q91" s="9">
        <v>0</v>
      </c>
      <c r="R91" s="6" t="s">
        <v>282</v>
      </c>
      <c r="S91" s="6" t="s">
        <v>282</v>
      </c>
      <c r="T91" s="6" t="str">
        <f t="shared" si="9"/>
        <v/>
      </c>
      <c r="U91" s="6" t="str">
        <f t="shared" si="5"/>
        <v/>
      </c>
      <c r="V91" s="9">
        <f t="shared" si="6"/>
        <v>0</v>
      </c>
      <c r="W91" s="9">
        <f t="shared" si="7"/>
        <v>0</v>
      </c>
      <c r="X91" s="6" t="str">
        <f t="shared" si="8"/>
        <v/>
      </c>
    </row>
    <row r="92" spans="1:24">
      <c r="A92" s="9">
        <v>28825</v>
      </c>
      <c r="B92" s="9" t="s">
        <v>227</v>
      </c>
      <c r="C92" s="9" t="s">
        <v>70</v>
      </c>
      <c r="D92" s="9">
        <v>12</v>
      </c>
      <c r="E92" s="9">
        <v>0</v>
      </c>
      <c r="F92" s="6" t="s">
        <v>282</v>
      </c>
      <c r="G92" s="6" t="s">
        <v>282</v>
      </c>
      <c r="H92" s="9">
        <v>0</v>
      </c>
      <c r="I92" s="6" t="s">
        <v>282</v>
      </c>
      <c r="J92" s="6" t="s">
        <v>282</v>
      </c>
      <c r="K92" s="9">
        <v>0</v>
      </c>
      <c r="L92" s="6" t="s">
        <v>282</v>
      </c>
      <c r="M92" s="6" t="s">
        <v>282</v>
      </c>
      <c r="N92" s="9">
        <v>0</v>
      </c>
      <c r="O92" s="6" t="s">
        <v>287</v>
      </c>
      <c r="P92" s="6" t="s">
        <v>290</v>
      </c>
      <c r="Q92" s="9">
        <v>0</v>
      </c>
      <c r="R92" s="6" t="s">
        <v>282</v>
      </c>
      <c r="S92" s="6" t="s">
        <v>282</v>
      </c>
      <c r="T92" s="6" t="str">
        <f t="shared" si="9"/>
        <v/>
      </c>
      <c r="U92" s="6" t="str">
        <f t="shared" si="5"/>
        <v/>
      </c>
      <c r="V92" s="9">
        <f t="shared" si="6"/>
        <v>0</v>
      </c>
      <c r="W92" s="9">
        <f t="shared" si="7"/>
        <v>0</v>
      </c>
      <c r="X92" s="6" t="str">
        <f t="shared" si="8"/>
        <v/>
      </c>
    </row>
    <row r="93" spans="1:24">
      <c r="A93" s="9">
        <v>90006063</v>
      </c>
      <c r="B93" s="9" t="s">
        <v>228</v>
      </c>
      <c r="C93" s="9" t="s">
        <v>70</v>
      </c>
      <c r="D93" s="9">
        <v>12</v>
      </c>
      <c r="E93" s="9">
        <v>0</v>
      </c>
      <c r="F93" s="6" t="s">
        <v>282</v>
      </c>
      <c r="G93" s="6" t="s">
        <v>282</v>
      </c>
      <c r="H93" s="9">
        <v>0</v>
      </c>
      <c r="I93" s="6" t="s">
        <v>282</v>
      </c>
      <c r="J93" s="6" t="s">
        <v>282</v>
      </c>
      <c r="K93" s="9">
        <v>0</v>
      </c>
      <c r="L93" s="6" t="s">
        <v>282</v>
      </c>
      <c r="M93" s="6" t="s">
        <v>282</v>
      </c>
      <c r="N93" s="9">
        <v>0</v>
      </c>
      <c r="O93" s="6" t="s">
        <v>287</v>
      </c>
      <c r="P93" s="6" t="s">
        <v>289</v>
      </c>
      <c r="Q93" s="9">
        <v>0</v>
      </c>
      <c r="R93" s="6" t="s">
        <v>282</v>
      </c>
      <c r="S93" s="6" t="s">
        <v>282</v>
      </c>
      <c r="T93" s="6" t="str">
        <f t="shared" si="9"/>
        <v/>
      </c>
      <c r="U93" s="6" t="str">
        <f t="shared" si="5"/>
        <v/>
      </c>
      <c r="V93" s="9">
        <f t="shared" si="6"/>
        <v>0</v>
      </c>
      <c r="W93" s="9">
        <f t="shared" si="7"/>
        <v>0</v>
      </c>
      <c r="X93" s="6" t="str">
        <f t="shared" si="8"/>
        <v/>
      </c>
    </row>
    <row r="94" spans="1:24">
      <c r="A94" s="9">
        <v>90006940</v>
      </c>
      <c r="B94" s="9" t="s">
        <v>229</v>
      </c>
      <c r="C94" s="9" t="s">
        <v>70</v>
      </c>
      <c r="D94" s="9">
        <v>18</v>
      </c>
      <c r="E94" s="9">
        <v>0</v>
      </c>
      <c r="F94" s="6" t="s">
        <v>282</v>
      </c>
      <c r="G94" s="6" t="s">
        <v>282</v>
      </c>
      <c r="H94" s="9">
        <v>0</v>
      </c>
      <c r="I94" s="6" t="s">
        <v>282</v>
      </c>
      <c r="J94" s="6" t="s">
        <v>282</v>
      </c>
      <c r="K94" s="9">
        <v>0</v>
      </c>
      <c r="L94" s="6" t="s">
        <v>282</v>
      </c>
      <c r="M94" s="6" t="s">
        <v>282</v>
      </c>
      <c r="N94" s="9" t="s">
        <v>5</v>
      </c>
      <c r="O94" s="6" t="s">
        <v>283</v>
      </c>
      <c r="P94" s="6" t="s">
        <v>285</v>
      </c>
      <c r="Q94" s="9">
        <v>6</v>
      </c>
      <c r="R94" s="6" t="s">
        <v>283</v>
      </c>
      <c r="S94" s="6" t="s">
        <v>285</v>
      </c>
      <c r="T94" s="6" t="str">
        <f t="shared" si="9"/>
        <v>Pendencia de Agenda e Cartões</v>
      </c>
      <c r="U94" s="6" t="str">
        <f t="shared" si="5"/>
        <v/>
      </c>
      <c r="V94" s="9">
        <f t="shared" si="6"/>
        <v>2</v>
      </c>
      <c r="W94" s="9">
        <f t="shared" si="7"/>
        <v>0</v>
      </c>
      <c r="X94" s="6" t="str">
        <f t="shared" si="8"/>
        <v>Pendencia de Agenda e Cartões (2)</v>
      </c>
    </row>
    <row r="95" spans="1:24">
      <c r="A95" s="9">
        <v>90013008</v>
      </c>
      <c r="B95" s="9" t="s">
        <v>230</v>
      </c>
      <c r="C95" s="9" t="s">
        <v>70</v>
      </c>
      <c r="D95" s="9">
        <v>6</v>
      </c>
      <c r="E95" s="9">
        <v>0</v>
      </c>
      <c r="F95" s="6" t="s">
        <v>282</v>
      </c>
      <c r="G95" s="6" t="s">
        <v>282</v>
      </c>
      <c r="H95" s="9">
        <v>0</v>
      </c>
      <c r="I95" s="6" t="s">
        <v>282</v>
      </c>
      <c r="J95" s="6" t="s">
        <v>282</v>
      </c>
      <c r="K95" s="9">
        <v>0</v>
      </c>
      <c r="L95" s="6" t="s">
        <v>282</v>
      </c>
      <c r="M95" s="6" t="s">
        <v>282</v>
      </c>
      <c r="N95" s="9">
        <v>0</v>
      </c>
      <c r="O95" s="6" t="s">
        <v>287</v>
      </c>
      <c r="P95" s="6" t="s">
        <v>289</v>
      </c>
      <c r="Q95" s="9">
        <v>0</v>
      </c>
      <c r="R95" s="6" t="s">
        <v>282</v>
      </c>
      <c r="S95" s="6" t="s">
        <v>282</v>
      </c>
      <c r="T95" s="6" t="str">
        <f t="shared" si="9"/>
        <v/>
      </c>
      <c r="U95" s="6" t="str">
        <f t="shared" si="5"/>
        <v/>
      </c>
      <c r="V95" s="9">
        <f t="shared" si="6"/>
        <v>0</v>
      </c>
      <c r="W95" s="9">
        <f t="shared" si="7"/>
        <v>0</v>
      </c>
      <c r="X95" s="6" t="str">
        <f t="shared" si="8"/>
        <v/>
      </c>
    </row>
    <row r="96" spans="1:24">
      <c r="A96" s="9">
        <v>29936</v>
      </c>
      <c r="B96" s="9" t="s">
        <v>231</v>
      </c>
      <c r="C96" s="9" t="s">
        <v>70</v>
      </c>
      <c r="D96" s="9">
        <v>30</v>
      </c>
      <c r="E96" s="9">
        <v>0</v>
      </c>
      <c r="F96" s="6" t="s">
        <v>282</v>
      </c>
      <c r="G96" s="6" t="s">
        <v>282</v>
      </c>
      <c r="H96" s="9">
        <v>0</v>
      </c>
      <c r="I96" s="6" t="s">
        <v>282</v>
      </c>
      <c r="J96" s="6" t="s">
        <v>282</v>
      </c>
      <c r="K96" s="9">
        <v>0</v>
      </c>
      <c r="L96" s="6" t="s">
        <v>282</v>
      </c>
      <c r="M96" s="6" t="s">
        <v>282</v>
      </c>
      <c r="N96" s="9">
        <v>0</v>
      </c>
      <c r="O96" s="6" t="s">
        <v>287</v>
      </c>
      <c r="P96" s="6" t="s">
        <v>290</v>
      </c>
      <c r="Q96" s="9">
        <v>0</v>
      </c>
      <c r="R96" s="6" t="s">
        <v>282</v>
      </c>
      <c r="S96" s="6" t="s">
        <v>282</v>
      </c>
      <c r="T96" s="6" t="str">
        <f t="shared" si="9"/>
        <v/>
      </c>
      <c r="U96" s="6" t="str">
        <f t="shared" si="5"/>
        <v/>
      </c>
      <c r="V96" s="9">
        <f t="shared" si="6"/>
        <v>0</v>
      </c>
      <c r="W96" s="9">
        <f t="shared" si="7"/>
        <v>0</v>
      </c>
      <c r="X96" s="6" t="str">
        <f t="shared" si="8"/>
        <v/>
      </c>
    </row>
    <row r="97" spans="1:24">
      <c r="A97" s="9">
        <v>90008366</v>
      </c>
      <c r="B97" s="9" t="s">
        <v>232</v>
      </c>
      <c r="C97" s="9" t="s">
        <v>70</v>
      </c>
      <c r="D97" s="9">
        <v>11</v>
      </c>
      <c r="E97" s="9">
        <v>0</v>
      </c>
      <c r="F97" s="6" t="s">
        <v>282</v>
      </c>
      <c r="G97" s="6" t="s">
        <v>282</v>
      </c>
      <c r="H97" s="9">
        <v>0</v>
      </c>
      <c r="I97" s="6" t="s">
        <v>282</v>
      </c>
      <c r="J97" s="6" t="s">
        <v>282</v>
      </c>
      <c r="K97" s="9">
        <v>0</v>
      </c>
      <c r="L97" s="6" t="s">
        <v>282</v>
      </c>
      <c r="M97" s="6" t="s">
        <v>282</v>
      </c>
      <c r="N97" s="9">
        <v>0</v>
      </c>
      <c r="O97" s="6" t="s">
        <v>287</v>
      </c>
      <c r="P97" s="6" t="s">
        <v>289</v>
      </c>
      <c r="Q97" s="9">
        <v>0</v>
      </c>
      <c r="R97" s="6" t="s">
        <v>282</v>
      </c>
      <c r="S97" s="6" t="s">
        <v>282</v>
      </c>
      <c r="T97" s="6" t="str">
        <f t="shared" si="9"/>
        <v/>
      </c>
      <c r="U97" s="6" t="str">
        <f t="shared" si="5"/>
        <v/>
      </c>
      <c r="V97" s="9">
        <f t="shared" si="6"/>
        <v>0</v>
      </c>
      <c r="W97" s="9">
        <f t="shared" si="7"/>
        <v>0</v>
      </c>
      <c r="X97" s="6" t="str">
        <f t="shared" si="8"/>
        <v/>
      </c>
    </row>
    <row r="98" spans="1:24">
      <c r="A98" s="9">
        <v>22167</v>
      </c>
      <c r="B98" s="9" t="s">
        <v>233</v>
      </c>
      <c r="C98" s="9" t="s">
        <v>70</v>
      </c>
      <c r="D98" s="9">
        <v>29</v>
      </c>
      <c r="E98" s="9">
        <v>0</v>
      </c>
      <c r="F98" s="6" t="s">
        <v>282</v>
      </c>
      <c r="G98" s="6" t="s">
        <v>282</v>
      </c>
      <c r="H98" s="9">
        <v>0</v>
      </c>
      <c r="I98" s="6" t="s">
        <v>282</v>
      </c>
      <c r="J98" s="6" t="s">
        <v>282</v>
      </c>
      <c r="K98" s="9">
        <v>0</v>
      </c>
      <c r="L98" s="6" t="s">
        <v>282</v>
      </c>
      <c r="M98" s="6" t="s">
        <v>282</v>
      </c>
      <c r="N98" s="9">
        <v>0</v>
      </c>
      <c r="O98" s="6" t="s">
        <v>287</v>
      </c>
      <c r="P98" s="6" t="s">
        <v>289</v>
      </c>
      <c r="Q98" s="9">
        <v>0</v>
      </c>
      <c r="R98" s="6" t="s">
        <v>282</v>
      </c>
      <c r="S98" s="6" t="s">
        <v>282</v>
      </c>
      <c r="T98" s="6" t="str">
        <f t="shared" si="9"/>
        <v/>
      </c>
      <c r="U98" s="6" t="str">
        <f t="shared" si="5"/>
        <v/>
      </c>
      <c r="V98" s="9">
        <f t="shared" si="6"/>
        <v>0</v>
      </c>
      <c r="W98" s="9">
        <f t="shared" si="7"/>
        <v>0</v>
      </c>
      <c r="X98" s="6" t="str">
        <f t="shared" si="8"/>
        <v/>
      </c>
    </row>
    <row r="99" spans="1:24">
      <c r="A99" s="9">
        <v>21611</v>
      </c>
      <c r="B99" s="9" t="s">
        <v>240</v>
      </c>
      <c r="C99" s="9" t="s">
        <v>70</v>
      </c>
      <c r="D99" s="9">
        <v>10</v>
      </c>
      <c r="E99" s="9">
        <v>0</v>
      </c>
      <c r="F99" s="6" t="s">
        <v>282</v>
      </c>
      <c r="G99" s="6" t="s">
        <v>282</v>
      </c>
      <c r="H99" s="9">
        <v>0</v>
      </c>
      <c r="I99" s="6" t="s">
        <v>282</v>
      </c>
      <c r="J99" s="6" t="s">
        <v>282</v>
      </c>
      <c r="K99" s="9">
        <v>0</v>
      </c>
      <c r="L99" s="6" t="s">
        <v>282</v>
      </c>
      <c r="M99" s="6" t="s">
        <v>282</v>
      </c>
      <c r="N99" s="9">
        <v>0</v>
      </c>
      <c r="O99" s="6" t="s">
        <v>286</v>
      </c>
      <c r="P99" s="6" t="s">
        <v>284</v>
      </c>
      <c r="Q99" s="9">
        <v>0</v>
      </c>
      <c r="R99" s="6" t="s">
        <v>286</v>
      </c>
      <c r="S99" s="6" t="s">
        <v>284</v>
      </c>
      <c r="T99" s="6" t="str">
        <f t="shared" si="9"/>
        <v/>
      </c>
      <c r="U99" s="6" t="str">
        <f t="shared" si="5"/>
        <v>Pendência de TACH</v>
      </c>
      <c r="V99" s="9">
        <f t="shared" si="6"/>
        <v>0</v>
      </c>
      <c r="W99" s="9">
        <f t="shared" si="7"/>
        <v>2</v>
      </c>
      <c r="X99" s="6" t="str">
        <f t="shared" si="8"/>
        <v>Pendência de TACH (2)</v>
      </c>
    </row>
    <row r="100" spans="1:24">
      <c r="A100" s="9">
        <v>7350</v>
      </c>
      <c r="B100" s="9" t="s">
        <v>241</v>
      </c>
      <c r="C100" s="9" t="s">
        <v>120</v>
      </c>
      <c r="D100" s="9">
        <v>37</v>
      </c>
      <c r="E100" s="9">
        <v>0</v>
      </c>
      <c r="F100" s="6" t="s">
        <v>282</v>
      </c>
      <c r="G100" s="6" t="s">
        <v>282</v>
      </c>
      <c r="H100" s="9">
        <v>0</v>
      </c>
      <c r="I100" s="6" t="s">
        <v>282</v>
      </c>
      <c r="J100" s="6" t="s">
        <v>282</v>
      </c>
      <c r="K100" s="9">
        <v>0</v>
      </c>
      <c r="L100" s="6" t="s">
        <v>282</v>
      </c>
      <c r="M100" s="6" t="s">
        <v>282</v>
      </c>
      <c r="N100" s="9">
        <v>0</v>
      </c>
      <c r="O100" s="6" t="s">
        <v>288</v>
      </c>
      <c r="P100" s="6" t="s">
        <v>290</v>
      </c>
      <c r="Q100" s="9">
        <v>0</v>
      </c>
      <c r="R100" s="6" t="s">
        <v>282</v>
      </c>
      <c r="S100" s="6" t="s">
        <v>282</v>
      </c>
      <c r="T100" s="6" t="str">
        <f t="shared" si="9"/>
        <v/>
      </c>
      <c r="U100" s="6" t="str">
        <f t="shared" si="5"/>
        <v/>
      </c>
      <c r="V100" s="9">
        <f t="shared" si="6"/>
        <v>0</v>
      </c>
      <c r="W100" s="9">
        <f t="shared" si="7"/>
        <v>0</v>
      </c>
      <c r="X100" s="6" t="str">
        <f t="shared" si="8"/>
        <v/>
      </c>
    </row>
    <row r="101" spans="1:24">
      <c r="A101" s="9">
        <v>28571</v>
      </c>
      <c r="B101" s="9" t="s">
        <v>242</v>
      </c>
      <c r="C101" s="9" t="s">
        <v>120</v>
      </c>
      <c r="D101" s="9">
        <v>32</v>
      </c>
      <c r="E101" s="9">
        <v>0</v>
      </c>
      <c r="F101" s="6" t="s">
        <v>282</v>
      </c>
      <c r="G101" s="6" t="s">
        <v>282</v>
      </c>
      <c r="H101" s="9">
        <v>0</v>
      </c>
      <c r="I101" s="6" t="s">
        <v>282</v>
      </c>
      <c r="J101" s="6" t="s">
        <v>282</v>
      </c>
      <c r="K101" s="9">
        <v>0</v>
      </c>
      <c r="L101" s="6" t="s">
        <v>282</v>
      </c>
      <c r="M101" s="6" t="s">
        <v>282</v>
      </c>
      <c r="N101" s="9">
        <v>0</v>
      </c>
      <c r="O101" s="6" t="s">
        <v>288</v>
      </c>
      <c r="P101" s="6" t="s">
        <v>290</v>
      </c>
      <c r="Q101" s="9">
        <v>0</v>
      </c>
      <c r="R101" s="6" t="s">
        <v>282</v>
      </c>
      <c r="S101" s="6" t="s">
        <v>282</v>
      </c>
      <c r="T101" s="6" t="str">
        <f t="shared" si="9"/>
        <v/>
      </c>
      <c r="U101" s="6" t="str">
        <f t="shared" si="5"/>
        <v/>
      </c>
      <c r="V101" s="9">
        <f t="shared" si="6"/>
        <v>0</v>
      </c>
      <c r="W101" s="9">
        <f t="shared" si="7"/>
        <v>0</v>
      </c>
      <c r="X101" s="6" t="str">
        <f t="shared" si="8"/>
        <v/>
      </c>
    </row>
    <row r="102" spans="1:24">
      <c r="A102" s="9">
        <v>28833</v>
      </c>
      <c r="B102" s="9" t="s">
        <v>244</v>
      </c>
      <c r="C102" s="9" t="s">
        <v>70</v>
      </c>
      <c r="D102" s="9">
        <v>18</v>
      </c>
      <c r="E102" s="9">
        <v>0</v>
      </c>
      <c r="F102" s="6" t="s">
        <v>282</v>
      </c>
      <c r="G102" s="6" t="s">
        <v>282</v>
      </c>
      <c r="H102" s="9">
        <v>0</v>
      </c>
      <c r="I102" s="6" t="s">
        <v>282</v>
      </c>
      <c r="J102" s="6" t="s">
        <v>282</v>
      </c>
      <c r="K102" s="9">
        <v>0</v>
      </c>
      <c r="L102" s="6" t="s">
        <v>282</v>
      </c>
      <c r="M102" s="6" t="s">
        <v>282</v>
      </c>
      <c r="N102" s="9">
        <v>0</v>
      </c>
      <c r="O102" s="6" t="s">
        <v>288</v>
      </c>
      <c r="P102" s="6" t="s">
        <v>290</v>
      </c>
      <c r="Q102" s="9">
        <v>0</v>
      </c>
      <c r="R102" s="6" t="s">
        <v>282</v>
      </c>
      <c r="S102" s="6" t="s">
        <v>282</v>
      </c>
      <c r="T102" s="6" t="str">
        <f t="shared" si="9"/>
        <v/>
      </c>
      <c r="U102" s="6" t="str">
        <f t="shared" si="5"/>
        <v/>
      </c>
      <c r="V102" s="9">
        <f t="shared" si="6"/>
        <v>0</v>
      </c>
      <c r="W102" s="9">
        <f t="shared" si="7"/>
        <v>0</v>
      </c>
      <c r="X102" s="6" t="str">
        <f t="shared" si="8"/>
        <v/>
      </c>
    </row>
    <row r="103" spans="1:24">
      <c r="A103" s="9">
        <v>90013003</v>
      </c>
      <c r="B103" s="9" t="s">
        <v>245</v>
      </c>
      <c r="C103" s="9" t="s">
        <v>70</v>
      </c>
      <c r="D103" s="9">
        <v>17</v>
      </c>
      <c r="E103" s="9">
        <v>0</v>
      </c>
      <c r="F103" s="6" t="s">
        <v>282</v>
      </c>
      <c r="G103" s="6" t="s">
        <v>282</v>
      </c>
      <c r="H103" s="9">
        <v>0</v>
      </c>
      <c r="I103" s="6" t="s">
        <v>282</v>
      </c>
      <c r="J103" s="6" t="s">
        <v>282</v>
      </c>
      <c r="K103" s="9">
        <v>0</v>
      </c>
      <c r="L103" s="6" t="s">
        <v>282</v>
      </c>
      <c r="M103" s="6" t="s">
        <v>282</v>
      </c>
      <c r="N103" s="9">
        <v>0</v>
      </c>
      <c r="O103" s="6" t="s">
        <v>288</v>
      </c>
      <c r="P103" s="6" t="s">
        <v>290</v>
      </c>
      <c r="Q103" s="9">
        <v>0</v>
      </c>
      <c r="R103" s="6" t="s">
        <v>282</v>
      </c>
      <c r="S103" s="6" t="s">
        <v>282</v>
      </c>
      <c r="T103" s="6" t="str">
        <f t="shared" si="9"/>
        <v/>
      </c>
      <c r="U103" s="6" t="str">
        <f t="shared" si="5"/>
        <v/>
      </c>
      <c r="V103" s="9">
        <f t="shared" si="6"/>
        <v>0</v>
      </c>
      <c r="W103" s="9">
        <f t="shared" si="7"/>
        <v>0</v>
      </c>
      <c r="X103" s="6" t="str">
        <f t="shared" si="8"/>
        <v/>
      </c>
    </row>
    <row r="104" spans="1:24">
      <c r="A104" s="9">
        <v>28233</v>
      </c>
      <c r="B104" s="9" t="s">
        <v>246</v>
      </c>
      <c r="C104" s="9" t="s">
        <v>120</v>
      </c>
      <c r="D104" s="9">
        <v>32</v>
      </c>
      <c r="E104" s="9">
        <v>0</v>
      </c>
      <c r="F104" s="6" t="s">
        <v>282</v>
      </c>
      <c r="G104" s="6" t="s">
        <v>282</v>
      </c>
      <c r="H104" s="9">
        <v>0</v>
      </c>
      <c r="I104" s="6" t="s">
        <v>282</v>
      </c>
      <c r="J104" s="6" t="s">
        <v>282</v>
      </c>
      <c r="K104" s="9">
        <v>0</v>
      </c>
      <c r="L104" s="6" t="s">
        <v>282</v>
      </c>
      <c r="M104" s="6" t="s">
        <v>282</v>
      </c>
      <c r="N104" s="9">
        <v>0</v>
      </c>
      <c r="O104" s="6" t="s">
        <v>288</v>
      </c>
      <c r="P104" s="6" t="s">
        <v>290</v>
      </c>
      <c r="Q104" s="9">
        <v>0</v>
      </c>
      <c r="R104" s="6" t="s">
        <v>282</v>
      </c>
      <c r="S104" s="6" t="s">
        <v>282</v>
      </c>
      <c r="T104" s="6" t="str">
        <f t="shared" si="9"/>
        <v/>
      </c>
      <c r="U104" s="6" t="str">
        <f t="shared" si="5"/>
        <v/>
      </c>
      <c r="V104" s="9">
        <f t="shared" si="6"/>
        <v>0</v>
      </c>
      <c r="W104" s="9">
        <f t="shared" si="7"/>
        <v>0</v>
      </c>
      <c r="X104" s="6" t="str">
        <f t="shared" si="8"/>
        <v/>
      </c>
    </row>
    <row r="105" spans="1:24">
      <c r="A105" s="9">
        <v>90012360</v>
      </c>
      <c r="B105" s="9" t="s">
        <v>268</v>
      </c>
      <c r="C105" s="9" t="s">
        <v>70</v>
      </c>
      <c r="D105" s="9">
        <v>16</v>
      </c>
      <c r="E105" s="9">
        <v>0</v>
      </c>
      <c r="F105" s="6" t="s">
        <v>282</v>
      </c>
      <c r="G105" s="6" t="s">
        <v>282</v>
      </c>
      <c r="H105" s="9">
        <v>0</v>
      </c>
      <c r="I105" s="6" t="s">
        <v>282</v>
      </c>
      <c r="J105" s="6" t="s">
        <v>282</v>
      </c>
      <c r="K105" s="9">
        <v>0</v>
      </c>
      <c r="L105" s="6" t="s">
        <v>282</v>
      </c>
      <c r="M105" s="6" t="s">
        <v>282</v>
      </c>
      <c r="N105" s="9">
        <v>0</v>
      </c>
      <c r="O105" s="6" t="s">
        <v>282</v>
      </c>
      <c r="P105" s="6" t="s">
        <v>282</v>
      </c>
      <c r="Q105" s="9">
        <v>16</v>
      </c>
      <c r="R105" s="6" t="s">
        <v>283</v>
      </c>
      <c r="S105" s="6" t="s">
        <v>284</v>
      </c>
      <c r="T105" s="6" t="str">
        <f t="shared" si="9"/>
        <v>Pendencia de Agenda e Cartões</v>
      </c>
      <c r="U105" s="6" t="str">
        <f t="shared" si="5"/>
        <v>Pendência de TACH</v>
      </c>
      <c r="V105" s="9">
        <f t="shared" si="6"/>
        <v>1</v>
      </c>
      <c r="W105" s="9">
        <f t="shared" si="7"/>
        <v>1</v>
      </c>
      <c r="X105" s="6" t="str">
        <f t="shared" si="8"/>
        <v>Pendencia de Agenda e Cartões (1) &amp; Pendência de TACH (1)</v>
      </c>
    </row>
    <row r="106" spans="1:24">
      <c r="A106" s="9"/>
      <c r="B106" s="9"/>
      <c r="C106" s="9"/>
      <c r="D106" s="9"/>
      <c r="E106" s="9"/>
      <c r="F106" s="6"/>
      <c r="G106" s="6"/>
      <c r="H106" s="9"/>
      <c r="I106" s="6"/>
      <c r="J106" s="6"/>
      <c r="K106" s="9"/>
      <c r="L106" s="6"/>
      <c r="M106" s="6"/>
      <c r="N106" s="9"/>
      <c r="O106" s="6"/>
      <c r="P106" s="6"/>
      <c r="Q106" s="9"/>
      <c r="R106" s="6"/>
      <c r="S106" s="6"/>
      <c r="T106" s="6"/>
      <c r="U106" s="6"/>
      <c r="V106" s="9"/>
      <c r="W106" s="9"/>
      <c r="X106" s="6"/>
    </row>
    <row r="107" spans="1:24">
      <c r="A107" s="9"/>
      <c r="B107" s="9"/>
      <c r="C107" s="9"/>
      <c r="D107" s="9"/>
      <c r="E107" s="9"/>
      <c r="F107" s="6"/>
      <c r="G107" s="6"/>
      <c r="H107" s="9"/>
      <c r="I107" s="6"/>
      <c r="J107" s="6"/>
      <c r="K107" s="9"/>
      <c r="L107" s="6"/>
      <c r="M107" s="6"/>
      <c r="N107" s="9"/>
      <c r="O107" s="6"/>
      <c r="P107" s="6"/>
      <c r="Q107" s="9"/>
      <c r="R107" s="6"/>
      <c r="S107" s="6"/>
      <c r="T107" s="6"/>
      <c r="U107" s="6"/>
      <c r="V107" s="9"/>
      <c r="W107" s="9"/>
      <c r="X107" s="6"/>
    </row>
    <row r="108" spans="1:24">
      <c r="A108" s="9"/>
      <c r="B108" s="9"/>
      <c r="C108" s="9"/>
      <c r="D108" s="9"/>
      <c r="E108" s="9"/>
      <c r="F108" s="6"/>
      <c r="G108" s="6"/>
      <c r="H108" s="9"/>
      <c r="I108" s="6"/>
      <c r="J108" s="6"/>
      <c r="K108" s="9"/>
      <c r="L108" s="6"/>
      <c r="M108" s="6"/>
      <c r="N108" s="9"/>
      <c r="O108" s="6"/>
      <c r="P108" s="6"/>
      <c r="Q108" s="9"/>
      <c r="R108" s="6"/>
      <c r="S108" s="6"/>
      <c r="T108" s="6"/>
      <c r="U108" s="6"/>
      <c r="V108" s="9"/>
      <c r="W108" s="9"/>
      <c r="X108" s="6"/>
    </row>
    <row r="109" spans="1:24">
      <c r="A109" s="9"/>
      <c r="B109" s="9"/>
      <c r="C109" s="9"/>
      <c r="D109" s="9"/>
      <c r="E109" s="9"/>
      <c r="F109" s="6"/>
      <c r="G109" s="6"/>
      <c r="H109" s="9"/>
      <c r="I109" s="6"/>
      <c r="J109" s="6"/>
      <c r="K109" s="9"/>
      <c r="L109" s="6"/>
      <c r="M109" s="6"/>
      <c r="N109" s="9"/>
      <c r="O109" s="6"/>
      <c r="P109" s="6"/>
      <c r="Q109" s="9"/>
      <c r="R109" s="6"/>
      <c r="S109" s="6"/>
      <c r="T109" s="6"/>
      <c r="U109" s="6"/>
      <c r="V109" s="9"/>
      <c r="W109" s="9"/>
      <c r="X109" s="6"/>
    </row>
    <row r="110" spans="1:24">
      <c r="A110" s="9"/>
      <c r="B110" s="9"/>
      <c r="C110" s="9"/>
      <c r="D110" s="9"/>
      <c r="E110" s="9"/>
      <c r="F110" s="6"/>
      <c r="G110" s="6"/>
      <c r="H110" s="9"/>
      <c r="I110" s="6"/>
      <c r="J110" s="6"/>
      <c r="K110" s="9"/>
      <c r="L110" s="6"/>
      <c r="M110" s="6"/>
      <c r="N110" s="9"/>
      <c r="O110" s="6"/>
      <c r="P110" s="6"/>
      <c r="Q110" s="9"/>
      <c r="R110" s="6"/>
      <c r="S110" s="6"/>
      <c r="T110" s="6"/>
      <c r="U110" s="6"/>
      <c r="V110" s="9"/>
      <c r="W110" s="9"/>
      <c r="X110" s="6"/>
    </row>
    <row r="111" spans="1:24">
      <c r="A111" s="9"/>
      <c r="B111" s="9"/>
      <c r="C111" s="9"/>
      <c r="D111" s="9"/>
      <c r="E111" s="9"/>
      <c r="F111" s="6"/>
      <c r="G111" s="6"/>
      <c r="H111" s="9"/>
      <c r="I111" s="6"/>
      <c r="J111" s="6"/>
      <c r="K111" s="9"/>
      <c r="L111" s="6"/>
      <c r="M111" s="6"/>
      <c r="N111" s="9"/>
      <c r="O111" s="6"/>
      <c r="P111" s="6"/>
      <c r="Q111" s="9"/>
      <c r="R111" s="6"/>
      <c r="S111" s="6"/>
      <c r="T111" s="6"/>
      <c r="U111" s="6"/>
      <c r="V111" s="9"/>
      <c r="W111" s="9"/>
      <c r="X111" s="6"/>
    </row>
    <row r="112" spans="1:24">
      <c r="A112" s="9"/>
      <c r="B112" s="9"/>
      <c r="C112" s="9"/>
      <c r="D112" s="9"/>
      <c r="E112" s="9"/>
      <c r="F112" s="6"/>
      <c r="G112" s="6"/>
      <c r="H112" s="9"/>
      <c r="I112" s="6"/>
      <c r="J112" s="6"/>
      <c r="K112" s="9"/>
      <c r="L112" s="6"/>
      <c r="M112" s="6"/>
      <c r="N112" s="9"/>
      <c r="O112" s="6"/>
      <c r="P112" s="6"/>
      <c r="Q112" s="9"/>
      <c r="R112" s="6"/>
      <c r="S112" s="6"/>
      <c r="T112" s="6"/>
      <c r="U112" s="6"/>
      <c r="V112" s="9"/>
      <c r="W112" s="9"/>
      <c r="X112" s="6"/>
    </row>
    <row r="113" spans="1:24">
      <c r="A113" s="9"/>
      <c r="B113" s="9"/>
      <c r="C113" s="9"/>
      <c r="D113" s="9"/>
      <c r="E113" s="9"/>
      <c r="F113" s="6"/>
      <c r="G113" s="6"/>
      <c r="H113" s="9"/>
      <c r="I113" s="6"/>
      <c r="J113" s="6"/>
      <c r="K113" s="9"/>
      <c r="L113" s="6"/>
      <c r="M113" s="6"/>
      <c r="N113" s="9"/>
      <c r="O113" s="6"/>
      <c r="P113" s="6"/>
      <c r="Q113" s="9"/>
      <c r="R113" s="6"/>
      <c r="S113" s="6"/>
      <c r="T113" s="6"/>
      <c r="U113" s="6"/>
      <c r="V113" s="9"/>
      <c r="W113" s="9"/>
      <c r="X113" s="6"/>
    </row>
    <row r="114" spans="1:24">
      <c r="A114" s="9"/>
      <c r="B114" s="9"/>
      <c r="C114" s="9"/>
      <c r="D114" s="9"/>
      <c r="E114" s="9"/>
      <c r="F114" s="6"/>
      <c r="G114" s="6"/>
      <c r="H114" s="9"/>
      <c r="I114" s="6"/>
      <c r="J114" s="6"/>
      <c r="K114" s="9"/>
      <c r="L114" s="6"/>
      <c r="M114" s="6"/>
      <c r="N114" s="9"/>
      <c r="O114" s="6"/>
      <c r="P114" s="6"/>
      <c r="Q114" s="9"/>
      <c r="R114" s="6"/>
      <c r="S114" s="6"/>
      <c r="T114" s="6"/>
      <c r="U114" s="6"/>
      <c r="V114" s="9"/>
      <c r="W114" s="9"/>
      <c r="X114" s="6"/>
    </row>
    <row r="115" spans="1:24">
      <c r="A115" s="9"/>
      <c r="B115" s="9"/>
      <c r="C115" s="9"/>
      <c r="D115" s="9"/>
      <c r="E115" s="9"/>
      <c r="F115" s="6"/>
      <c r="G115" s="6"/>
      <c r="H115" s="9"/>
      <c r="I115" s="6"/>
      <c r="J115" s="6"/>
      <c r="K115" s="9"/>
      <c r="L115" s="6"/>
      <c r="M115" s="6"/>
      <c r="N115" s="9"/>
      <c r="O115" s="6"/>
      <c r="P115" s="6"/>
      <c r="Q115" s="9"/>
      <c r="R115" s="6"/>
      <c r="S115" s="6"/>
      <c r="T115" s="6"/>
      <c r="U115" s="6"/>
      <c r="V115" s="9"/>
      <c r="W115" s="9"/>
      <c r="X115" s="6"/>
    </row>
    <row r="116" spans="1:24">
      <c r="A116" s="9"/>
      <c r="B116" s="9"/>
      <c r="C116" s="9"/>
      <c r="D116" s="9"/>
      <c r="E116" s="9"/>
      <c r="F116" s="6"/>
      <c r="G116" s="6"/>
      <c r="H116" s="9"/>
      <c r="I116" s="6"/>
      <c r="J116" s="6"/>
      <c r="K116" s="9"/>
      <c r="L116" s="6"/>
      <c r="M116" s="6"/>
      <c r="N116" s="9"/>
      <c r="O116" s="6"/>
      <c r="P116" s="6"/>
      <c r="Q116" s="9"/>
      <c r="R116" s="6"/>
      <c r="S116" s="6"/>
      <c r="T116" s="6"/>
      <c r="U116" s="6"/>
      <c r="V116" s="9"/>
      <c r="W116" s="9"/>
      <c r="X116" s="6"/>
    </row>
    <row r="117" spans="1:24">
      <c r="A117" s="9"/>
      <c r="B117" s="9"/>
      <c r="C117" s="9"/>
      <c r="D117" s="9"/>
      <c r="E117" s="9"/>
      <c r="F117" s="6"/>
      <c r="G117" s="6"/>
      <c r="H117" s="9"/>
      <c r="I117" s="6"/>
      <c r="J117" s="6"/>
      <c r="K117" s="9"/>
      <c r="L117" s="6"/>
      <c r="M117" s="6"/>
      <c r="N117" s="9"/>
      <c r="O117" s="6"/>
      <c r="P117" s="6"/>
      <c r="Q117" s="9"/>
      <c r="R117" s="6"/>
      <c r="S117" s="6"/>
      <c r="T117" s="6"/>
      <c r="U117" s="6"/>
      <c r="V117" s="9"/>
      <c r="W117" s="9"/>
      <c r="X117" s="6"/>
    </row>
    <row r="118" spans="1:24">
      <c r="A118" s="9"/>
      <c r="B118" s="9"/>
      <c r="C118" s="9"/>
      <c r="D118" s="9"/>
      <c r="E118" s="9"/>
      <c r="F118" s="6"/>
      <c r="G118" s="6"/>
      <c r="H118" s="9"/>
      <c r="I118" s="6"/>
      <c r="J118" s="6"/>
      <c r="K118" s="9"/>
      <c r="L118" s="6"/>
      <c r="M118" s="6"/>
      <c r="N118" s="9"/>
      <c r="O118" s="6"/>
      <c r="P118" s="6"/>
      <c r="Q118" s="9"/>
      <c r="R118" s="6"/>
      <c r="S118" s="6"/>
      <c r="T118" s="6"/>
      <c r="U118" s="6"/>
      <c r="V118" s="9"/>
      <c r="W118" s="9"/>
      <c r="X118" s="6"/>
    </row>
    <row r="119" spans="1:24">
      <c r="A119" s="9"/>
      <c r="B119" s="9"/>
      <c r="C119" s="9"/>
      <c r="D119" s="9"/>
      <c r="E119" s="9"/>
      <c r="F119" s="6"/>
      <c r="G119" s="6"/>
      <c r="H119" s="9"/>
      <c r="I119" s="6"/>
      <c r="J119" s="6"/>
      <c r="K119" s="9"/>
      <c r="L119" s="6"/>
      <c r="M119" s="6"/>
      <c r="N119" s="9"/>
      <c r="O119" s="6"/>
      <c r="P119" s="6"/>
      <c r="Q119" s="9"/>
      <c r="R119" s="6"/>
      <c r="S119" s="6"/>
      <c r="T119" s="6"/>
      <c r="U119" s="6"/>
      <c r="V119" s="9"/>
      <c r="W119" s="9"/>
      <c r="X119" s="6"/>
    </row>
    <row r="120" spans="1:24">
      <c r="A120" s="9"/>
      <c r="B120" s="9"/>
      <c r="C120" s="9"/>
      <c r="D120" s="9"/>
      <c r="E120" s="9"/>
      <c r="F120" s="6"/>
      <c r="G120" s="6"/>
      <c r="H120" s="9"/>
      <c r="I120" s="6"/>
      <c r="J120" s="6"/>
      <c r="K120" s="9"/>
      <c r="L120" s="6"/>
      <c r="M120" s="6"/>
      <c r="N120" s="9"/>
      <c r="O120" s="6"/>
      <c r="P120" s="6"/>
      <c r="Q120" s="9"/>
      <c r="R120" s="6"/>
      <c r="S120" s="6"/>
      <c r="T120" s="6"/>
      <c r="U120" s="6"/>
      <c r="V120" s="9"/>
      <c r="W120" s="9"/>
      <c r="X120" s="6"/>
    </row>
    <row r="121" spans="1:24">
      <c r="A121" s="9"/>
      <c r="B121" s="9"/>
      <c r="C121" s="9"/>
      <c r="D121" s="9"/>
      <c r="E121" s="9"/>
      <c r="F121" s="6"/>
      <c r="G121" s="6"/>
      <c r="H121" s="9"/>
      <c r="I121" s="6"/>
      <c r="J121" s="6"/>
      <c r="K121" s="9"/>
      <c r="L121" s="6"/>
      <c r="M121" s="6"/>
      <c r="N121" s="9"/>
      <c r="O121" s="6"/>
      <c r="P121" s="6"/>
      <c r="Q121" s="9"/>
      <c r="R121" s="6"/>
      <c r="S121" s="6"/>
      <c r="T121" s="6"/>
      <c r="U121" s="6"/>
      <c r="V121" s="9"/>
      <c r="W121" s="9"/>
      <c r="X121" s="6"/>
    </row>
    <row r="122" spans="1:24">
      <c r="A122" s="9"/>
      <c r="B122" s="9"/>
      <c r="C122" s="9"/>
      <c r="D122" s="9"/>
      <c r="E122" s="9"/>
      <c r="F122" s="6"/>
      <c r="G122" s="6"/>
      <c r="H122" s="9"/>
      <c r="I122" s="6"/>
      <c r="J122" s="6"/>
      <c r="K122" s="9"/>
      <c r="L122" s="6"/>
      <c r="M122" s="6"/>
      <c r="N122" s="9"/>
      <c r="O122" s="6"/>
      <c r="P122" s="6"/>
      <c r="Q122" s="9"/>
      <c r="R122" s="6"/>
      <c r="S122" s="6"/>
      <c r="T122" s="6"/>
      <c r="U122" s="6"/>
      <c r="V122" s="9"/>
      <c r="W122" s="9"/>
      <c r="X122" s="6"/>
    </row>
    <row r="123" spans="1:24">
      <c r="A123" s="9"/>
      <c r="B123" s="9"/>
      <c r="C123" s="9"/>
      <c r="D123" s="9"/>
      <c r="E123" s="9"/>
      <c r="F123" s="6"/>
      <c r="G123" s="6"/>
      <c r="H123" s="9"/>
      <c r="I123" s="6"/>
      <c r="J123" s="6"/>
      <c r="K123" s="9"/>
      <c r="L123" s="6"/>
      <c r="M123" s="6"/>
      <c r="N123" s="9"/>
      <c r="O123" s="6"/>
      <c r="P123" s="6"/>
      <c r="Q123" s="9"/>
      <c r="R123" s="6"/>
      <c r="S123" s="6"/>
      <c r="T123" s="6"/>
      <c r="U123" s="6"/>
      <c r="V123" s="9"/>
      <c r="W123" s="9"/>
      <c r="X123" s="6"/>
    </row>
    <row r="124" spans="1:24">
      <c r="A124" s="9"/>
      <c r="B124" s="9"/>
      <c r="C124" s="9"/>
      <c r="D124" s="9"/>
      <c r="E124" s="9"/>
      <c r="F124" s="6"/>
      <c r="G124" s="6"/>
      <c r="H124" s="9"/>
      <c r="I124" s="6"/>
      <c r="J124" s="6"/>
      <c r="K124" s="9"/>
      <c r="L124" s="6"/>
      <c r="M124" s="6"/>
      <c r="N124" s="9"/>
      <c r="O124" s="6"/>
      <c r="P124" s="6"/>
      <c r="Q124" s="9"/>
      <c r="R124" s="6"/>
      <c r="S124" s="6"/>
      <c r="T124" s="6"/>
      <c r="U124" s="6"/>
      <c r="V124" s="9"/>
      <c r="W124" s="9"/>
      <c r="X124" s="6"/>
    </row>
    <row r="125" spans="1:24">
      <c r="A125" s="9"/>
      <c r="B125" s="9"/>
      <c r="C125" s="9"/>
      <c r="D125" s="9"/>
      <c r="E125" s="9"/>
      <c r="F125" s="6"/>
      <c r="G125" s="6"/>
      <c r="H125" s="9"/>
      <c r="I125" s="6"/>
      <c r="J125" s="6"/>
      <c r="K125" s="9"/>
      <c r="L125" s="6"/>
      <c r="M125" s="6"/>
      <c r="N125" s="9"/>
      <c r="O125" s="6"/>
      <c r="P125" s="6"/>
      <c r="Q125" s="9"/>
      <c r="R125" s="6"/>
      <c r="S125" s="6"/>
      <c r="T125" s="6"/>
      <c r="U125" s="6"/>
      <c r="V125" s="9"/>
      <c r="W125" s="9"/>
      <c r="X125" s="6"/>
    </row>
    <row r="126" spans="1:24">
      <c r="A126" s="9"/>
      <c r="B126" s="9"/>
      <c r="C126" s="9"/>
      <c r="D126" s="9"/>
      <c r="E126" s="9"/>
      <c r="F126" s="6"/>
      <c r="G126" s="6"/>
      <c r="H126" s="9"/>
      <c r="I126" s="6"/>
      <c r="J126" s="6"/>
      <c r="K126" s="9"/>
      <c r="L126" s="6"/>
      <c r="M126" s="6"/>
      <c r="N126" s="9"/>
      <c r="O126" s="6"/>
      <c r="P126" s="6"/>
      <c r="Q126" s="9"/>
      <c r="R126" s="6"/>
      <c r="S126" s="6"/>
      <c r="T126" s="6"/>
      <c r="U126" s="6"/>
      <c r="V126" s="9"/>
      <c r="W126" s="9"/>
      <c r="X126" s="6"/>
    </row>
    <row r="127" spans="1:24">
      <c r="A127" s="9"/>
      <c r="B127" s="9"/>
      <c r="C127" s="9"/>
      <c r="D127" s="9"/>
      <c r="E127" s="9"/>
      <c r="F127" s="6"/>
      <c r="G127" s="6"/>
      <c r="H127" s="9"/>
      <c r="I127" s="6"/>
      <c r="J127" s="6"/>
      <c r="K127" s="9"/>
      <c r="L127" s="6"/>
      <c r="M127" s="6"/>
      <c r="N127" s="9"/>
      <c r="O127" s="6"/>
      <c r="P127" s="6"/>
      <c r="Q127" s="9"/>
      <c r="R127" s="6"/>
      <c r="S127" s="6"/>
      <c r="T127" s="6"/>
      <c r="U127" s="6"/>
      <c r="V127" s="9"/>
      <c r="W127" s="9"/>
      <c r="X127" s="6"/>
    </row>
    <row r="128" spans="1:24">
      <c r="A128" s="9"/>
      <c r="B128" s="9"/>
      <c r="C128" s="9"/>
      <c r="D128" s="9"/>
      <c r="E128" s="9"/>
      <c r="F128" s="6"/>
      <c r="G128" s="6"/>
      <c r="H128" s="9"/>
      <c r="I128" s="6"/>
      <c r="J128" s="6"/>
      <c r="K128" s="9"/>
      <c r="L128" s="6"/>
      <c r="M128" s="6"/>
      <c r="N128" s="9"/>
      <c r="O128" s="6"/>
      <c r="P128" s="6"/>
      <c r="Q128" s="9"/>
      <c r="R128" s="6"/>
      <c r="S128" s="6"/>
      <c r="T128" s="6"/>
      <c r="U128" s="6"/>
      <c r="V128" s="9"/>
      <c r="W128" s="9"/>
      <c r="X128" s="6"/>
    </row>
    <row r="129" spans="1:24">
      <c r="A129" s="9"/>
      <c r="B129" s="9"/>
      <c r="C129" s="9"/>
      <c r="D129" s="9"/>
      <c r="E129" s="9"/>
      <c r="F129" s="6"/>
      <c r="G129" s="6"/>
      <c r="H129" s="9"/>
      <c r="I129" s="6"/>
      <c r="J129" s="6"/>
      <c r="K129" s="9"/>
      <c r="L129" s="6"/>
      <c r="M129" s="6"/>
      <c r="N129" s="9"/>
      <c r="O129" s="6"/>
      <c r="P129" s="6"/>
      <c r="Q129" s="9"/>
      <c r="R129" s="6"/>
      <c r="S129" s="6"/>
      <c r="T129" s="6"/>
      <c r="U129" s="6"/>
      <c r="V129" s="9"/>
      <c r="W129" s="9"/>
      <c r="X129" s="6"/>
    </row>
    <row r="130" spans="1:24">
      <c r="A130" s="9"/>
      <c r="B130" s="9"/>
      <c r="C130" s="9"/>
      <c r="D130" s="9"/>
      <c r="E130" s="9"/>
      <c r="F130" s="6"/>
      <c r="G130" s="6"/>
      <c r="H130" s="9"/>
      <c r="I130" s="6"/>
      <c r="J130" s="6"/>
      <c r="K130" s="9"/>
      <c r="L130" s="6"/>
      <c r="M130" s="6"/>
      <c r="N130" s="9"/>
      <c r="O130" s="6"/>
      <c r="P130" s="6"/>
      <c r="Q130" s="9"/>
      <c r="R130" s="6"/>
      <c r="S130" s="6"/>
      <c r="T130" s="6"/>
      <c r="U130" s="6"/>
      <c r="V130" s="9"/>
      <c r="W130" s="9"/>
      <c r="X130" s="6"/>
    </row>
    <row r="131" spans="1:24">
      <c r="A131" s="9"/>
      <c r="B131" s="9"/>
      <c r="C131" s="9"/>
      <c r="D131" s="9"/>
      <c r="E131" s="9"/>
      <c r="F131" s="6"/>
      <c r="G131" s="6"/>
      <c r="H131" s="9"/>
      <c r="I131" s="6"/>
      <c r="J131" s="6"/>
      <c r="K131" s="9"/>
      <c r="L131" s="6"/>
      <c r="M131" s="6"/>
      <c r="N131" s="9"/>
      <c r="O131" s="6"/>
      <c r="P131" s="6"/>
      <c r="Q131" s="9"/>
      <c r="R131" s="6"/>
      <c r="S131" s="6"/>
      <c r="T131" s="6"/>
      <c r="U131" s="6"/>
      <c r="V131" s="9"/>
      <c r="W131" s="9"/>
      <c r="X131" s="6"/>
    </row>
    <row r="132" spans="1:24">
      <c r="A132" s="9"/>
      <c r="B132" s="9"/>
      <c r="C132" s="9"/>
      <c r="D132" s="9"/>
      <c r="E132" s="9"/>
      <c r="F132" s="6"/>
      <c r="G132" s="6"/>
      <c r="H132" s="9"/>
      <c r="I132" s="6"/>
      <c r="J132" s="6"/>
      <c r="K132" s="9"/>
      <c r="L132" s="6"/>
      <c r="M132" s="6"/>
      <c r="N132" s="9"/>
      <c r="O132" s="6"/>
      <c r="P132" s="6"/>
      <c r="Q132" s="9"/>
      <c r="R132" s="6"/>
      <c r="S132" s="6"/>
      <c r="T132" s="6"/>
      <c r="U132" s="6"/>
      <c r="V132" s="9"/>
      <c r="W132" s="9"/>
      <c r="X132" s="6"/>
    </row>
    <row r="133" spans="1:24">
      <c r="A133" s="9"/>
      <c r="B133" s="9"/>
      <c r="C133" s="9"/>
      <c r="D133" s="9"/>
      <c r="E133" s="9"/>
      <c r="F133" s="6"/>
      <c r="G133" s="6"/>
      <c r="H133" s="9"/>
      <c r="I133" s="6"/>
      <c r="J133" s="6"/>
      <c r="K133" s="9"/>
      <c r="L133" s="6"/>
      <c r="M133" s="6"/>
      <c r="N133" s="9"/>
      <c r="O133" s="6"/>
      <c r="P133" s="6"/>
      <c r="Q133" s="9"/>
      <c r="R133" s="6"/>
      <c r="S133" s="6"/>
      <c r="T133" s="6"/>
      <c r="U133" s="6"/>
      <c r="V133" s="9"/>
      <c r="W133" s="9"/>
      <c r="X133" s="6"/>
    </row>
    <row r="134" spans="1:24">
      <c r="A134" s="9"/>
      <c r="B134" s="9"/>
      <c r="C134" s="9"/>
      <c r="D134" s="9"/>
      <c r="E134" s="9"/>
      <c r="F134" s="6"/>
      <c r="G134" s="6"/>
      <c r="H134" s="9"/>
      <c r="I134" s="6"/>
      <c r="J134" s="6"/>
      <c r="K134" s="9"/>
      <c r="L134" s="6"/>
      <c r="M134" s="6"/>
      <c r="N134" s="9"/>
      <c r="O134" s="6"/>
      <c r="P134" s="6"/>
      <c r="Q134" s="9"/>
      <c r="R134" s="6"/>
      <c r="S134" s="6"/>
      <c r="T134" s="6"/>
      <c r="U134" s="6"/>
      <c r="V134" s="9"/>
      <c r="W134" s="9"/>
      <c r="X134" s="6"/>
    </row>
    <row r="135" spans="1:24">
      <c r="A135" s="9"/>
      <c r="B135" s="9"/>
      <c r="C135" s="9"/>
      <c r="D135" s="9"/>
      <c r="E135" s="9"/>
      <c r="F135" s="6"/>
      <c r="G135" s="6"/>
      <c r="H135" s="9"/>
      <c r="I135" s="6"/>
      <c r="J135" s="6"/>
      <c r="K135" s="9"/>
      <c r="L135" s="6"/>
      <c r="M135" s="6"/>
      <c r="N135" s="9"/>
      <c r="O135" s="6"/>
      <c r="P135" s="6"/>
      <c r="Q135" s="9"/>
      <c r="R135" s="6"/>
      <c r="S135" s="6"/>
      <c r="T135" s="6"/>
      <c r="U135" s="6"/>
      <c r="V135" s="9"/>
      <c r="W135" s="9"/>
      <c r="X135" s="6"/>
    </row>
    <row r="136" spans="1:24">
      <c r="A136" s="9"/>
      <c r="B136" s="9"/>
      <c r="C136" s="9"/>
      <c r="D136" s="9"/>
      <c r="E136" s="9"/>
      <c r="F136" s="6"/>
      <c r="G136" s="6"/>
      <c r="H136" s="9"/>
      <c r="I136" s="6"/>
      <c r="J136" s="6"/>
      <c r="K136" s="9"/>
      <c r="L136" s="6"/>
      <c r="M136" s="6"/>
      <c r="N136" s="9"/>
      <c r="O136" s="6"/>
      <c r="P136" s="6"/>
      <c r="Q136" s="9"/>
      <c r="R136" s="6"/>
      <c r="S136" s="6"/>
      <c r="T136" s="6"/>
      <c r="U136" s="6"/>
      <c r="V136" s="9"/>
      <c r="W136" s="9"/>
      <c r="X136" s="6"/>
    </row>
    <row r="137" spans="1:24">
      <c r="A137" s="9"/>
      <c r="B137" s="9"/>
      <c r="C137" s="9"/>
      <c r="D137" s="9"/>
      <c r="E137" s="9"/>
      <c r="F137" s="6"/>
      <c r="G137" s="6"/>
      <c r="H137" s="9"/>
      <c r="I137" s="6"/>
      <c r="J137" s="6"/>
      <c r="K137" s="9"/>
      <c r="L137" s="6"/>
      <c r="M137" s="6"/>
      <c r="N137" s="9"/>
      <c r="O137" s="6"/>
      <c r="P137" s="6"/>
      <c r="Q137" s="9"/>
      <c r="R137" s="6"/>
      <c r="S137" s="6"/>
      <c r="T137" s="6"/>
      <c r="U137" s="6"/>
      <c r="V137" s="9"/>
      <c r="W137" s="9"/>
      <c r="X137" s="6"/>
    </row>
    <row r="138" spans="1:24">
      <c r="A138" s="9"/>
      <c r="B138" s="9"/>
      <c r="C138" s="9"/>
      <c r="D138" s="9"/>
      <c r="E138" s="9"/>
      <c r="F138" s="6"/>
      <c r="G138" s="6"/>
      <c r="H138" s="9"/>
      <c r="I138" s="6"/>
      <c r="J138" s="6"/>
      <c r="K138" s="9"/>
      <c r="L138" s="6"/>
      <c r="M138" s="6"/>
      <c r="N138" s="9"/>
      <c r="O138" s="6"/>
      <c r="P138" s="6"/>
      <c r="Q138" s="9"/>
      <c r="R138" s="6"/>
      <c r="S138" s="6"/>
      <c r="T138" s="6"/>
      <c r="U138" s="6"/>
      <c r="V138" s="9"/>
      <c r="W138" s="9"/>
      <c r="X138" s="6"/>
    </row>
    <row r="139" spans="1:24">
      <c r="A139" s="9"/>
      <c r="B139" s="9"/>
      <c r="C139" s="9"/>
      <c r="D139" s="9"/>
      <c r="E139" s="9"/>
      <c r="F139" s="6"/>
      <c r="G139" s="6"/>
      <c r="H139" s="9"/>
      <c r="I139" s="6"/>
      <c r="J139" s="6"/>
      <c r="K139" s="9"/>
      <c r="L139" s="6"/>
      <c r="M139" s="6"/>
      <c r="N139" s="9"/>
      <c r="O139" s="6"/>
      <c r="P139" s="6"/>
      <c r="Q139" s="9"/>
      <c r="R139" s="6"/>
      <c r="S139" s="6"/>
      <c r="T139" s="6"/>
      <c r="U139" s="6"/>
      <c r="V139" s="9"/>
      <c r="W139" s="9"/>
      <c r="X139" s="6"/>
    </row>
    <row r="140" spans="1:24">
      <c r="A140" s="9"/>
      <c r="B140" s="9"/>
      <c r="C140" s="9"/>
      <c r="D140" s="9"/>
      <c r="E140" s="9"/>
      <c r="F140" s="6"/>
      <c r="G140" s="6"/>
      <c r="H140" s="9"/>
      <c r="I140" s="6"/>
      <c r="J140" s="6"/>
      <c r="K140" s="9"/>
      <c r="L140" s="6"/>
      <c r="M140" s="6"/>
      <c r="N140" s="9"/>
      <c r="O140" s="6"/>
      <c r="P140" s="6"/>
      <c r="Q140" s="9"/>
      <c r="R140" s="6"/>
      <c r="S140" s="6"/>
      <c r="T140" s="6"/>
      <c r="U140" s="6"/>
      <c r="V140" s="9"/>
      <c r="W140" s="9"/>
      <c r="X140" s="6"/>
    </row>
    <row r="141" spans="1:24">
      <c r="A141" s="9"/>
      <c r="B141" s="9"/>
      <c r="C141" s="9"/>
      <c r="D141" s="9"/>
      <c r="E141" s="9"/>
      <c r="F141" s="6"/>
      <c r="G141" s="6"/>
      <c r="H141" s="9"/>
      <c r="I141" s="6"/>
      <c r="J141" s="6"/>
      <c r="K141" s="9"/>
      <c r="L141" s="6"/>
      <c r="M141" s="6"/>
      <c r="N141" s="9"/>
      <c r="O141" s="6"/>
      <c r="P141" s="6"/>
      <c r="Q141" s="9"/>
      <c r="R141" s="6"/>
      <c r="S141" s="6"/>
      <c r="T141" s="6"/>
      <c r="U141" s="6"/>
      <c r="V141" s="9"/>
      <c r="W141" s="9"/>
      <c r="X141" s="6"/>
    </row>
    <row r="142" spans="1:24">
      <c r="A142" s="9"/>
      <c r="B142" s="9"/>
      <c r="C142" s="9"/>
      <c r="D142" s="9"/>
      <c r="E142" s="9"/>
      <c r="F142" s="6"/>
      <c r="G142" s="6"/>
      <c r="H142" s="9"/>
      <c r="I142" s="6"/>
      <c r="J142" s="6"/>
      <c r="K142" s="9"/>
      <c r="L142" s="6"/>
      <c r="M142" s="6"/>
      <c r="N142" s="9"/>
      <c r="O142" s="6"/>
      <c r="P142" s="6"/>
      <c r="Q142" s="9"/>
      <c r="R142" s="6"/>
      <c r="S142" s="6"/>
      <c r="T142" s="6"/>
      <c r="U142" s="6"/>
      <c r="V142" s="9"/>
      <c r="W142" s="9"/>
      <c r="X142" s="6"/>
    </row>
    <row r="143" spans="1:24">
      <c r="A143" s="9"/>
      <c r="B143" s="9"/>
      <c r="C143" s="9"/>
      <c r="D143" s="9"/>
      <c r="E143" s="9"/>
      <c r="F143" s="6"/>
      <c r="G143" s="6"/>
      <c r="H143" s="9"/>
      <c r="I143" s="6"/>
      <c r="J143" s="6"/>
      <c r="K143" s="9"/>
      <c r="L143" s="6"/>
      <c r="M143" s="6"/>
      <c r="N143" s="9"/>
      <c r="O143" s="6"/>
      <c r="P143" s="6"/>
      <c r="Q143" s="9"/>
      <c r="R143" s="6"/>
      <c r="S143" s="6"/>
      <c r="T143" s="6"/>
      <c r="U143" s="6"/>
      <c r="V143" s="9"/>
      <c r="W143" s="9"/>
      <c r="X143" s="6"/>
    </row>
    <row r="144" spans="1:24">
      <c r="A144" s="9"/>
      <c r="B144" s="9"/>
      <c r="C144" s="9"/>
      <c r="D144" s="9"/>
      <c r="E144" s="9"/>
      <c r="F144" s="6"/>
      <c r="G144" s="6"/>
      <c r="H144" s="9"/>
      <c r="I144" s="6"/>
      <c r="J144" s="6"/>
      <c r="K144" s="9"/>
      <c r="L144" s="6"/>
      <c r="M144" s="6"/>
      <c r="N144" s="9"/>
      <c r="O144" s="6"/>
      <c r="P144" s="6"/>
      <c r="Q144" s="9"/>
      <c r="R144" s="6"/>
      <c r="S144" s="6"/>
      <c r="T144" s="6"/>
      <c r="U144" s="6"/>
      <c r="V144" s="9"/>
      <c r="W144" s="9"/>
      <c r="X144" s="6"/>
    </row>
    <row r="145" spans="1:24">
      <c r="A145" s="9"/>
      <c r="B145" s="9"/>
      <c r="C145" s="9"/>
      <c r="D145" s="9"/>
      <c r="E145" s="9"/>
      <c r="F145" s="6"/>
      <c r="G145" s="6"/>
      <c r="H145" s="9"/>
      <c r="I145" s="6"/>
      <c r="J145" s="6"/>
      <c r="K145" s="9"/>
      <c r="L145" s="6"/>
      <c r="M145" s="6"/>
      <c r="N145" s="9"/>
      <c r="O145" s="6"/>
      <c r="P145" s="6"/>
      <c r="Q145" s="9"/>
      <c r="R145" s="6"/>
      <c r="S145" s="6"/>
      <c r="T145" s="6"/>
      <c r="U145" s="6"/>
      <c r="V145" s="9"/>
      <c r="W145" s="9"/>
      <c r="X145" s="6"/>
    </row>
    <row r="146" spans="1:24">
      <c r="A146" s="9"/>
      <c r="B146" s="9"/>
      <c r="C146" s="9"/>
      <c r="D146" s="9"/>
      <c r="E146" s="9"/>
      <c r="F146" s="6"/>
      <c r="G146" s="6"/>
      <c r="H146" s="9"/>
      <c r="I146" s="6"/>
      <c r="J146" s="6"/>
      <c r="K146" s="9"/>
      <c r="L146" s="6"/>
      <c r="M146" s="6"/>
      <c r="N146" s="9"/>
      <c r="O146" s="6"/>
      <c r="P146" s="6"/>
      <c r="Q146" s="9"/>
      <c r="R146" s="6"/>
      <c r="S146" s="6"/>
      <c r="T146" s="6"/>
      <c r="U146" s="6"/>
      <c r="V146" s="9"/>
      <c r="W146" s="9"/>
      <c r="X146" s="6"/>
    </row>
    <row r="147" spans="1:24">
      <c r="A147" s="9"/>
      <c r="B147" s="9"/>
      <c r="C147" s="9"/>
      <c r="D147" s="9"/>
      <c r="E147" s="9"/>
      <c r="F147" s="6"/>
      <c r="G147" s="6"/>
      <c r="H147" s="9"/>
      <c r="I147" s="6"/>
      <c r="J147" s="6"/>
      <c r="K147" s="9"/>
      <c r="L147" s="6"/>
      <c r="M147" s="6"/>
      <c r="N147" s="9"/>
      <c r="O147" s="6"/>
      <c r="P147" s="6"/>
      <c r="Q147" s="9"/>
      <c r="R147" s="6"/>
      <c r="S147" s="6"/>
      <c r="T147" s="6"/>
      <c r="U147" s="6"/>
      <c r="V147" s="9"/>
      <c r="W147" s="9"/>
      <c r="X147" s="6"/>
    </row>
    <row r="148" spans="1:24">
      <c r="A148" s="9"/>
      <c r="B148" s="9"/>
      <c r="C148" s="9"/>
      <c r="D148" s="9"/>
      <c r="E148" s="9"/>
      <c r="F148" s="6"/>
      <c r="G148" s="6"/>
      <c r="H148" s="9"/>
      <c r="I148" s="6"/>
      <c r="J148" s="6"/>
      <c r="K148" s="9"/>
      <c r="L148" s="6"/>
      <c r="M148" s="6"/>
      <c r="N148" s="9"/>
      <c r="O148" s="6"/>
      <c r="P148" s="6"/>
      <c r="Q148" s="9"/>
      <c r="R148" s="6"/>
      <c r="S148" s="6"/>
      <c r="T148" s="6"/>
      <c r="U148" s="6"/>
      <c r="V148" s="9"/>
      <c r="W148" s="9"/>
      <c r="X148" s="6"/>
    </row>
    <row r="149" spans="1:24">
      <c r="A149" s="9"/>
      <c r="B149" s="9"/>
      <c r="C149" s="9"/>
      <c r="D149" s="9"/>
      <c r="E149" s="9"/>
      <c r="F149" s="6"/>
      <c r="G149" s="6"/>
      <c r="H149" s="9"/>
      <c r="I149" s="6"/>
      <c r="J149" s="6"/>
      <c r="K149" s="9"/>
      <c r="L149" s="6"/>
      <c r="M149" s="6"/>
      <c r="N149" s="9"/>
      <c r="O149" s="6"/>
      <c r="P149" s="6"/>
      <c r="Q149" s="9"/>
      <c r="R149" s="6"/>
      <c r="S149" s="6"/>
      <c r="T149" s="6"/>
      <c r="U149" s="6"/>
      <c r="V149" s="9"/>
      <c r="W149" s="9"/>
      <c r="X149" s="6"/>
    </row>
    <row r="150" spans="1:24">
      <c r="A150" s="9"/>
      <c r="B150" s="9"/>
      <c r="C150" s="9"/>
      <c r="D150" s="9"/>
      <c r="E150" s="9"/>
      <c r="F150" s="6"/>
      <c r="G150" s="6"/>
      <c r="H150" s="9"/>
      <c r="I150" s="6"/>
      <c r="J150" s="6"/>
      <c r="K150" s="9"/>
      <c r="L150" s="6"/>
      <c r="M150" s="6"/>
      <c r="N150" s="9"/>
      <c r="O150" s="6"/>
      <c r="P150" s="6"/>
      <c r="Q150" s="9"/>
      <c r="R150" s="6"/>
      <c r="S150" s="6"/>
      <c r="T150" s="6"/>
      <c r="U150" s="6"/>
      <c r="V150" s="9"/>
      <c r="W150" s="9"/>
      <c r="X150" s="6"/>
    </row>
    <row r="151" spans="1:24">
      <c r="A151" s="9"/>
      <c r="B151" s="9"/>
      <c r="C151" s="9"/>
      <c r="D151" s="9"/>
      <c r="E151" s="9"/>
      <c r="F151" s="6"/>
      <c r="G151" s="6"/>
      <c r="H151" s="9"/>
      <c r="I151" s="6"/>
      <c r="J151" s="6"/>
      <c r="K151" s="9"/>
      <c r="L151" s="6"/>
      <c r="M151" s="6"/>
      <c r="N151" s="9"/>
      <c r="O151" s="6"/>
      <c r="P151" s="6"/>
      <c r="Q151" s="9"/>
      <c r="R151" s="6"/>
      <c r="S151" s="6"/>
      <c r="T151" s="6"/>
      <c r="U151" s="6"/>
      <c r="V151" s="9"/>
      <c r="W151" s="9"/>
      <c r="X151" s="6"/>
    </row>
    <row r="152" spans="1:24">
      <c r="A152" s="9"/>
      <c r="B152" s="9"/>
      <c r="C152" s="9"/>
      <c r="D152" s="9"/>
      <c r="E152" s="9"/>
      <c r="F152" s="6"/>
      <c r="G152" s="6"/>
      <c r="H152" s="9"/>
      <c r="I152" s="6"/>
      <c r="J152" s="6"/>
      <c r="K152" s="9"/>
      <c r="L152" s="6"/>
      <c r="M152" s="6"/>
      <c r="N152" s="9"/>
      <c r="O152" s="6"/>
      <c r="P152" s="6"/>
      <c r="Q152" s="9"/>
      <c r="R152" s="6"/>
      <c r="S152" s="6"/>
      <c r="T152" s="6"/>
      <c r="U152" s="6"/>
      <c r="V152" s="9"/>
      <c r="W152" s="9"/>
      <c r="X152" s="6"/>
    </row>
    <row r="153" spans="1:24">
      <c r="A153" s="9"/>
      <c r="B153" s="9"/>
      <c r="C153" s="9"/>
      <c r="D153" s="9"/>
      <c r="E153" s="9"/>
      <c r="F153" s="6"/>
      <c r="G153" s="6"/>
      <c r="H153" s="9"/>
      <c r="I153" s="6"/>
      <c r="J153" s="6"/>
      <c r="K153" s="9"/>
      <c r="L153" s="6"/>
      <c r="M153" s="6"/>
      <c r="N153" s="9"/>
      <c r="O153" s="6"/>
      <c r="P153" s="6"/>
      <c r="Q153" s="9"/>
      <c r="R153" s="6"/>
      <c r="S153" s="6"/>
      <c r="T153" s="6"/>
      <c r="U153" s="6"/>
      <c r="V153" s="9"/>
      <c r="W153" s="9"/>
      <c r="X153" s="6"/>
    </row>
    <row r="154" spans="1:24">
      <c r="A154" s="9"/>
      <c r="B154" s="9"/>
      <c r="C154" s="9"/>
      <c r="D154" s="9"/>
      <c r="E154" s="9"/>
      <c r="F154" s="6"/>
      <c r="G154" s="6"/>
      <c r="H154" s="9"/>
      <c r="I154" s="6"/>
      <c r="J154" s="6"/>
      <c r="K154" s="9"/>
      <c r="L154" s="6"/>
      <c r="M154" s="6"/>
      <c r="N154" s="9"/>
      <c r="O154" s="6"/>
      <c r="P154" s="6"/>
      <c r="Q154" s="9"/>
      <c r="R154" s="6"/>
      <c r="S154" s="6"/>
      <c r="T154" s="6"/>
      <c r="U154" s="6"/>
      <c r="V154" s="9"/>
      <c r="W154" s="9"/>
      <c r="X154" s="6"/>
    </row>
    <row r="155" spans="1:24">
      <c r="A155" s="9"/>
      <c r="B155" s="9"/>
      <c r="C155" s="9"/>
      <c r="D155" s="9"/>
      <c r="E155" s="9"/>
      <c r="F155" s="6"/>
      <c r="G155" s="6"/>
      <c r="H155" s="9"/>
      <c r="I155" s="6"/>
      <c r="J155" s="6"/>
      <c r="K155" s="9"/>
      <c r="L155" s="6"/>
      <c r="M155" s="6"/>
      <c r="N155" s="9"/>
      <c r="O155" s="6"/>
      <c r="P155" s="6"/>
      <c r="Q155" s="9"/>
      <c r="R155" s="6"/>
      <c r="S155" s="6"/>
      <c r="T155" s="6"/>
      <c r="U155" s="6"/>
      <c r="V155" s="9"/>
      <c r="W155" s="9"/>
      <c r="X155" s="6"/>
    </row>
    <row r="156" spans="1:24">
      <c r="A156" s="9"/>
      <c r="B156" s="9"/>
      <c r="C156" s="9"/>
      <c r="D156" s="9"/>
      <c r="E156" s="9"/>
      <c r="F156" s="6"/>
      <c r="G156" s="6"/>
      <c r="H156" s="9"/>
      <c r="I156" s="6"/>
      <c r="J156" s="6"/>
      <c r="K156" s="9"/>
      <c r="L156" s="6"/>
      <c r="M156" s="6"/>
      <c r="N156" s="9"/>
      <c r="O156" s="6"/>
      <c r="P156" s="6"/>
      <c r="Q156" s="9"/>
      <c r="R156" s="6"/>
      <c r="S156" s="6"/>
      <c r="T156" s="6"/>
      <c r="U156" s="6"/>
      <c r="V156" s="9"/>
      <c r="W156" s="9"/>
      <c r="X156" s="6"/>
    </row>
    <row r="157" spans="1:24">
      <c r="A157" s="9"/>
      <c r="B157" s="9"/>
      <c r="C157" s="9"/>
      <c r="D157" s="9"/>
      <c r="E157" s="9"/>
      <c r="F157" s="6"/>
      <c r="G157" s="6"/>
      <c r="H157" s="9"/>
      <c r="I157" s="6"/>
      <c r="J157" s="6"/>
      <c r="K157" s="9"/>
      <c r="L157" s="6"/>
      <c r="M157" s="6"/>
      <c r="N157" s="9"/>
      <c r="O157" s="6"/>
      <c r="P157" s="6"/>
      <c r="Q157" s="9"/>
      <c r="R157" s="6"/>
      <c r="S157" s="6"/>
      <c r="T157" s="6"/>
      <c r="U157" s="6"/>
      <c r="V157" s="9"/>
      <c r="W157" s="9"/>
      <c r="X157" s="6"/>
    </row>
    <row r="158" spans="1:24">
      <c r="A158" s="9"/>
      <c r="B158" s="9"/>
      <c r="C158" s="9"/>
      <c r="D158" s="9"/>
      <c r="E158" s="9"/>
      <c r="F158" s="6"/>
      <c r="G158" s="6"/>
      <c r="H158" s="9"/>
      <c r="I158" s="6"/>
      <c r="J158" s="6"/>
      <c r="K158" s="9"/>
      <c r="L158" s="6"/>
      <c r="M158" s="6"/>
      <c r="N158" s="9"/>
      <c r="O158" s="6"/>
      <c r="P158" s="6"/>
      <c r="Q158" s="9"/>
      <c r="R158" s="6"/>
      <c r="S158" s="6"/>
      <c r="T158" s="6"/>
      <c r="U158" s="6"/>
      <c r="V158" s="9"/>
      <c r="W158" s="9"/>
      <c r="X158" s="6"/>
    </row>
    <row r="159" spans="1:24">
      <c r="A159" s="9"/>
      <c r="B159" s="9"/>
      <c r="C159" s="9"/>
      <c r="D159" s="9"/>
      <c r="E159" s="9"/>
      <c r="F159" s="6"/>
      <c r="G159" s="6"/>
      <c r="H159" s="9"/>
      <c r="I159" s="6"/>
      <c r="J159" s="6"/>
      <c r="K159" s="9"/>
      <c r="L159" s="6"/>
      <c r="M159" s="6"/>
      <c r="N159" s="9"/>
      <c r="O159" s="6"/>
      <c r="P159" s="6"/>
      <c r="Q159" s="9"/>
      <c r="R159" s="6"/>
      <c r="S159" s="6"/>
      <c r="T159" s="6"/>
      <c r="U159" s="6"/>
      <c r="V159" s="9"/>
      <c r="W159" s="9"/>
      <c r="X159" s="6"/>
    </row>
    <row r="160" spans="1:24">
      <c r="A160" s="9"/>
      <c r="B160" s="9"/>
      <c r="C160" s="9"/>
      <c r="D160" s="9"/>
      <c r="E160" s="9"/>
      <c r="F160" s="6"/>
      <c r="G160" s="6"/>
      <c r="H160" s="9"/>
      <c r="I160" s="6"/>
      <c r="J160" s="6"/>
      <c r="K160" s="9"/>
      <c r="L160" s="6"/>
      <c r="M160" s="6"/>
      <c r="N160" s="9"/>
      <c r="O160" s="6"/>
      <c r="P160" s="6"/>
      <c r="Q160" s="9"/>
      <c r="R160" s="6"/>
      <c r="S160" s="6"/>
      <c r="T160" s="6"/>
      <c r="U160" s="6"/>
      <c r="V160" s="9"/>
      <c r="W160" s="9"/>
      <c r="X160" s="6"/>
    </row>
    <row r="161" spans="1:24">
      <c r="A161" s="9"/>
      <c r="B161" s="9"/>
      <c r="C161" s="9"/>
      <c r="D161" s="9"/>
      <c r="E161" s="9"/>
      <c r="F161" s="6"/>
      <c r="G161" s="6"/>
      <c r="H161" s="9"/>
      <c r="I161" s="6"/>
      <c r="J161" s="6"/>
      <c r="K161" s="9"/>
      <c r="L161" s="6"/>
      <c r="M161" s="6"/>
      <c r="N161" s="9"/>
      <c r="O161" s="6"/>
      <c r="P161" s="6"/>
      <c r="Q161" s="9"/>
      <c r="R161" s="6"/>
      <c r="S161" s="6"/>
      <c r="T161" s="6"/>
      <c r="U161" s="6"/>
      <c r="V161" s="9"/>
      <c r="W161" s="9"/>
      <c r="X161" s="6"/>
    </row>
    <row r="162" spans="1:24">
      <c r="A162" s="9"/>
      <c r="B162" s="9"/>
      <c r="C162" s="9"/>
      <c r="D162" s="9"/>
      <c r="E162" s="9"/>
      <c r="F162" s="6"/>
      <c r="G162" s="6"/>
      <c r="H162" s="9"/>
      <c r="I162" s="6"/>
      <c r="J162" s="6"/>
      <c r="K162" s="9"/>
      <c r="L162" s="6"/>
      <c r="M162" s="6"/>
      <c r="N162" s="9"/>
      <c r="O162" s="6"/>
      <c r="P162" s="6"/>
      <c r="Q162" s="9"/>
      <c r="R162" s="6"/>
      <c r="S162" s="6"/>
      <c r="T162" s="6"/>
      <c r="U162" s="6"/>
      <c r="V162" s="9"/>
      <c r="W162" s="9"/>
      <c r="X162" s="6"/>
    </row>
    <row r="163" spans="1:24">
      <c r="A163" s="9"/>
      <c r="B163" s="9"/>
      <c r="C163" s="9"/>
      <c r="D163" s="9"/>
      <c r="E163" s="9"/>
      <c r="F163" s="6"/>
      <c r="G163" s="6"/>
      <c r="H163" s="9"/>
      <c r="I163" s="6"/>
      <c r="J163" s="6"/>
      <c r="K163" s="9"/>
      <c r="L163" s="6"/>
      <c r="M163" s="6"/>
      <c r="N163" s="9"/>
      <c r="O163" s="6"/>
      <c r="P163" s="6"/>
      <c r="Q163" s="9"/>
      <c r="R163" s="6"/>
      <c r="S163" s="6"/>
      <c r="T163" s="6"/>
      <c r="U163" s="6"/>
      <c r="V163" s="9"/>
      <c r="W163" s="9"/>
      <c r="X163" s="6"/>
    </row>
    <row r="164" spans="1:24">
      <c r="A164" s="9"/>
      <c r="B164" s="9"/>
      <c r="C164" s="9"/>
      <c r="D164" s="9"/>
      <c r="E164" s="9"/>
      <c r="F164" s="6"/>
      <c r="G164" s="6"/>
      <c r="H164" s="9"/>
      <c r="I164" s="6"/>
      <c r="J164" s="6"/>
      <c r="K164" s="9"/>
      <c r="L164" s="6"/>
      <c r="M164" s="6"/>
      <c r="N164" s="9"/>
      <c r="O164" s="6"/>
      <c r="P164" s="6"/>
      <c r="Q164" s="9"/>
      <c r="R164" s="6"/>
      <c r="S164" s="6"/>
      <c r="T164" s="6"/>
      <c r="U164" s="6"/>
      <c r="V164" s="9"/>
      <c r="W164" s="9"/>
      <c r="X164" s="6"/>
    </row>
    <row r="165" spans="1:24">
      <c r="A165" s="9"/>
      <c r="B165" s="9"/>
      <c r="C165" s="9"/>
      <c r="D165" s="9"/>
      <c r="E165" s="9"/>
      <c r="F165" s="6"/>
      <c r="G165" s="6"/>
      <c r="H165" s="9"/>
      <c r="I165" s="6"/>
      <c r="J165" s="6"/>
      <c r="K165" s="9"/>
      <c r="L165" s="6"/>
      <c r="M165" s="6"/>
      <c r="N165" s="9"/>
      <c r="O165" s="6"/>
      <c r="P165" s="6"/>
      <c r="Q165" s="9"/>
      <c r="R165" s="6"/>
      <c r="S165" s="6"/>
      <c r="T165" s="6"/>
      <c r="U165" s="6"/>
      <c r="V165" s="9"/>
      <c r="W165" s="9"/>
      <c r="X165" s="6"/>
    </row>
    <row r="166" spans="1:24">
      <c r="A166" s="9"/>
      <c r="B166" s="9"/>
      <c r="C166" s="9"/>
      <c r="D166" s="9"/>
      <c r="E166" s="9"/>
      <c r="F166" s="6"/>
      <c r="G166" s="6"/>
      <c r="H166" s="9"/>
      <c r="I166" s="6"/>
      <c r="J166" s="6"/>
      <c r="K166" s="9"/>
      <c r="L166" s="6"/>
      <c r="M166" s="6"/>
      <c r="N166" s="9"/>
      <c r="O166" s="6"/>
      <c r="P166" s="6"/>
      <c r="Q166" s="9"/>
      <c r="R166" s="6"/>
      <c r="S166" s="6"/>
      <c r="T166" s="6"/>
      <c r="U166" s="6"/>
      <c r="V166" s="9"/>
      <c r="W166" s="9"/>
      <c r="X166" s="6"/>
    </row>
    <row r="167" spans="1:24">
      <c r="A167" s="9"/>
      <c r="B167" s="9"/>
      <c r="C167" s="9"/>
      <c r="D167" s="9"/>
      <c r="E167" s="9"/>
      <c r="F167" s="6"/>
      <c r="G167" s="6"/>
      <c r="H167" s="9"/>
      <c r="I167" s="6"/>
      <c r="J167" s="6"/>
      <c r="K167" s="9"/>
      <c r="L167" s="6"/>
      <c r="M167" s="6"/>
      <c r="N167" s="9"/>
      <c r="O167" s="6"/>
      <c r="P167" s="6"/>
      <c r="Q167" s="9"/>
      <c r="R167" s="6"/>
      <c r="S167" s="6"/>
      <c r="T167" s="6"/>
      <c r="U167" s="6"/>
      <c r="V167" s="9"/>
      <c r="W167" s="9"/>
      <c r="X167" s="6"/>
    </row>
    <row r="168" spans="1:24">
      <c r="A168" s="9"/>
      <c r="B168" s="9"/>
      <c r="C168" s="9"/>
      <c r="D168" s="9"/>
      <c r="E168" s="9"/>
      <c r="F168" s="6"/>
      <c r="G168" s="6"/>
      <c r="H168" s="9"/>
      <c r="I168" s="6"/>
      <c r="J168" s="6"/>
      <c r="K168" s="9"/>
      <c r="L168" s="6"/>
      <c r="M168" s="6"/>
      <c r="N168" s="9"/>
      <c r="O168" s="6"/>
      <c r="P168" s="6"/>
      <c r="Q168" s="9"/>
      <c r="R168" s="6"/>
      <c r="S168" s="6"/>
      <c r="T168" s="6"/>
      <c r="U168" s="6"/>
      <c r="V168" s="9"/>
      <c r="W168" s="9"/>
      <c r="X168" s="6"/>
    </row>
    <row r="169" spans="1:24">
      <c r="A169" s="9"/>
      <c r="B169" s="9"/>
      <c r="C169" s="9"/>
      <c r="D169" s="9"/>
      <c r="E169" s="9"/>
      <c r="F169" s="6"/>
      <c r="G169" s="6"/>
      <c r="H169" s="9"/>
      <c r="I169" s="6"/>
      <c r="J169" s="6"/>
      <c r="K169" s="9"/>
      <c r="L169" s="6"/>
      <c r="M169" s="6"/>
      <c r="N169" s="9"/>
      <c r="O169" s="6"/>
      <c r="P169" s="6"/>
      <c r="Q169" s="9"/>
      <c r="R169" s="6"/>
      <c r="S169" s="6"/>
      <c r="T169" s="6"/>
      <c r="U169" s="6"/>
      <c r="V169" s="9"/>
      <c r="W169" s="9"/>
      <c r="X169" s="6"/>
    </row>
    <row r="170" spans="1:24">
      <c r="A170" s="9"/>
      <c r="B170" s="9"/>
      <c r="C170" s="9"/>
      <c r="D170" s="9"/>
      <c r="E170" s="9"/>
      <c r="F170" s="6"/>
      <c r="G170" s="6"/>
      <c r="H170" s="9"/>
      <c r="I170" s="6"/>
      <c r="J170" s="6"/>
      <c r="K170" s="9"/>
      <c r="L170" s="6"/>
      <c r="M170" s="6"/>
      <c r="N170" s="9"/>
      <c r="O170" s="6"/>
      <c r="P170" s="6"/>
      <c r="Q170" s="9"/>
      <c r="R170" s="6"/>
      <c r="S170" s="6"/>
      <c r="T170" s="6"/>
      <c r="U170" s="6"/>
      <c r="V170" s="9"/>
      <c r="W170" s="9"/>
      <c r="X170" s="6"/>
    </row>
    <row r="171" spans="1:24">
      <c r="A171" s="9"/>
      <c r="B171" s="9"/>
      <c r="C171" s="9"/>
      <c r="D171" s="9"/>
      <c r="E171" s="9"/>
      <c r="F171" s="6"/>
      <c r="G171" s="6"/>
      <c r="H171" s="9"/>
      <c r="I171" s="6"/>
      <c r="J171" s="6"/>
      <c r="K171" s="9"/>
      <c r="L171" s="6"/>
      <c r="M171" s="6"/>
      <c r="N171" s="9"/>
      <c r="O171" s="6"/>
      <c r="P171" s="6"/>
      <c r="Q171" s="9"/>
      <c r="R171" s="6"/>
      <c r="S171" s="6"/>
      <c r="T171" s="6"/>
      <c r="U171" s="6"/>
      <c r="V171" s="9"/>
      <c r="W171" s="9"/>
      <c r="X171" s="6"/>
    </row>
    <row r="172" spans="1:24">
      <c r="A172" s="9"/>
      <c r="B172" s="9"/>
      <c r="C172" s="9"/>
      <c r="D172" s="9"/>
      <c r="E172" s="9"/>
      <c r="F172" s="6"/>
      <c r="G172" s="6"/>
      <c r="H172" s="9"/>
      <c r="I172" s="6"/>
      <c r="J172" s="6"/>
      <c r="K172" s="9"/>
      <c r="L172" s="6"/>
      <c r="M172" s="6"/>
      <c r="N172" s="9"/>
      <c r="O172" s="6"/>
      <c r="P172" s="6"/>
      <c r="Q172" s="9"/>
      <c r="R172" s="6"/>
      <c r="S172" s="6"/>
      <c r="T172" s="6"/>
      <c r="U172" s="6"/>
      <c r="V172" s="9"/>
      <c r="W172" s="9"/>
      <c r="X172" s="6"/>
    </row>
    <row r="173" spans="1:24">
      <c r="A173" s="9"/>
      <c r="B173" s="9"/>
      <c r="C173" s="9"/>
      <c r="D173" s="9"/>
      <c r="E173" s="9"/>
      <c r="F173" s="6"/>
      <c r="G173" s="6"/>
      <c r="H173" s="9"/>
      <c r="I173" s="6"/>
      <c r="J173" s="6"/>
      <c r="K173" s="9"/>
      <c r="L173" s="6"/>
      <c r="M173" s="6"/>
      <c r="N173" s="9"/>
      <c r="O173" s="6"/>
      <c r="P173" s="6"/>
      <c r="Q173" s="9"/>
      <c r="R173" s="6"/>
      <c r="S173" s="6"/>
      <c r="T173" s="6"/>
      <c r="U173" s="6"/>
      <c r="V173" s="9"/>
      <c r="W173" s="9"/>
      <c r="X173" s="6"/>
    </row>
    <row r="174" spans="1:24">
      <c r="A174" s="9"/>
      <c r="B174" s="9"/>
      <c r="C174" s="9"/>
      <c r="D174" s="9"/>
      <c r="E174" s="9"/>
      <c r="F174" s="6"/>
      <c r="G174" s="6"/>
      <c r="H174" s="9"/>
      <c r="I174" s="6"/>
      <c r="J174" s="6"/>
      <c r="K174" s="9"/>
      <c r="L174" s="6"/>
      <c r="M174" s="6"/>
      <c r="N174" s="9"/>
      <c r="O174" s="6"/>
      <c r="P174" s="6"/>
      <c r="Q174" s="9"/>
      <c r="R174" s="6"/>
      <c r="S174" s="6"/>
      <c r="T174" s="6"/>
      <c r="U174" s="6"/>
      <c r="V174" s="9"/>
      <c r="W174" s="9"/>
      <c r="X174" s="6"/>
    </row>
    <row r="175" spans="1:24">
      <c r="A175" s="9"/>
      <c r="B175" s="9"/>
      <c r="C175" s="9"/>
      <c r="D175" s="9"/>
      <c r="E175" s="9"/>
      <c r="F175" s="6"/>
      <c r="G175" s="6"/>
      <c r="H175" s="9"/>
      <c r="I175" s="6"/>
      <c r="J175" s="6"/>
      <c r="K175" s="9"/>
      <c r="L175" s="6"/>
      <c r="M175" s="6"/>
      <c r="N175" s="9"/>
      <c r="O175" s="6"/>
      <c r="P175" s="6"/>
      <c r="Q175" s="9"/>
      <c r="R175" s="6"/>
      <c r="S175" s="6"/>
      <c r="T175" s="6"/>
      <c r="U175" s="6"/>
      <c r="V175" s="9"/>
      <c r="W175" s="9"/>
      <c r="X175" s="6"/>
    </row>
    <row r="176" spans="1:24">
      <c r="A176" s="9"/>
      <c r="B176" s="9"/>
      <c r="C176" s="9"/>
      <c r="D176" s="9"/>
      <c r="E176" s="9"/>
      <c r="F176" s="6"/>
      <c r="G176" s="6"/>
      <c r="H176" s="9"/>
      <c r="I176" s="6"/>
      <c r="J176" s="6"/>
      <c r="K176" s="9"/>
      <c r="L176" s="6"/>
      <c r="M176" s="6"/>
      <c r="N176" s="9"/>
      <c r="O176" s="6"/>
      <c r="P176" s="6"/>
      <c r="Q176" s="9"/>
      <c r="R176" s="6"/>
      <c r="S176" s="6"/>
      <c r="T176" s="6"/>
      <c r="U176" s="6"/>
      <c r="V176" s="9"/>
      <c r="W176" s="9"/>
      <c r="X176" s="6"/>
    </row>
    <row r="177" spans="1:24">
      <c r="A177" s="9"/>
      <c r="B177" s="9"/>
      <c r="C177" s="9"/>
      <c r="D177" s="9"/>
      <c r="E177" s="9"/>
      <c r="F177" s="6"/>
      <c r="G177" s="6"/>
      <c r="H177" s="9"/>
      <c r="I177" s="6"/>
      <c r="J177" s="6"/>
      <c r="K177" s="9"/>
      <c r="L177" s="6"/>
      <c r="M177" s="6"/>
      <c r="N177" s="9"/>
      <c r="O177" s="6"/>
      <c r="P177" s="6"/>
      <c r="Q177" s="9"/>
      <c r="R177" s="6"/>
      <c r="S177" s="6"/>
      <c r="T177" s="6"/>
      <c r="U177" s="6"/>
      <c r="V177" s="9"/>
      <c r="W177" s="9"/>
      <c r="X177" s="6"/>
    </row>
    <row r="178" spans="1:24">
      <c r="A178" s="9"/>
      <c r="B178" s="9"/>
      <c r="C178" s="9"/>
      <c r="D178" s="9"/>
      <c r="E178" s="9"/>
      <c r="F178" s="6"/>
      <c r="G178" s="6"/>
      <c r="H178" s="9"/>
      <c r="I178" s="6"/>
      <c r="J178" s="6"/>
      <c r="K178" s="9"/>
      <c r="L178" s="6"/>
      <c r="M178" s="6"/>
      <c r="N178" s="9"/>
      <c r="O178" s="6"/>
      <c r="P178" s="6"/>
      <c r="Q178" s="9"/>
      <c r="R178" s="6"/>
      <c r="S178" s="6"/>
      <c r="T178" s="6"/>
      <c r="U178" s="6"/>
      <c r="V178" s="9"/>
      <c r="W178" s="9"/>
      <c r="X178" s="6"/>
    </row>
    <row r="179" spans="1:24">
      <c r="A179" s="9"/>
      <c r="B179" s="6"/>
      <c r="C179" s="9"/>
      <c r="D179" s="9"/>
      <c r="E179" s="9"/>
      <c r="F179" s="6"/>
      <c r="G179" s="6"/>
      <c r="H179" s="9"/>
      <c r="I179" s="6"/>
      <c r="J179" s="6"/>
      <c r="K179" s="9"/>
      <c r="L179" s="6"/>
      <c r="M179" s="6"/>
      <c r="N179" s="9"/>
      <c r="O179" s="6"/>
      <c r="P179" s="6"/>
      <c r="Q179" s="9"/>
      <c r="R179" s="6"/>
      <c r="S179" s="6"/>
      <c r="T179" s="6"/>
      <c r="U179" s="6"/>
      <c r="V179" s="9"/>
      <c r="W179" s="9"/>
      <c r="X179" s="6"/>
    </row>
    <row r="180" spans="1:24">
      <c r="A180" s="9"/>
      <c r="B180" s="6"/>
      <c r="C180" s="9"/>
      <c r="D180" s="9"/>
      <c r="E180" s="9"/>
      <c r="F180" s="6"/>
      <c r="G180" s="6"/>
      <c r="H180" s="9"/>
      <c r="I180" s="6"/>
      <c r="J180" s="6"/>
      <c r="K180" s="9"/>
      <c r="L180" s="6"/>
      <c r="M180" s="6"/>
      <c r="N180" s="9"/>
      <c r="O180" s="6"/>
      <c r="P180" s="6"/>
      <c r="Q180" s="9"/>
      <c r="R180" s="6"/>
      <c r="S180" s="6"/>
      <c r="T180" s="6"/>
      <c r="U180" s="6"/>
      <c r="V180" s="9"/>
      <c r="W180" s="9"/>
      <c r="X180" s="6"/>
    </row>
    <row r="181" spans="1:24">
      <c r="A181" s="9"/>
      <c r="B181" s="6"/>
      <c r="C181" s="9"/>
      <c r="D181" s="9"/>
      <c r="E181" s="9"/>
      <c r="F181" s="6"/>
      <c r="G181" s="6"/>
      <c r="H181" s="9"/>
      <c r="I181" s="6"/>
      <c r="J181" s="6"/>
      <c r="K181" s="9"/>
      <c r="L181" s="6"/>
      <c r="M181" s="6"/>
      <c r="N181" s="9"/>
      <c r="O181" s="6"/>
      <c r="P181" s="6"/>
      <c r="Q181" s="9"/>
      <c r="R181" s="6"/>
      <c r="S181" s="6"/>
      <c r="T181" s="6"/>
      <c r="U181" s="6"/>
      <c r="V181" s="9"/>
      <c r="W181" s="9"/>
      <c r="X181" s="6"/>
    </row>
    <row r="182" spans="1:24">
      <c r="A182" s="9"/>
      <c r="B182" s="6"/>
      <c r="C182" s="9"/>
      <c r="D182" s="9"/>
      <c r="E182" s="9"/>
      <c r="F182" s="6"/>
      <c r="G182" s="6"/>
      <c r="H182" s="9"/>
      <c r="I182" s="6"/>
      <c r="J182" s="6"/>
      <c r="K182" s="9"/>
      <c r="L182" s="6"/>
      <c r="M182" s="6"/>
      <c r="N182" s="9"/>
      <c r="O182" s="6"/>
      <c r="P182" s="6"/>
      <c r="Q182" s="9"/>
      <c r="R182" s="6"/>
      <c r="S182" s="6"/>
      <c r="T182" s="6"/>
      <c r="U182" s="6"/>
      <c r="V182" s="9"/>
      <c r="W182" s="9"/>
      <c r="X182" s="6"/>
    </row>
    <row r="183" spans="1:24">
      <c r="A183" s="9"/>
      <c r="B183" s="6"/>
      <c r="C183" s="9"/>
      <c r="D183" s="9"/>
      <c r="E183" s="9"/>
      <c r="F183" s="6"/>
      <c r="G183" s="6"/>
      <c r="H183" s="9"/>
      <c r="I183" s="6"/>
      <c r="J183" s="6"/>
      <c r="K183" s="9"/>
      <c r="L183" s="6"/>
      <c r="M183" s="6"/>
      <c r="N183" s="9"/>
      <c r="O183" s="6"/>
      <c r="P183" s="6"/>
      <c r="Q183" s="9"/>
      <c r="R183" s="6"/>
      <c r="S183" s="6"/>
      <c r="T183" s="6"/>
      <c r="U183" s="6"/>
      <c r="V183" s="9"/>
      <c r="W183" s="9"/>
      <c r="X183" s="6"/>
    </row>
    <row r="184" spans="1:24">
      <c r="A184" s="9"/>
      <c r="B184" s="6"/>
      <c r="C184" s="9"/>
      <c r="D184" s="9"/>
      <c r="E184" s="9"/>
      <c r="F184" s="6"/>
      <c r="G184" s="6"/>
      <c r="H184" s="9"/>
      <c r="I184" s="6"/>
      <c r="J184" s="6"/>
      <c r="K184" s="9"/>
      <c r="L184" s="6"/>
      <c r="M184" s="6"/>
      <c r="N184" s="9"/>
      <c r="O184" s="6"/>
      <c r="P184" s="6"/>
      <c r="Q184" s="9"/>
      <c r="R184" s="6"/>
      <c r="S184" s="6"/>
      <c r="T184" s="6"/>
      <c r="U184" s="6"/>
      <c r="V184" s="9"/>
      <c r="W184" s="9"/>
      <c r="X184" s="6"/>
    </row>
    <row r="185" spans="1:24">
      <c r="A185" s="9"/>
      <c r="B185" s="6"/>
      <c r="C185" s="9"/>
      <c r="D185" s="9"/>
      <c r="E185" s="9"/>
      <c r="F185" s="6"/>
      <c r="G185" s="6"/>
      <c r="H185" s="9"/>
      <c r="I185" s="6"/>
      <c r="J185" s="6"/>
      <c r="K185" s="9"/>
      <c r="L185" s="6"/>
      <c r="M185" s="6"/>
      <c r="N185" s="9"/>
      <c r="O185" s="6"/>
      <c r="P185" s="6"/>
      <c r="Q185" s="9"/>
      <c r="R185" s="6"/>
      <c r="S185" s="6"/>
      <c r="T185" s="6"/>
      <c r="U185" s="6"/>
      <c r="V185" s="9"/>
      <c r="W185" s="9"/>
      <c r="X185" s="6"/>
    </row>
    <row r="186" spans="1:24">
      <c r="A186" s="9"/>
      <c r="B186" s="6"/>
      <c r="C186" s="9"/>
      <c r="D186" s="9"/>
      <c r="E186" s="9"/>
      <c r="F186" s="6"/>
      <c r="G186" s="6"/>
      <c r="H186" s="9"/>
      <c r="I186" s="6"/>
      <c r="J186" s="6"/>
      <c r="K186" s="9"/>
      <c r="L186" s="6"/>
      <c r="M186" s="6"/>
      <c r="N186" s="9"/>
      <c r="O186" s="6"/>
      <c r="P186" s="6"/>
      <c r="Q186" s="9"/>
      <c r="R186" s="6"/>
      <c r="S186" s="6"/>
      <c r="T186" s="6"/>
      <c r="U186" s="6"/>
      <c r="V186" s="9"/>
      <c r="W186" s="9"/>
      <c r="X186" s="6"/>
    </row>
    <row r="187" spans="1:24">
      <c r="A187" s="9"/>
      <c r="B187" s="6"/>
      <c r="C187" s="9"/>
      <c r="D187" s="9"/>
      <c r="E187" s="9"/>
      <c r="F187" s="6"/>
      <c r="G187" s="6"/>
      <c r="H187" s="9"/>
      <c r="I187" s="6"/>
      <c r="J187" s="6"/>
      <c r="K187" s="9"/>
      <c r="L187" s="6"/>
      <c r="M187" s="6"/>
      <c r="N187" s="9"/>
      <c r="O187" s="6"/>
      <c r="P187" s="6"/>
      <c r="Q187" s="9"/>
      <c r="R187" s="6"/>
      <c r="S187" s="6"/>
      <c r="T187" s="6"/>
      <c r="U187" s="6"/>
      <c r="V187" s="9"/>
      <c r="W187" s="9"/>
      <c r="X187" s="6"/>
    </row>
    <row r="188" spans="1:24">
      <c r="A188" s="9"/>
      <c r="B188" s="6"/>
      <c r="C188" s="9"/>
      <c r="D188" s="9"/>
      <c r="E188" s="9"/>
      <c r="F188" s="6"/>
      <c r="G188" s="6"/>
      <c r="H188" s="9"/>
      <c r="I188" s="6"/>
      <c r="J188" s="6"/>
      <c r="K188" s="9"/>
      <c r="L188" s="6"/>
      <c r="M188" s="6"/>
      <c r="N188" s="9"/>
      <c r="O188" s="6"/>
      <c r="P188" s="6"/>
      <c r="Q188" s="9"/>
      <c r="R188" s="6"/>
      <c r="S188" s="6"/>
      <c r="T188" s="6"/>
      <c r="U188" s="6"/>
      <c r="V188" s="9"/>
      <c r="W188" s="9"/>
      <c r="X188" s="6"/>
    </row>
    <row r="189" spans="1:24">
      <c r="A189" s="9"/>
      <c r="B189" s="6"/>
      <c r="C189" s="9"/>
      <c r="D189" s="9"/>
      <c r="E189" s="9"/>
      <c r="F189" s="6"/>
      <c r="G189" s="6"/>
      <c r="H189" s="9"/>
      <c r="I189" s="6"/>
      <c r="J189" s="6"/>
      <c r="K189" s="9"/>
      <c r="L189" s="6"/>
      <c r="M189" s="6"/>
      <c r="N189" s="9"/>
      <c r="O189" s="6"/>
      <c r="P189" s="6"/>
      <c r="Q189" s="9"/>
      <c r="R189" s="6"/>
      <c r="S189" s="6"/>
      <c r="T189" s="6"/>
      <c r="U189" s="6"/>
      <c r="V189" s="9"/>
      <c r="W189" s="9"/>
      <c r="X189" s="6"/>
    </row>
    <row r="190" spans="1:24">
      <c r="A190" s="9"/>
      <c r="B190" s="6"/>
      <c r="C190" s="9"/>
      <c r="D190" s="9"/>
      <c r="E190" s="9"/>
      <c r="F190" s="6"/>
      <c r="G190" s="6"/>
      <c r="H190" s="9"/>
      <c r="I190" s="6"/>
      <c r="J190" s="6"/>
      <c r="K190" s="9"/>
      <c r="L190" s="6"/>
      <c r="M190" s="6"/>
      <c r="N190" s="9"/>
      <c r="O190" s="6"/>
      <c r="P190" s="6"/>
      <c r="Q190" s="9"/>
      <c r="R190" s="6"/>
      <c r="S190" s="6"/>
      <c r="T190" s="6"/>
      <c r="U190" s="6"/>
      <c r="V190" s="9"/>
      <c r="W190" s="9"/>
      <c r="X190" s="6"/>
    </row>
    <row r="191" spans="1:24">
      <c r="A191" s="9"/>
      <c r="B191" s="6"/>
      <c r="C191" s="9"/>
      <c r="D191" s="9"/>
      <c r="E191" s="9"/>
      <c r="F191" s="6"/>
      <c r="G191" s="6"/>
      <c r="H191" s="9"/>
      <c r="I191" s="6"/>
      <c r="J191" s="6"/>
      <c r="K191" s="9"/>
      <c r="L191" s="6"/>
      <c r="M191" s="6"/>
      <c r="N191" s="9"/>
      <c r="O191" s="6"/>
      <c r="P191" s="6"/>
      <c r="Q191" s="9"/>
      <c r="R191" s="6"/>
      <c r="S191" s="6"/>
      <c r="T191" s="6"/>
      <c r="U191" s="6"/>
      <c r="V191" s="9"/>
      <c r="W191" s="9"/>
      <c r="X191" s="6"/>
    </row>
    <row r="192" spans="1:24">
      <c r="A192" s="9"/>
      <c r="B192" s="6"/>
      <c r="C192" s="9"/>
      <c r="D192" s="9"/>
      <c r="E192" s="9"/>
      <c r="F192" s="6"/>
      <c r="G192" s="6"/>
      <c r="H192" s="9"/>
      <c r="I192" s="6"/>
      <c r="J192" s="6"/>
      <c r="K192" s="9"/>
      <c r="L192" s="6"/>
      <c r="M192" s="6"/>
      <c r="N192" s="9"/>
      <c r="O192" s="6"/>
      <c r="P192" s="6"/>
      <c r="Q192" s="9"/>
      <c r="R192" s="6"/>
      <c r="S192" s="6"/>
      <c r="T192" s="6"/>
      <c r="U192" s="6"/>
      <c r="V192" s="9"/>
      <c r="W192" s="9"/>
      <c r="X192" s="6"/>
    </row>
    <row r="193" spans="1:24">
      <c r="A193" s="9"/>
      <c r="B193" s="6"/>
      <c r="C193" s="9"/>
      <c r="D193" s="9"/>
      <c r="E193" s="9"/>
      <c r="F193" s="6"/>
      <c r="G193" s="6"/>
      <c r="H193" s="9"/>
      <c r="I193" s="6"/>
      <c r="J193" s="6"/>
      <c r="K193" s="9"/>
      <c r="L193" s="6"/>
      <c r="M193" s="6"/>
      <c r="N193" s="9"/>
      <c r="O193" s="6"/>
      <c r="P193" s="6"/>
      <c r="Q193" s="9"/>
      <c r="R193" s="6"/>
      <c r="S193" s="6"/>
      <c r="T193" s="6"/>
      <c r="U193" s="6"/>
      <c r="V193" s="9"/>
      <c r="W193" s="9"/>
      <c r="X193" s="6"/>
    </row>
    <row r="194" spans="1:24">
      <c r="A194" s="9"/>
      <c r="B194" s="6"/>
      <c r="C194" s="9"/>
      <c r="D194" s="9"/>
      <c r="E194" s="9"/>
      <c r="F194" s="6"/>
      <c r="G194" s="6"/>
      <c r="H194" s="9"/>
      <c r="I194" s="6"/>
      <c r="J194" s="6"/>
      <c r="K194" s="9"/>
      <c r="L194" s="6"/>
      <c r="M194" s="6"/>
      <c r="N194" s="9"/>
      <c r="O194" s="6"/>
      <c r="P194" s="6"/>
      <c r="Q194" s="9"/>
      <c r="R194" s="6"/>
      <c r="S194" s="6"/>
      <c r="T194" s="6"/>
      <c r="U194" s="6"/>
      <c r="V194" s="9"/>
      <c r="W194" s="9"/>
      <c r="X194" s="6"/>
    </row>
    <row r="195" spans="1:24">
      <c r="A195" s="9"/>
      <c r="B195" s="6"/>
      <c r="C195" s="9"/>
      <c r="D195" s="9"/>
      <c r="E195" s="9"/>
      <c r="F195" s="6"/>
      <c r="G195" s="6"/>
      <c r="H195" s="9"/>
      <c r="I195" s="6"/>
      <c r="J195" s="6"/>
      <c r="K195" s="9"/>
      <c r="L195" s="6"/>
      <c r="M195" s="6"/>
      <c r="N195" s="9"/>
      <c r="O195" s="6"/>
      <c r="P195" s="6"/>
      <c r="Q195" s="9"/>
      <c r="R195" s="6"/>
      <c r="S195" s="6"/>
      <c r="T195" s="6"/>
      <c r="U195" s="6"/>
      <c r="V195" s="9"/>
      <c r="W195" s="9"/>
      <c r="X195" s="6"/>
    </row>
    <row r="196" spans="1:24">
      <c r="A196" s="9"/>
      <c r="B196" s="6"/>
      <c r="C196" s="9"/>
      <c r="D196" s="9"/>
      <c r="E196" s="9"/>
      <c r="F196" s="6"/>
      <c r="G196" s="6"/>
      <c r="H196" s="9"/>
      <c r="I196" s="6"/>
      <c r="J196" s="6"/>
      <c r="K196" s="9"/>
      <c r="L196" s="6"/>
      <c r="M196" s="6"/>
      <c r="N196" s="9"/>
      <c r="O196" s="6"/>
      <c r="P196" s="6"/>
      <c r="Q196" s="9"/>
      <c r="R196" s="6"/>
      <c r="S196" s="6"/>
      <c r="T196" s="6"/>
      <c r="U196" s="6"/>
      <c r="V196" s="9"/>
      <c r="W196" s="9"/>
      <c r="X196" s="6"/>
    </row>
    <row r="197" spans="1:24">
      <c r="A197" s="9"/>
      <c r="B197" s="6"/>
      <c r="C197" s="9"/>
      <c r="D197" s="9"/>
      <c r="E197" s="9"/>
      <c r="F197" s="6"/>
      <c r="G197" s="6"/>
      <c r="H197" s="9"/>
      <c r="I197" s="6"/>
      <c r="J197" s="6"/>
      <c r="K197" s="9"/>
      <c r="L197" s="6"/>
      <c r="M197" s="6"/>
      <c r="N197" s="9"/>
      <c r="O197" s="6"/>
      <c r="P197" s="6"/>
      <c r="Q197" s="9"/>
      <c r="R197" s="6"/>
      <c r="S197" s="6"/>
      <c r="T197" s="6"/>
      <c r="U197" s="6"/>
      <c r="V197" s="9"/>
      <c r="W197" s="9"/>
      <c r="X197" s="6"/>
    </row>
    <row r="198" spans="1:24">
      <c r="A198" s="9"/>
      <c r="B198" s="6"/>
      <c r="C198" s="9"/>
      <c r="D198" s="9"/>
      <c r="E198" s="9"/>
      <c r="F198" s="6"/>
      <c r="G198" s="6"/>
      <c r="H198" s="9"/>
      <c r="I198" s="6"/>
      <c r="J198" s="6"/>
      <c r="K198" s="9"/>
      <c r="L198" s="6"/>
      <c r="M198" s="6"/>
      <c r="N198" s="9"/>
      <c r="O198" s="6"/>
      <c r="P198" s="6"/>
      <c r="Q198" s="9"/>
      <c r="R198" s="6"/>
      <c r="S198" s="6"/>
      <c r="T198" s="6"/>
      <c r="U198" s="6"/>
      <c r="V198" s="9"/>
      <c r="W198" s="9"/>
      <c r="X198" s="6"/>
    </row>
    <row r="199" spans="1:24">
      <c r="A199" s="9"/>
      <c r="B199" s="6"/>
      <c r="C199" s="9"/>
      <c r="D199" s="9"/>
      <c r="E199" s="9"/>
      <c r="F199" s="6"/>
      <c r="G199" s="6"/>
      <c r="H199" s="9"/>
      <c r="I199" s="6"/>
      <c r="J199" s="6"/>
      <c r="K199" s="9"/>
      <c r="L199" s="6"/>
      <c r="M199" s="6"/>
      <c r="N199" s="9"/>
      <c r="O199" s="6"/>
      <c r="P199" s="6"/>
      <c r="Q199" s="9"/>
      <c r="R199" s="6"/>
      <c r="S199" s="6"/>
      <c r="T199" s="6"/>
      <c r="U199" s="6"/>
      <c r="V199" s="9"/>
      <c r="W199" s="9"/>
      <c r="X199" s="6"/>
    </row>
    <row r="200" spans="1:24">
      <c r="A200" s="9"/>
      <c r="B200" s="6"/>
      <c r="C200" s="9"/>
      <c r="D200" s="9"/>
      <c r="E200" s="9"/>
      <c r="F200" s="6"/>
      <c r="G200" s="6"/>
      <c r="H200" s="9"/>
      <c r="I200" s="6"/>
      <c r="J200" s="6"/>
      <c r="K200" s="9"/>
      <c r="L200" s="6"/>
      <c r="M200" s="6"/>
      <c r="N200" s="9"/>
      <c r="O200" s="6"/>
      <c r="P200" s="6"/>
      <c r="Q200" s="9"/>
      <c r="R200" s="6"/>
      <c r="S200" s="6"/>
      <c r="T200" s="6"/>
      <c r="U200" s="6"/>
      <c r="V200" s="9"/>
      <c r="W200" s="9"/>
      <c r="X200" s="6"/>
    </row>
    <row r="201" spans="1:24">
      <c r="A201" s="9"/>
      <c r="B201" s="6"/>
      <c r="C201" s="9"/>
      <c r="D201" s="9"/>
      <c r="E201" s="9"/>
      <c r="F201" s="6"/>
      <c r="G201" s="6"/>
      <c r="H201" s="9"/>
      <c r="I201" s="6"/>
      <c r="J201" s="6"/>
      <c r="K201" s="9"/>
      <c r="L201" s="6"/>
      <c r="M201" s="6"/>
      <c r="N201" s="9"/>
      <c r="O201" s="6"/>
      <c r="P201" s="6"/>
      <c r="Q201" s="9"/>
      <c r="R201" s="6"/>
      <c r="S201" s="6"/>
      <c r="T201" s="6"/>
      <c r="U201" s="6"/>
      <c r="V201" s="9"/>
      <c r="W201" s="9"/>
      <c r="X201" s="6"/>
    </row>
    <row r="202" spans="1:24">
      <c r="A202" s="9"/>
      <c r="B202" s="6"/>
      <c r="C202" s="9"/>
      <c r="D202" s="9"/>
      <c r="E202" s="9"/>
      <c r="F202" s="6"/>
      <c r="G202" s="6"/>
      <c r="H202" s="9"/>
      <c r="I202" s="6"/>
      <c r="J202" s="6"/>
      <c r="K202" s="9"/>
      <c r="L202" s="6"/>
      <c r="M202" s="6"/>
      <c r="N202" s="9"/>
      <c r="O202" s="6"/>
      <c r="P202" s="6"/>
      <c r="Q202" s="9"/>
      <c r="R202" s="6"/>
      <c r="S202" s="6"/>
      <c r="T202" s="6"/>
      <c r="U202" s="6"/>
      <c r="V202" s="9"/>
      <c r="W202" s="9"/>
      <c r="X202" s="6"/>
    </row>
    <row r="203" spans="1:24">
      <c r="A203" s="9"/>
      <c r="B203" s="6"/>
      <c r="C203" s="9"/>
      <c r="D203" s="9"/>
      <c r="E203" s="9"/>
      <c r="F203" s="6"/>
      <c r="G203" s="6"/>
      <c r="H203" s="9"/>
      <c r="I203" s="6"/>
      <c r="J203" s="6"/>
      <c r="K203" s="9"/>
      <c r="L203" s="6"/>
      <c r="M203" s="6"/>
      <c r="N203" s="9"/>
      <c r="O203" s="6"/>
      <c r="P203" s="6"/>
      <c r="Q203" s="9"/>
      <c r="R203" s="6"/>
      <c r="S203" s="6"/>
      <c r="T203" s="6"/>
      <c r="U203" s="6"/>
      <c r="V203" s="9"/>
      <c r="W203" s="9"/>
      <c r="X203" s="6"/>
    </row>
    <row r="204" spans="1:24">
      <c r="A204" s="9"/>
      <c r="B204" s="6"/>
      <c r="C204" s="9"/>
      <c r="D204" s="9"/>
      <c r="E204" s="9"/>
      <c r="F204" s="6"/>
      <c r="G204" s="6"/>
      <c r="H204" s="9"/>
      <c r="I204" s="6"/>
      <c r="J204" s="6"/>
      <c r="K204" s="9"/>
      <c r="L204" s="6"/>
      <c r="M204" s="6"/>
      <c r="N204" s="9"/>
      <c r="O204" s="6"/>
      <c r="P204" s="6"/>
      <c r="Q204" s="9"/>
      <c r="R204" s="6"/>
      <c r="S204" s="6"/>
      <c r="T204" s="6"/>
      <c r="U204" s="6"/>
      <c r="V204" s="9"/>
      <c r="W204" s="9"/>
      <c r="X204" s="6"/>
    </row>
    <row r="205" spans="1:24">
      <c r="A205" s="9"/>
      <c r="B205" s="6"/>
      <c r="C205" s="9"/>
      <c r="D205" s="9"/>
      <c r="E205" s="9"/>
      <c r="F205" s="6"/>
      <c r="G205" s="6"/>
      <c r="H205" s="9"/>
      <c r="I205" s="6"/>
      <c r="J205" s="6"/>
      <c r="K205" s="9"/>
      <c r="L205" s="6"/>
      <c r="M205" s="6"/>
      <c r="N205" s="9"/>
      <c r="O205" s="6"/>
      <c r="P205" s="6"/>
      <c r="Q205" s="9"/>
      <c r="R205" s="6"/>
      <c r="S205" s="6"/>
      <c r="T205" s="6"/>
      <c r="U205" s="6"/>
      <c r="V205" s="9"/>
      <c r="W205" s="9"/>
      <c r="X205" s="6"/>
    </row>
    <row r="206" spans="1:24">
      <c r="A206" s="9"/>
      <c r="B206" s="6"/>
      <c r="C206" s="9"/>
      <c r="D206" s="9"/>
      <c r="E206" s="9"/>
      <c r="F206" s="6"/>
      <c r="G206" s="6"/>
      <c r="H206" s="9"/>
      <c r="I206" s="6"/>
      <c r="J206" s="6"/>
      <c r="K206" s="9"/>
      <c r="L206" s="6"/>
      <c r="M206" s="6"/>
      <c r="N206" s="9"/>
      <c r="O206" s="6"/>
      <c r="P206" s="6"/>
      <c r="Q206" s="9"/>
      <c r="R206" s="6"/>
      <c r="S206" s="6"/>
      <c r="T206" s="6"/>
      <c r="U206" s="6"/>
      <c r="V206" s="9"/>
      <c r="W206" s="9"/>
      <c r="X206" s="6"/>
    </row>
    <row r="207" spans="1:24">
      <c r="A207" s="9"/>
      <c r="B207" s="6"/>
      <c r="C207" s="9"/>
      <c r="D207" s="9"/>
      <c r="E207" s="9"/>
      <c r="F207" s="6"/>
      <c r="G207" s="6"/>
      <c r="H207" s="9"/>
      <c r="I207" s="6"/>
      <c r="J207" s="6"/>
      <c r="K207" s="9"/>
      <c r="L207" s="6"/>
      <c r="M207" s="6"/>
      <c r="N207" s="9"/>
      <c r="O207" s="6"/>
      <c r="P207" s="6"/>
      <c r="Q207" s="9"/>
      <c r="R207" s="6"/>
      <c r="S207" s="6"/>
      <c r="T207" s="6"/>
      <c r="U207" s="6"/>
      <c r="V207" s="9"/>
      <c r="W207" s="9"/>
      <c r="X207" s="6"/>
    </row>
    <row r="208" spans="1:24">
      <c r="A208" s="9"/>
      <c r="B208" s="6"/>
      <c r="C208" s="9"/>
      <c r="D208" s="9"/>
      <c r="E208" s="9"/>
      <c r="F208" s="6"/>
      <c r="G208" s="6"/>
      <c r="H208" s="9"/>
      <c r="I208" s="6"/>
      <c r="J208" s="6"/>
      <c r="K208" s="9"/>
      <c r="L208" s="6"/>
      <c r="M208" s="6"/>
      <c r="N208" s="9"/>
      <c r="O208" s="6"/>
      <c r="P208" s="6"/>
      <c r="Q208" s="9"/>
      <c r="R208" s="6"/>
      <c r="S208" s="6"/>
      <c r="T208" s="6"/>
      <c r="U208" s="6"/>
      <c r="V208" s="9"/>
      <c r="W208" s="9"/>
      <c r="X208" s="6"/>
    </row>
    <row r="209" spans="1:24">
      <c r="A209" s="9"/>
      <c r="B209" s="6"/>
      <c r="C209" s="9"/>
      <c r="D209" s="9"/>
      <c r="E209" s="9"/>
      <c r="F209" s="6"/>
      <c r="G209" s="6"/>
      <c r="H209" s="9"/>
      <c r="I209" s="6"/>
      <c r="J209" s="6"/>
      <c r="K209" s="9"/>
      <c r="L209" s="6"/>
      <c r="M209" s="6"/>
      <c r="N209" s="9"/>
      <c r="O209" s="6"/>
      <c r="P209" s="6"/>
      <c r="Q209" s="9"/>
      <c r="R209" s="6"/>
      <c r="S209" s="6"/>
      <c r="T209" s="6"/>
      <c r="U209" s="6"/>
      <c r="V209" s="9"/>
      <c r="W209" s="9"/>
      <c r="X209" s="6"/>
    </row>
    <row r="210" spans="1:24">
      <c r="A210" s="9"/>
      <c r="B210" s="6"/>
      <c r="C210" s="9"/>
      <c r="D210" s="9"/>
      <c r="E210" s="9"/>
      <c r="F210" s="6"/>
      <c r="G210" s="6"/>
      <c r="H210" s="9"/>
      <c r="I210" s="6"/>
      <c r="J210" s="6"/>
      <c r="K210" s="9"/>
      <c r="L210" s="6"/>
      <c r="M210" s="6"/>
      <c r="N210" s="9"/>
      <c r="O210" s="6"/>
      <c r="P210" s="6"/>
      <c r="Q210" s="9"/>
      <c r="R210" s="6"/>
      <c r="S210" s="6"/>
      <c r="T210" s="6"/>
      <c r="U210" s="6"/>
      <c r="V210" s="9"/>
      <c r="W210" s="9"/>
      <c r="X210" s="6"/>
    </row>
    <row r="211" spans="1:24">
      <c r="A211" s="9"/>
      <c r="B211" s="6"/>
      <c r="C211" s="9"/>
      <c r="D211" s="9"/>
      <c r="E211" s="9"/>
      <c r="F211" s="6"/>
      <c r="G211" s="6"/>
      <c r="H211" s="9"/>
      <c r="I211" s="6"/>
      <c r="J211" s="6"/>
      <c r="K211" s="9"/>
      <c r="L211" s="6"/>
      <c r="M211" s="6"/>
      <c r="N211" s="9"/>
      <c r="O211" s="6"/>
      <c r="P211" s="6"/>
      <c r="Q211" s="9"/>
      <c r="R211" s="6"/>
      <c r="S211" s="6"/>
      <c r="T211" s="6"/>
      <c r="U211" s="6"/>
      <c r="V211" s="9"/>
      <c r="W211" s="9"/>
      <c r="X211" s="6"/>
    </row>
    <row r="212" spans="1:24">
      <c r="A212" s="9"/>
      <c r="B212" s="6"/>
      <c r="C212" s="9"/>
      <c r="D212" s="9"/>
      <c r="E212" s="9"/>
      <c r="F212" s="6"/>
      <c r="G212" s="6"/>
      <c r="H212" s="9"/>
      <c r="I212" s="6"/>
      <c r="J212" s="6"/>
      <c r="K212" s="9"/>
      <c r="L212" s="6"/>
      <c r="M212" s="6"/>
      <c r="N212" s="9"/>
      <c r="O212" s="6"/>
      <c r="P212" s="6"/>
      <c r="Q212" s="9"/>
      <c r="R212" s="6"/>
      <c r="S212" s="6"/>
      <c r="T212" s="6"/>
      <c r="U212" s="6"/>
      <c r="V212" s="9"/>
      <c r="W212" s="9"/>
      <c r="X212" s="6"/>
    </row>
    <row r="213" spans="1:24">
      <c r="A213" s="9"/>
      <c r="B213" s="6"/>
      <c r="C213" s="9"/>
      <c r="D213" s="9"/>
      <c r="E213" s="9"/>
      <c r="F213" s="6"/>
      <c r="G213" s="6"/>
      <c r="H213" s="9"/>
      <c r="I213" s="6"/>
      <c r="J213" s="6"/>
      <c r="K213" s="9"/>
      <c r="L213" s="6"/>
      <c r="M213" s="6"/>
      <c r="N213" s="9"/>
      <c r="O213" s="6"/>
      <c r="P213" s="6"/>
      <c r="Q213" s="9"/>
      <c r="R213" s="6"/>
      <c r="S213" s="6"/>
      <c r="T213" s="6"/>
      <c r="U213" s="6"/>
      <c r="V213" s="9"/>
      <c r="W213" s="9"/>
      <c r="X213" s="6"/>
    </row>
    <row r="214" spans="1:24">
      <c r="A214" s="9"/>
      <c r="B214" s="6"/>
      <c r="C214" s="9"/>
      <c r="D214" s="9"/>
      <c r="E214" s="9"/>
      <c r="F214" s="6"/>
      <c r="G214" s="6"/>
      <c r="H214" s="9"/>
      <c r="I214" s="6"/>
      <c r="J214" s="6"/>
      <c r="K214" s="9"/>
      <c r="L214" s="6"/>
      <c r="M214" s="6"/>
      <c r="N214" s="9"/>
      <c r="O214" s="6"/>
      <c r="P214" s="6"/>
      <c r="Q214" s="9"/>
      <c r="R214" s="6"/>
      <c r="S214" s="6"/>
      <c r="T214" s="6"/>
      <c r="U214" s="6"/>
      <c r="V214" s="9"/>
      <c r="W214" s="9"/>
      <c r="X214" s="6"/>
    </row>
    <row r="215" spans="1:24">
      <c r="A215" s="9"/>
      <c r="B215" s="6"/>
      <c r="C215" s="9"/>
      <c r="D215" s="9"/>
      <c r="E215" s="9"/>
      <c r="F215" s="6"/>
      <c r="G215" s="6"/>
      <c r="H215" s="9"/>
      <c r="I215" s="6"/>
      <c r="J215" s="6"/>
      <c r="K215" s="9"/>
      <c r="L215" s="6"/>
      <c r="M215" s="6"/>
      <c r="N215" s="9"/>
      <c r="O215" s="6"/>
      <c r="P215" s="6"/>
      <c r="Q215" s="9"/>
      <c r="R215" s="6"/>
      <c r="S215" s="6"/>
      <c r="T215" s="6"/>
      <c r="U215" s="6"/>
      <c r="V215" s="9"/>
      <c r="W215" s="9"/>
      <c r="X215" s="6"/>
    </row>
    <row r="216" spans="1:24">
      <c r="A216" s="9"/>
      <c r="B216" s="6"/>
      <c r="C216" s="9"/>
      <c r="D216" s="9"/>
      <c r="E216" s="9"/>
      <c r="F216" s="6"/>
      <c r="G216" s="6"/>
      <c r="H216" s="9"/>
      <c r="I216" s="6"/>
      <c r="J216" s="6"/>
      <c r="K216" s="9"/>
      <c r="L216" s="6"/>
      <c r="M216" s="6"/>
      <c r="N216" s="9"/>
      <c r="O216" s="6"/>
      <c r="P216" s="6"/>
      <c r="Q216" s="9"/>
      <c r="R216" s="6"/>
      <c r="S216" s="6"/>
      <c r="T216" s="6"/>
      <c r="U216" s="6"/>
      <c r="V216" s="9"/>
      <c r="W216" s="9"/>
      <c r="X216" s="6"/>
    </row>
    <row r="217" spans="1:24">
      <c r="A217" s="9"/>
      <c r="B217" s="6"/>
      <c r="C217" s="9"/>
      <c r="D217" s="9"/>
      <c r="E217" s="9"/>
      <c r="F217" s="6"/>
      <c r="G217" s="6"/>
      <c r="H217" s="9"/>
      <c r="I217" s="6"/>
      <c r="J217" s="6"/>
      <c r="K217" s="9"/>
      <c r="L217" s="6"/>
      <c r="M217" s="6"/>
      <c r="N217" s="9"/>
      <c r="O217" s="6"/>
      <c r="P217" s="6"/>
      <c r="Q217" s="9"/>
      <c r="R217" s="6"/>
      <c r="S217" s="6"/>
      <c r="T217" s="6"/>
      <c r="U217" s="6"/>
      <c r="V217" s="9"/>
      <c r="W217" s="9"/>
      <c r="X217" s="6"/>
    </row>
    <row r="218" spans="1:24">
      <c r="A218" s="9"/>
      <c r="B218" s="6"/>
      <c r="C218" s="9"/>
      <c r="D218" s="9"/>
      <c r="E218" s="9"/>
      <c r="F218" s="6"/>
      <c r="G218" s="6"/>
      <c r="H218" s="9"/>
      <c r="I218" s="6"/>
      <c r="J218" s="6"/>
      <c r="K218" s="9"/>
      <c r="L218" s="6"/>
      <c r="M218" s="6"/>
      <c r="N218" s="9"/>
      <c r="O218" s="6"/>
      <c r="P218" s="6"/>
      <c r="Q218" s="9"/>
      <c r="R218" s="6"/>
      <c r="S218" s="6"/>
      <c r="T218" s="6"/>
      <c r="U218" s="6"/>
      <c r="V218" s="9"/>
      <c r="W218" s="9"/>
      <c r="X218" s="6"/>
    </row>
    <row r="219" spans="1:24">
      <c r="A219" s="9"/>
      <c r="B219" s="6"/>
      <c r="C219" s="9"/>
      <c r="D219" s="9"/>
      <c r="E219" s="9"/>
      <c r="F219" s="6"/>
      <c r="G219" s="6"/>
      <c r="H219" s="9"/>
      <c r="I219" s="6"/>
      <c r="J219" s="6"/>
      <c r="K219" s="9"/>
      <c r="L219" s="6"/>
      <c r="M219" s="6"/>
      <c r="N219" s="9"/>
      <c r="O219" s="6"/>
      <c r="P219" s="6"/>
      <c r="Q219" s="9"/>
      <c r="R219" s="6"/>
      <c r="S219" s="6"/>
      <c r="T219" s="6"/>
      <c r="U219" s="6"/>
      <c r="V219" s="9"/>
      <c r="W219" s="9"/>
      <c r="X219" s="6"/>
    </row>
    <row r="220" spans="1:24">
      <c r="A220" s="9"/>
      <c r="B220" s="6"/>
      <c r="C220" s="9"/>
      <c r="D220" s="9"/>
      <c r="E220" s="9"/>
      <c r="F220" s="6"/>
      <c r="G220" s="6"/>
      <c r="H220" s="9"/>
      <c r="I220" s="6"/>
      <c r="J220" s="6"/>
      <c r="K220" s="9"/>
      <c r="L220" s="6"/>
      <c r="M220" s="6"/>
      <c r="N220" s="9"/>
      <c r="O220" s="6"/>
      <c r="P220" s="6"/>
      <c r="Q220" s="9"/>
      <c r="R220" s="6"/>
      <c r="S220" s="6"/>
      <c r="T220" s="6"/>
      <c r="U220" s="6"/>
      <c r="V220" s="9"/>
      <c r="W220" s="9"/>
      <c r="X220" s="6"/>
    </row>
    <row r="221" spans="1:24">
      <c r="A221" s="9"/>
      <c r="B221" s="6"/>
      <c r="C221" s="9"/>
      <c r="D221" s="9"/>
      <c r="E221" s="9"/>
      <c r="F221" s="6"/>
      <c r="G221" s="6"/>
      <c r="H221" s="9"/>
      <c r="I221" s="6"/>
      <c r="J221" s="6"/>
      <c r="K221" s="9"/>
      <c r="L221" s="6"/>
      <c r="M221" s="6"/>
      <c r="N221" s="9"/>
      <c r="O221" s="6"/>
      <c r="P221" s="6"/>
      <c r="Q221" s="9"/>
      <c r="R221" s="6"/>
      <c r="S221" s="6"/>
      <c r="T221" s="6"/>
      <c r="U221" s="6"/>
      <c r="V221" s="9"/>
      <c r="W221" s="9"/>
      <c r="X221" s="6"/>
    </row>
    <row r="222" spans="1:24">
      <c r="A222" s="9"/>
      <c r="B222" s="6"/>
      <c r="C222" s="9"/>
      <c r="D222" s="9"/>
      <c r="E222" s="9"/>
      <c r="F222" s="6"/>
      <c r="G222" s="6"/>
      <c r="H222" s="9"/>
      <c r="I222" s="6"/>
      <c r="J222" s="6"/>
      <c r="K222" s="9"/>
      <c r="L222" s="6"/>
      <c r="M222" s="6"/>
      <c r="N222" s="9"/>
      <c r="O222" s="6"/>
      <c r="P222" s="6"/>
      <c r="Q222" s="9"/>
      <c r="R222" s="6"/>
      <c r="S222" s="6"/>
      <c r="T222" s="6"/>
      <c r="U222" s="6"/>
      <c r="V222" s="9"/>
      <c r="W222" s="9"/>
      <c r="X222" s="6"/>
    </row>
    <row r="223" spans="1:24">
      <c r="A223" s="9"/>
      <c r="B223" s="6"/>
      <c r="C223" s="9"/>
      <c r="D223" s="9"/>
      <c r="E223" s="9"/>
      <c r="F223" s="6"/>
      <c r="G223" s="6"/>
      <c r="H223" s="9"/>
      <c r="I223" s="6"/>
      <c r="J223" s="6"/>
      <c r="K223" s="9"/>
      <c r="L223" s="6"/>
      <c r="M223" s="6"/>
      <c r="N223" s="9"/>
      <c r="O223" s="6"/>
      <c r="P223" s="6"/>
      <c r="Q223" s="9"/>
      <c r="R223" s="6"/>
      <c r="S223" s="6"/>
      <c r="T223" s="6"/>
      <c r="U223" s="6"/>
      <c r="V223" s="9"/>
      <c r="W223" s="9"/>
      <c r="X223" s="6"/>
    </row>
    <row r="224" spans="1:24">
      <c r="A224" s="9"/>
      <c r="B224" s="6"/>
      <c r="C224" s="9"/>
      <c r="D224" s="9"/>
      <c r="E224" s="9"/>
      <c r="F224" s="6"/>
      <c r="G224" s="6"/>
      <c r="H224" s="9"/>
      <c r="I224" s="6"/>
      <c r="J224" s="6"/>
      <c r="K224" s="9"/>
      <c r="L224" s="6"/>
      <c r="M224" s="6"/>
      <c r="N224" s="9"/>
      <c r="O224" s="6"/>
      <c r="P224" s="6"/>
      <c r="Q224" s="9"/>
      <c r="R224" s="6"/>
      <c r="S224" s="6"/>
      <c r="T224" s="6"/>
      <c r="U224" s="6"/>
      <c r="V224" s="9"/>
      <c r="W224" s="9"/>
      <c r="X224" s="6"/>
    </row>
    <row r="225" spans="1:24">
      <c r="A225" s="9"/>
      <c r="B225" s="6"/>
      <c r="C225" s="9"/>
      <c r="D225" s="9"/>
      <c r="E225" s="9"/>
      <c r="F225" s="6"/>
      <c r="G225" s="6"/>
      <c r="H225" s="9"/>
      <c r="I225" s="6"/>
      <c r="J225" s="6"/>
      <c r="K225" s="9"/>
      <c r="L225" s="6"/>
      <c r="M225" s="6"/>
      <c r="N225" s="9"/>
      <c r="O225" s="6"/>
      <c r="P225" s="6"/>
      <c r="Q225" s="9"/>
      <c r="R225" s="6"/>
      <c r="S225" s="6"/>
      <c r="T225" s="6"/>
      <c r="U225" s="6"/>
      <c r="V225" s="9"/>
      <c r="W225" s="9"/>
      <c r="X225" s="6"/>
    </row>
    <row r="226" spans="1:24">
      <c r="A226" s="9"/>
      <c r="B226" s="6"/>
      <c r="C226" s="9"/>
      <c r="D226" s="9"/>
      <c r="E226" s="9"/>
      <c r="F226" s="6"/>
      <c r="G226" s="6"/>
      <c r="H226" s="9"/>
      <c r="I226" s="6"/>
      <c r="J226" s="6"/>
      <c r="K226" s="9"/>
      <c r="L226" s="6"/>
      <c r="M226" s="6"/>
      <c r="N226" s="9"/>
      <c r="O226" s="6"/>
      <c r="P226" s="6"/>
      <c r="Q226" s="9"/>
      <c r="R226" s="6"/>
      <c r="S226" s="6"/>
      <c r="T226" s="6"/>
      <c r="U226" s="6"/>
      <c r="V226" s="9"/>
      <c r="W226" s="9"/>
      <c r="X226" s="6"/>
    </row>
    <row r="227" spans="1:24">
      <c r="A227" s="9"/>
      <c r="B227" s="6"/>
      <c r="C227" s="9"/>
      <c r="D227" s="9"/>
      <c r="E227" s="9"/>
      <c r="F227" s="6"/>
      <c r="G227" s="6"/>
      <c r="H227" s="9"/>
      <c r="I227" s="6"/>
      <c r="J227" s="6"/>
      <c r="K227" s="9"/>
      <c r="L227" s="6"/>
      <c r="M227" s="6"/>
      <c r="N227" s="9"/>
      <c r="O227" s="6"/>
      <c r="P227" s="6"/>
      <c r="Q227" s="9"/>
      <c r="R227" s="6"/>
      <c r="S227" s="6"/>
      <c r="T227" s="6"/>
      <c r="U227" s="6"/>
      <c r="V227" s="9"/>
      <c r="W227" s="9"/>
      <c r="X227" s="6"/>
    </row>
    <row r="228" spans="1:24">
      <c r="A228" s="9"/>
      <c r="B228" s="6"/>
      <c r="C228" s="9"/>
      <c r="D228" s="9"/>
      <c r="E228" s="9"/>
      <c r="F228" s="6"/>
      <c r="G228" s="6"/>
      <c r="H228" s="9"/>
      <c r="I228" s="6"/>
      <c r="J228" s="6"/>
      <c r="K228" s="9"/>
      <c r="L228" s="6"/>
      <c r="M228" s="6"/>
      <c r="N228" s="9"/>
      <c r="O228" s="6"/>
      <c r="P228" s="6"/>
      <c r="Q228" s="9"/>
      <c r="R228" s="6"/>
      <c r="S228" s="6"/>
      <c r="T228" s="6"/>
      <c r="U228" s="6"/>
      <c r="V228" s="9"/>
      <c r="W228" s="9"/>
      <c r="X228" s="6"/>
    </row>
    <row r="229" spans="1:24">
      <c r="A229" s="9"/>
      <c r="B229" s="6"/>
      <c r="C229" s="9"/>
      <c r="D229" s="9"/>
      <c r="E229" s="9"/>
      <c r="F229" s="6"/>
      <c r="G229" s="6"/>
      <c r="H229" s="9"/>
      <c r="I229" s="6"/>
      <c r="J229" s="6"/>
      <c r="K229" s="9"/>
      <c r="L229" s="6"/>
      <c r="M229" s="6"/>
      <c r="N229" s="9"/>
      <c r="O229" s="6"/>
      <c r="P229" s="6"/>
      <c r="Q229" s="9"/>
      <c r="R229" s="6"/>
      <c r="S229" s="6"/>
      <c r="T229" s="6"/>
      <c r="U229" s="6"/>
      <c r="V229" s="9"/>
      <c r="W229" s="9"/>
      <c r="X229" s="6"/>
    </row>
    <row r="230" spans="1:24">
      <c r="A230" s="9"/>
      <c r="B230" s="6"/>
      <c r="C230" s="9"/>
      <c r="D230" s="9"/>
      <c r="E230" s="9"/>
      <c r="F230" s="6"/>
      <c r="G230" s="6"/>
      <c r="H230" s="9"/>
      <c r="I230" s="6"/>
      <c r="J230" s="6"/>
      <c r="K230" s="9"/>
      <c r="L230" s="6"/>
      <c r="M230" s="6"/>
      <c r="N230" s="9"/>
      <c r="O230" s="6"/>
      <c r="P230" s="6"/>
      <c r="Q230" s="9"/>
      <c r="R230" s="6"/>
      <c r="S230" s="6"/>
      <c r="T230" s="6"/>
      <c r="U230" s="6"/>
      <c r="V230" s="9"/>
      <c r="W230" s="9"/>
      <c r="X230" s="6"/>
    </row>
    <row r="231" spans="1:24">
      <c r="A231" s="9"/>
      <c r="B231" s="6"/>
      <c r="C231" s="9"/>
      <c r="D231" s="9"/>
      <c r="E231" s="9"/>
      <c r="F231" s="6"/>
      <c r="G231" s="6"/>
      <c r="H231" s="9"/>
      <c r="I231" s="6"/>
      <c r="J231" s="6"/>
      <c r="K231" s="9"/>
      <c r="L231" s="6"/>
      <c r="M231" s="6"/>
      <c r="N231" s="9"/>
      <c r="O231" s="6"/>
      <c r="P231" s="6"/>
      <c r="Q231" s="9"/>
      <c r="R231" s="6"/>
      <c r="S231" s="6"/>
      <c r="T231" s="6"/>
      <c r="U231" s="6"/>
      <c r="V231" s="9"/>
      <c r="W231" s="9"/>
      <c r="X231" s="6"/>
    </row>
    <row r="232" spans="1:24">
      <c r="A232" s="9"/>
      <c r="B232" s="6"/>
      <c r="C232" s="9"/>
      <c r="D232" s="9"/>
      <c r="E232" s="9"/>
      <c r="F232" s="6"/>
      <c r="G232" s="6"/>
      <c r="H232" s="9"/>
      <c r="I232" s="6"/>
      <c r="J232" s="6"/>
      <c r="K232" s="9"/>
      <c r="L232" s="6"/>
      <c r="M232" s="6"/>
      <c r="N232" s="9"/>
      <c r="O232" s="6"/>
      <c r="P232" s="6"/>
      <c r="Q232" s="9"/>
      <c r="R232" s="6"/>
      <c r="S232" s="6"/>
      <c r="T232" s="6"/>
      <c r="U232" s="6"/>
      <c r="V232" s="9"/>
      <c r="W232" s="9"/>
      <c r="X232" s="6"/>
    </row>
    <row r="233" spans="1:24">
      <c r="A233" s="9"/>
      <c r="B233" s="6"/>
      <c r="C233" s="9"/>
      <c r="D233" s="9"/>
      <c r="E233" s="9"/>
      <c r="F233" s="6"/>
      <c r="G233" s="6"/>
      <c r="H233" s="9"/>
      <c r="I233" s="6"/>
      <c r="J233" s="6"/>
      <c r="K233" s="9"/>
      <c r="L233" s="6"/>
      <c r="M233" s="6"/>
      <c r="N233" s="9"/>
      <c r="O233" s="6"/>
      <c r="P233" s="6"/>
      <c r="Q233" s="9"/>
      <c r="R233" s="6"/>
      <c r="S233" s="6"/>
      <c r="T233" s="6"/>
      <c r="U233" s="6"/>
      <c r="V233" s="9"/>
      <c r="W233" s="9"/>
      <c r="X233" s="6"/>
    </row>
    <row r="234" spans="1:24">
      <c r="A234" s="9"/>
      <c r="B234" s="6"/>
      <c r="C234" s="9"/>
      <c r="D234" s="9"/>
      <c r="E234" s="9"/>
      <c r="F234" s="6"/>
      <c r="G234" s="6"/>
      <c r="H234" s="9"/>
      <c r="I234" s="6"/>
      <c r="J234" s="6"/>
      <c r="K234" s="9"/>
      <c r="L234" s="6"/>
      <c r="M234" s="6"/>
      <c r="N234" s="9"/>
      <c r="O234" s="6"/>
      <c r="P234" s="6"/>
      <c r="Q234" s="9"/>
      <c r="R234" s="6"/>
      <c r="S234" s="6"/>
      <c r="T234" s="6"/>
      <c r="U234" s="6"/>
      <c r="V234" s="9"/>
      <c r="W234" s="9"/>
      <c r="X234" s="6"/>
    </row>
    <row r="235" spans="1:24">
      <c r="A235" s="9"/>
      <c r="B235" s="6"/>
      <c r="C235" s="9"/>
      <c r="D235" s="9"/>
      <c r="E235" s="9"/>
      <c r="F235" s="6"/>
      <c r="G235" s="6"/>
      <c r="H235" s="9"/>
      <c r="I235" s="6"/>
      <c r="J235" s="6"/>
      <c r="K235" s="9"/>
      <c r="L235" s="6"/>
      <c r="M235" s="6"/>
      <c r="N235" s="9"/>
      <c r="O235" s="6"/>
      <c r="P235" s="6"/>
      <c r="Q235" s="9"/>
      <c r="R235" s="6"/>
      <c r="S235" s="6"/>
      <c r="T235" s="6"/>
      <c r="U235" s="6"/>
      <c r="V235" s="9"/>
      <c r="W235" s="9"/>
      <c r="X235" s="6"/>
    </row>
    <row r="236" spans="1:24">
      <c r="A236" s="9"/>
      <c r="B236" s="6"/>
      <c r="C236" s="9"/>
      <c r="D236" s="9"/>
      <c r="E236" s="9"/>
      <c r="F236" s="6"/>
      <c r="G236" s="6"/>
      <c r="H236" s="9"/>
      <c r="I236" s="6"/>
      <c r="J236" s="6"/>
      <c r="K236" s="9"/>
      <c r="L236" s="6"/>
      <c r="M236" s="6"/>
      <c r="N236" s="9"/>
      <c r="O236" s="6"/>
      <c r="P236" s="6"/>
      <c r="Q236" s="9"/>
      <c r="R236" s="6"/>
      <c r="S236" s="6"/>
      <c r="T236" s="6"/>
      <c r="U236" s="6"/>
      <c r="V236" s="9"/>
      <c r="W236" s="9"/>
      <c r="X236" s="6"/>
    </row>
    <row r="237" spans="1:24">
      <c r="A237" s="9"/>
      <c r="B237" s="6"/>
      <c r="C237" s="9"/>
      <c r="D237" s="9"/>
      <c r="E237" s="9"/>
      <c r="F237" s="6"/>
      <c r="G237" s="6"/>
      <c r="H237" s="9"/>
      <c r="I237" s="6"/>
      <c r="J237" s="6"/>
      <c r="K237" s="9"/>
      <c r="L237" s="6"/>
      <c r="M237" s="6"/>
      <c r="N237" s="9"/>
      <c r="O237" s="6"/>
      <c r="P237" s="6"/>
      <c r="Q237" s="9"/>
      <c r="R237" s="6"/>
      <c r="S237" s="6"/>
      <c r="T237" s="6"/>
      <c r="U237" s="6"/>
      <c r="V237" s="9"/>
      <c r="W237" s="9"/>
      <c r="X237" s="6"/>
    </row>
    <row r="238" spans="1:24">
      <c r="A238" s="9"/>
      <c r="B238" s="6"/>
      <c r="C238" s="9"/>
      <c r="D238" s="9"/>
      <c r="E238" s="9"/>
      <c r="F238" s="6"/>
      <c r="G238" s="6"/>
      <c r="H238" s="9"/>
      <c r="I238" s="6"/>
      <c r="J238" s="6"/>
      <c r="K238" s="9"/>
      <c r="L238" s="6"/>
      <c r="M238" s="6"/>
      <c r="N238" s="9"/>
      <c r="O238" s="6"/>
      <c r="P238" s="6"/>
      <c r="Q238" s="9"/>
      <c r="R238" s="6"/>
      <c r="S238" s="6"/>
      <c r="T238" s="6"/>
      <c r="U238" s="6"/>
      <c r="V238" s="9"/>
      <c r="W238" s="9"/>
      <c r="X238" s="6"/>
    </row>
    <row r="239" spans="1:24">
      <c r="A239" s="9"/>
      <c r="B239" s="6"/>
      <c r="C239" s="9"/>
      <c r="D239" s="9"/>
      <c r="E239" s="9"/>
      <c r="F239" s="6"/>
      <c r="G239" s="6"/>
      <c r="H239" s="9"/>
      <c r="I239" s="6"/>
      <c r="J239" s="6"/>
      <c r="K239" s="9"/>
      <c r="L239" s="6"/>
      <c r="M239" s="6"/>
      <c r="N239" s="9"/>
      <c r="O239" s="6"/>
      <c r="P239" s="6"/>
      <c r="Q239" s="9"/>
      <c r="R239" s="6"/>
      <c r="S239" s="6"/>
      <c r="T239" s="6"/>
      <c r="U239" s="6"/>
      <c r="V239" s="9"/>
      <c r="W239" s="9"/>
      <c r="X239" s="6"/>
    </row>
    <row r="240" spans="1:24">
      <c r="A240" s="9"/>
      <c r="B240" s="6"/>
      <c r="C240" s="9"/>
      <c r="D240" s="9"/>
      <c r="E240" s="9"/>
      <c r="F240" s="6"/>
      <c r="G240" s="6"/>
      <c r="H240" s="9"/>
      <c r="I240" s="6"/>
      <c r="J240" s="6"/>
      <c r="K240" s="9"/>
      <c r="L240" s="6"/>
      <c r="M240" s="6"/>
      <c r="N240" s="9"/>
      <c r="O240" s="6"/>
      <c r="P240" s="6"/>
      <c r="Q240" s="9"/>
      <c r="R240" s="6"/>
      <c r="S240" s="6"/>
      <c r="T240" s="6"/>
      <c r="U240" s="6"/>
      <c r="V240" s="9"/>
      <c r="W240" s="9"/>
      <c r="X240" s="6"/>
    </row>
    <row r="241" spans="1:24">
      <c r="A241" s="9"/>
      <c r="B241" s="6"/>
      <c r="C241" s="9"/>
      <c r="D241" s="9"/>
      <c r="E241" s="9"/>
      <c r="F241" s="6"/>
      <c r="G241" s="6"/>
      <c r="H241" s="9"/>
      <c r="I241" s="6"/>
      <c r="J241" s="6"/>
      <c r="K241" s="9"/>
      <c r="L241" s="6"/>
      <c r="M241" s="6"/>
      <c r="N241" s="9"/>
      <c r="O241" s="6"/>
      <c r="P241" s="6"/>
      <c r="Q241" s="9"/>
      <c r="R241" s="6"/>
      <c r="S241" s="6"/>
      <c r="T241" s="6"/>
      <c r="U241" s="6"/>
      <c r="V241" s="9"/>
      <c r="W241" s="9"/>
      <c r="X241" s="6"/>
    </row>
    <row r="242" spans="1:24">
      <c r="A242" s="9"/>
      <c r="B242" s="6"/>
      <c r="C242" s="9"/>
      <c r="D242" s="9"/>
      <c r="E242" s="9"/>
      <c r="F242" s="6"/>
      <c r="G242" s="6"/>
      <c r="H242" s="9"/>
      <c r="I242" s="6"/>
      <c r="J242" s="6"/>
      <c r="K242" s="9"/>
      <c r="L242" s="6"/>
      <c r="M242" s="6"/>
      <c r="N242" s="9"/>
      <c r="O242" s="6"/>
      <c r="P242" s="6"/>
      <c r="Q242" s="9"/>
      <c r="R242" s="6"/>
      <c r="S242" s="6"/>
      <c r="T242" s="6"/>
      <c r="U242" s="6"/>
      <c r="V242" s="9"/>
      <c r="W242" s="9"/>
      <c r="X242" s="6"/>
    </row>
    <row r="243" spans="1:24">
      <c r="A243" s="9"/>
      <c r="B243" s="6"/>
      <c r="C243" s="9"/>
      <c r="D243" s="9"/>
      <c r="E243" s="9"/>
      <c r="F243" s="6"/>
      <c r="G243" s="6"/>
      <c r="H243" s="9"/>
      <c r="I243" s="6"/>
      <c r="J243" s="6"/>
      <c r="K243" s="9"/>
      <c r="L243" s="6"/>
      <c r="M243" s="6"/>
      <c r="N243" s="9"/>
      <c r="O243" s="6"/>
      <c r="P243" s="6"/>
      <c r="Q243" s="9"/>
      <c r="R243" s="6"/>
      <c r="S243" s="6"/>
      <c r="T243" s="6"/>
      <c r="U243" s="6"/>
      <c r="V243" s="9"/>
      <c r="W243" s="9"/>
      <c r="X243" s="6"/>
    </row>
    <row r="244" spans="1:24">
      <c r="A244" s="9"/>
      <c r="B244" s="6"/>
      <c r="C244" s="9"/>
      <c r="D244" s="9"/>
      <c r="E244" s="9"/>
      <c r="F244" s="6"/>
      <c r="G244" s="6"/>
      <c r="H244" s="9"/>
      <c r="I244" s="6"/>
      <c r="J244" s="6"/>
      <c r="K244" s="9"/>
      <c r="L244" s="6"/>
      <c r="M244" s="6"/>
      <c r="N244" s="9"/>
      <c r="O244" s="6"/>
      <c r="P244" s="6"/>
      <c r="Q244" s="9"/>
      <c r="R244" s="6"/>
      <c r="S244" s="6"/>
      <c r="T244" s="6"/>
      <c r="U244" s="6"/>
      <c r="V244" s="9"/>
      <c r="W244" s="9"/>
      <c r="X244" s="6"/>
    </row>
    <row r="245" spans="1:24">
      <c r="A245" s="9"/>
      <c r="B245" s="6"/>
      <c r="C245" s="9"/>
      <c r="D245" s="9"/>
      <c r="E245" s="9"/>
      <c r="F245" s="6"/>
      <c r="G245" s="6"/>
      <c r="H245" s="9"/>
      <c r="I245" s="6"/>
      <c r="J245" s="6"/>
      <c r="K245" s="9"/>
      <c r="L245" s="6"/>
      <c r="M245" s="6"/>
      <c r="N245" s="9"/>
      <c r="O245" s="6"/>
      <c r="P245" s="6"/>
      <c r="Q245" s="9"/>
      <c r="R245" s="6"/>
      <c r="S245" s="6"/>
      <c r="T245" s="6"/>
      <c r="U245" s="6"/>
      <c r="V245" s="9"/>
      <c r="W245" s="9"/>
      <c r="X245" s="6"/>
    </row>
    <row r="246" spans="1:24">
      <c r="A246" s="9"/>
      <c r="B246" s="6"/>
      <c r="C246" s="9"/>
      <c r="D246" s="9"/>
      <c r="E246" s="9"/>
      <c r="F246" s="6"/>
      <c r="G246" s="6"/>
      <c r="H246" s="9"/>
      <c r="I246" s="6"/>
      <c r="J246" s="6"/>
      <c r="K246" s="9"/>
      <c r="L246" s="6"/>
      <c r="M246" s="6"/>
      <c r="N246" s="9"/>
      <c r="O246" s="6"/>
      <c r="P246" s="6"/>
      <c r="Q246" s="9"/>
      <c r="R246" s="6"/>
      <c r="S246" s="6"/>
      <c r="T246" s="6"/>
      <c r="U246" s="6"/>
      <c r="V246" s="9"/>
      <c r="W246" s="9"/>
      <c r="X246" s="6"/>
    </row>
    <row r="247" spans="1:24">
      <c r="A247" s="9"/>
      <c r="B247" s="6"/>
      <c r="C247" s="9"/>
      <c r="D247" s="9"/>
      <c r="E247" s="9"/>
      <c r="F247" s="6"/>
      <c r="G247" s="6"/>
      <c r="H247" s="9"/>
      <c r="I247" s="6"/>
      <c r="J247" s="6"/>
      <c r="K247" s="9"/>
      <c r="L247" s="6"/>
      <c r="M247" s="6"/>
      <c r="N247" s="9"/>
      <c r="O247" s="6"/>
      <c r="P247" s="6"/>
      <c r="Q247" s="9"/>
      <c r="R247" s="6"/>
      <c r="S247" s="6"/>
      <c r="T247" s="6"/>
      <c r="U247" s="6"/>
      <c r="V247" s="9"/>
      <c r="W247" s="9"/>
      <c r="X247" s="6"/>
    </row>
  </sheetData>
  <autoFilter ref="A1:X105" xr:uid="{0943F679-E828-450B-AA4B-D88F1D9682DF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EBE2-C048-4233-9063-AACF4F3F0951}">
  <dimension ref="A1:F69"/>
  <sheetViews>
    <sheetView workbookViewId="0">
      <selection activeCell="D7" sqref="D7"/>
    </sheetView>
  </sheetViews>
  <sheetFormatPr defaultRowHeight="15"/>
  <cols>
    <col min="1" max="1" width="11.28515625" bestFit="1" customWidth="1"/>
    <col min="2" max="2" width="35" customWidth="1"/>
    <col min="3" max="4" width="55.5703125" bestFit="1" customWidth="1"/>
    <col min="5" max="5" width="28" bestFit="1" customWidth="1"/>
  </cols>
  <sheetData>
    <row r="1" spans="1:6">
      <c r="A1" t="s">
        <v>97</v>
      </c>
      <c r="B1" t="s">
        <v>293</v>
      </c>
      <c r="C1" t="s">
        <v>291</v>
      </c>
      <c r="D1" t="s">
        <v>292</v>
      </c>
      <c r="E1" t="s">
        <v>316</v>
      </c>
    </row>
    <row r="2" spans="1:6">
      <c r="A2">
        <v>8306</v>
      </c>
      <c r="B2" t="s">
        <v>7</v>
      </c>
      <c r="C2" t="s">
        <v>294</v>
      </c>
      <c r="D2" t="s">
        <v>294</v>
      </c>
    </row>
    <row r="3" spans="1:6">
      <c r="A3">
        <v>90013961</v>
      </c>
      <c r="B3" t="s">
        <v>87</v>
      </c>
      <c r="C3" t="s">
        <v>295</v>
      </c>
      <c r="D3" t="s">
        <v>296</v>
      </c>
    </row>
    <row r="4" spans="1:6">
      <c r="A4">
        <v>23952</v>
      </c>
      <c r="B4" t="s">
        <v>16</v>
      </c>
      <c r="C4" t="s">
        <v>297</v>
      </c>
      <c r="D4" t="s">
        <v>296</v>
      </c>
    </row>
    <row r="5" spans="1:6">
      <c r="A5">
        <v>90009703</v>
      </c>
      <c r="B5" t="s">
        <v>24</v>
      </c>
      <c r="C5" t="s">
        <v>294</v>
      </c>
      <c r="D5" t="s">
        <v>294</v>
      </c>
    </row>
    <row r="6" spans="1:6">
      <c r="A6">
        <v>90005226</v>
      </c>
      <c r="B6" t="s">
        <v>31</v>
      </c>
      <c r="C6" t="s">
        <v>294</v>
      </c>
      <c r="D6" t="s">
        <v>294</v>
      </c>
    </row>
    <row r="7" spans="1:6">
      <c r="A7">
        <v>90005023</v>
      </c>
      <c r="B7" t="s">
        <v>32</v>
      </c>
      <c r="C7" t="s">
        <v>298</v>
      </c>
      <c r="D7" t="s">
        <v>299</v>
      </c>
    </row>
    <row r="8" spans="1:6">
      <c r="A8">
        <v>9506</v>
      </c>
      <c r="B8" t="s">
        <v>101</v>
      </c>
      <c r="C8" t="s">
        <v>296</v>
      </c>
      <c r="D8" t="s">
        <v>300</v>
      </c>
    </row>
    <row r="9" spans="1:6">
      <c r="A9">
        <v>90013955</v>
      </c>
      <c r="B9" t="s">
        <v>89</v>
      </c>
      <c r="C9" t="s">
        <v>295</v>
      </c>
      <c r="D9" t="s">
        <v>294</v>
      </c>
    </row>
    <row r="10" spans="1:6">
      <c r="A10">
        <v>90002842</v>
      </c>
      <c r="B10" t="s">
        <v>38</v>
      </c>
      <c r="C10" t="s">
        <v>301</v>
      </c>
      <c r="D10" t="s">
        <v>302</v>
      </c>
    </row>
    <row r="11" spans="1:6">
      <c r="A11">
        <v>90005014</v>
      </c>
      <c r="B11" t="s">
        <v>80</v>
      </c>
      <c r="C11" t="s">
        <v>303</v>
      </c>
      <c r="D11" t="s">
        <v>296</v>
      </c>
    </row>
    <row r="12" spans="1:6">
      <c r="A12">
        <v>90009702</v>
      </c>
      <c r="B12" t="s">
        <v>104</v>
      </c>
      <c r="C12" t="s">
        <v>282</v>
      </c>
      <c r="D12" t="s">
        <v>315</v>
      </c>
      <c r="E12" t="str">
        <f>_xlfn.XLOOKUP(B12,'[5]wr2w-run-get - 2026-03-12T11243'!$B:$B,'[5]wr2w-run-get - 2026-03-12T11243'!$D:$D,1,0)</f>
        <v>PROFESSOR AUXILIAR</v>
      </c>
      <c r="F12" t="s">
        <v>318</v>
      </c>
    </row>
    <row r="13" spans="1:6">
      <c r="A13">
        <v>90011183</v>
      </c>
      <c r="B13" t="s">
        <v>42</v>
      </c>
      <c r="C13" t="s">
        <v>294</v>
      </c>
      <c r="D13" t="s">
        <v>303</v>
      </c>
    </row>
    <row r="14" spans="1:6">
      <c r="A14">
        <v>90003306</v>
      </c>
      <c r="B14" t="s">
        <v>43</v>
      </c>
      <c r="C14" t="s">
        <v>294</v>
      </c>
      <c r="D14" t="s">
        <v>294</v>
      </c>
    </row>
    <row r="15" spans="1:6">
      <c r="A15">
        <v>90013958</v>
      </c>
      <c r="B15" t="s">
        <v>90</v>
      </c>
      <c r="C15" t="s">
        <v>295</v>
      </c>
      <c r="D15" t="s">
        <v>294</v>
      </c>
    </row>
    <row r="16" spans="1:6">
      <c r="A16">
        <v>90002614</v>
      </c>
      <c r="B16" t="s">
        <v>44</v>
      </c>
      <c r="C16" t="s">
        <v>298</v>
      </c>
      <c r="D16" t="s">
        <v>298</v>
      </c>
    </row>
    <row r="17" spans="1:5">
      <c r="A17">
        <v>90006746</v>
      </c>
      <c r="B17" t="s">
        <v>47</v>
      </c>
      <c r="C17" t="s">
        <v>294</v>
      </c>
      <c r="D17" t="s">
        <v>294</v>
      </c>
    </row>
    <row r="18" spans="1:5">
      <c r="A18">
        <v>90013834</v>
      </c>
      <c r="B18" t="s">
        <v>52</v>
      </c>
      <c r="C18" t="s">
        <v>282</v>
      </c>
      <c r="D18" t="s">
        <v>306</v>
      </c>
      <c r="E18" t="str">
        <f>_xlfn.XLOOKUP(B18,'[5]wr2w-run-get - 2026-03-12T11243'!$B:$B,'[5]wr2w-run-get - 2026-03-12T11243'!$D:$D,1,0)</f>
        <v>PROFESSOR AUXILIAR</v>
      </c>
    </row>
    <row r="19" spans="1:5">
      <c r="A19">
        <v>90013639</v>
      </c>
      <c r="B19" t="s">
        <v>53</v>
      </c>
      <c r="C19" t="s">
        <v>305</v>
      </c>
      <c r="D19" t="s">
        <v>298</v>
      </c>
    </row>
    <row r="20" spans="1:5">
      <c r="A20">
        <v>90001409</v>
      </c>
      <c r="B20" t="s">
        <v>82</v>
      </c>
      <c r="C20" t="s">
        <v>303</v>
      </c>
      <c r="D20" t="s">
        <v>294</v>
      </c>
    </row>
    <row r="21" spans="1:5">
      <c r="A21">
        <v>32572</v>
      </c>
      <c r="B21" t="s">
        <v>106</v>
      </c>
      <c r="C21" t="s">
        <v>282</v>
      </c>
      <c r="D21" t="s">
        <v>306</v>
      </c>
      <c r="E21" t="str">
        <f>_xlfn.XLOOKUP(B21,'[5]wr2w-run-get - 2026-03-12T11243'!$B:$B,'[5]wr2w-run-get - 2026-03-12T11243'!$D:$D,1,0)</f>
        <v>PROFESSOR AUXILIAR</v>
      </c>
    </row>
    <row r="22" spans="1:5">
      <c r="A22">
        <v>90009989</v>
      </c>
      <c r="B22" t="s">
        <v>55</v>
      </c>
      <c r="C22" t="s">
        <v>282</v>
      </c>
      <c r="D22" t="s">
        <v>312</v>
      </c>
      <c r="E22" t="str">
        <f>_xlfn.XLOOKUP(B22,'[5]wr2w-run-get - 2026-03-12T11243'!$B:$B,'[5]wr2w-run-get - 2026-03-12T11243'!$D:$D,1,0)</f>
        <v>PROFESSOR AUXILIAR</v>
      </c>
    </row>
    <row r="23" spans="1:5">
      <c r="A23">
        <v>6792</v>
      </c>
      <c r="B23" t="s">
        <v>56</v>
      </c>
      <c r="C23" t="s">
        <v>298</v>
      </c>
      <c r="D23" t="s">
        <v>298</v>
      </c>
    </row>
    <row r="24" spans="1:5">
      <c r="A24">
        <v>90004950</v>
      </c>
      <c r="B24" t="s">
        <v>57</v>
      </c>
      <c r="C24" t="s">
        <v>294</v>
      </c>
      <c r="D24" t="s">
        <v>294</v>
      </c>
    </row>
    <row r="25" spans="1:5">
      <c r="A25">
        <v>90001535</v>
      </c>
      <c r="B25" t="s">
        <v>58</v>
      </c>
      <c r="C25" t="s">
        <v>305</v>
      </c>
      <c r="D25" t="s">
        <v>306</v>
      </c>
    </row>
    <row r="26" spans="1:5">
      <c r="A26">
        <v>3363</v>
      </c>
      <c r="B26" t="s">
        <v>91</v>
      </c>
      <c r="C26" t="s">
        <v>295</v>
      </c>
      <c r="D26" t="s">
        <v>294</v>
      </c>
    </row>
    <row r="27" spans="1:5">
      <c r="A27">
        <v>90013729</v>
      </c>
      <c r="B27" t="s">
        <v>60</v>
      </c>
      <c r="C27" t="s">
        <v>305</v>
      </c>
      <c r="D27" t="s">
        <v>298</v>
      </c>
    </row>
    <row r="28" spans="1:5">
      <c r="A28">
        <v>90010292</v>
      </c>
      <c r="B28" t="s">
        <v>61</v>
      </c>
      <c r="C28" t="s">
        <v>294</v>
      </c>
      <c r="D28" t="s">
        <v>294</v>
      </c>
    </row>
    <row r="29" spans="1:5">
      <c r="A29">
        <v>90013912</v>
      </c>
      <c r="B29" t="s">
        <v>84</v>
      </c>
      <c r="C29" t="s">
        <v>307</v>
      </c>
      <c r="D29" t="s">
        <v>299</v>
      </c>
    </row>
    <row r="30" spans="1:5">
      <c r="A30">
        <v>31303</v>
      </c>
      <c r="B30" t="s">
        <v>63</v>
      </c>
      <c r="C30" t="s">
        <v>294</v>
      </c>
      <c r="D30" t="s">
        <v>294</v>
      </c>
    </row>
    <row r="31" spans="1:5">
      <c r="A31">
        <v>4178</v>
      </c>
      <c r="B31" t="s">
        <v>85</v>
      </c>
      <c r="C31" t="s">
        <v>304</v>
      </c>
      <c r="D31" t="s">
        <v>305</v>
      </c>
    </row>
    <row r="32" spans="1:5">
      <c r="A32">
        <v>90012539</v>
      </c>
      <c r="B32" t="s">
        <v>66</v>
      </c>
      <c r="C32" t="s">
        <v>294</v>
      </c>
      <c r="D32" t="s">
        <v>306</v>
      </c>
    </row>
    <row r="33" spans="1:5">
      <c r="A33">
        <v>90013875</v>
      </c>
      <c r="B33" t="s">
        <v>86</v>
      </c>
      <c r="C33" t="s">
        <v>299</v>
      </c>
      <c r="D33" t="s">
        <v>298</v>
      </c>
    </row>
    <row r="34" spans="1:5">
      <c r="A34">
        <v>503</v>
      </c>
      <c r="B34" t="s">
        <v>111</v>
      </c>
      <c r="C34" t="s">
        <v>308</v>
      </c>
      <c r="D34" t="s">
        <v>309</v>
      </c>
    </row>
    <row r="35" spans="1:5">
      <c r="A35">
        <v>32130</v>
      </c>
      <c r="B35" t="s">
        <v>112</v>
      </c>
      <c r="C35" t="s">
        <v>309</v>
      </c>
      <c r="D35" t="s">
        <v>310</v>
      </c>
    </row>
    <row r="36" spans="1:5">
      <c r="A36">
        <v>20244</v>
      </c>
      <c r="B36" t="s">
        <v>113</v>
      </c>
      <c r="C36" t="s">
        <v>309</v>
      </c>
      <c r="D36" t="s">
        <v>311</v>
      </c>
    </row>
    <row r="37" spans="1:5">
      <c r="A37">
        <v>20857</v>
      </c>
      <c r="B37" t="s">
        <v>114</v>
      </c>
      <c r="C37" t="s">
        <v>308</v>
      </c>
      <c r="D37" t="s">
        <v>310</v>
      </c>
    </row>
    <row r="38" spans="1:5">
      <c r="A38">
        <v>23850</v>
      </c>
      <c r="B38" t="s">
        <v>115</v>
      </c>
      <c r="C38" t="s">
        <v>310</v>
      </c>
      <c r="D38" t="s">
        <v>310</v>
      </c>
    </row>
    <row r="39" spans="1:5">
      <c r="A39">
        <v>90011017</v>
      </c>
      <c r="B39" t="s">
        <v>116</v>
      </c>
      <c r="C39" t="s">
        <v>311</v>
      </c>
      <c r="D39" t="s">
        <v>311</v>
      </c>
    </row>
    <row r="40" spans="1:5">
      <c r="A40">
        <v>22466</v>
      </c>
      <c r="B40" t="s">
        <v>117</v>
      </c>
      <c r="C40" t="s">
        <v>310</v>
      </c>
      <c r="D40" t="s">
        <v>309</v>
      </c>
    </row>
    <row r="41" spans="1:5">
      <c r="A41">
        <v>8306</v>
      </c>
      <c r="B41" t="s">
        <v>7</v>
      </c>
      <c r="C41" t="s">
        <v>294</v>
      </c>
      <c r="D41" t="s">
        <v>294</v>
      </c>
    </row>
    <row r="42" spans="1:5">
      <c r="A42">
        <v>90012552</v>
      </c>
      <c r="B42" t="s">
        <v>151</v>
      </c>
      <c r="C42" t="s">
        <v>300</v>
      </c>
      <c r="D42" t="s">
        <v>312</v>
      </c>
    </row>
    <row r="43" spans="1:5">
      <c r="A43">
        <v>90010230</v>
      </c>
      <c r="B43" t="s">
        <v>152</v>
      </c>
      <c r="C43" t="s">
        <v>282</v>
      </c>
      <c r="D43" t="s">
        <v>306</v>
      </c>
      <c r="E43" t="str">
        <f>_xlfn.XLOOKUP(B43,'[5]wr2w-run-get - 2026-03-12T11243'!$B:$B,'[5]wr2w-run-get - 2026-03-12T11243'!$D:$D,1,0)</f>
        <v>PROFESSOR AUXILIAR</v>
      </c>
    </row>
    <row r="44" spans="1:5">
      <c r="A44">
        <v>32442</v>
      </c>
      <c r="B44" t="s">
        <v>153</v>
      </c>
      <c r="C44" t="s">
        <v>282</v>
      </c>
      <c r="D44" t="s">
        <v>312</v>
      </c>
      <c r="E44" t="str">
        <f>_xlfn.XLOOKUP(B44,'[5]wr2w-run-get - 2026-03-12T11243'!$B:$B,'[5]wr2w-run-get - 2026-03-12T11243'!$D:$D,1,0)</f>
        <v>PROFESSOR ASSISTENTE</v>
      </c>
    </row>
    <row r="45" spans="1:5">
      <c r="A45">
        <v>90013147</v>
      </c>
      <c r="B45" t="s">
        <v>154</v>
      </c>
      <c r="C45" t="s">
        <v>282</v>
      </c>
      <c r="D45" t="s">
        <v>313</v>
      </c>
      <c r="E45" t="str">
        <f>_xlfn.XLOOKUP(B45,'[5]wr2w-run-get - 2026-03-12T11243'!$B:$B,'[5]wr2w-run-get - 2026-03-12T11243'!$D:$D,1,0)</f>
        <v>PROFESSOR AUXILIAR</v>
      </c>
    </row>
    <row r="46" spans="1:5">
      <c r="A46">
        <v>90010238</v>
      </c>
      <c r="B46" t="s">
        <v>156</v>
      </c>
      <c r="C46" t="s">
        <v>282</v>
      </c>
      <c r="D46" t="s">
        <v>312</v>
      </c>
      <c r="E46" t="str">
        <f>_xlfn.XLOOKUP(B46,'[5]wr2w-run-get - 2026-03-12T11243'!$B:$B,'[5]wr2w-run-get - 2026-03-12T11243'!$D:$D,1,0)</f>
        <v>PROFESSOR AUXILIAR</v>
      </c>
    </row>
    <row r="47" spans="1:5">
      <c r="A47">
        <v>90013014</v>
      </c>
      <c r="B47" t="s">
        <v>169</v>
      </c>
      <c r="C47" t="s">
        <v>306</v>
      </c>
      <c r="D47" t="s">
        <v>314</v>
      </c>
    </row>
    <row r="48" spans="1:5">
      <c r="A48">
        <v>7892</v>
      </c>
      <c r="B48" t="s">
        <v>170</v>
      </c>
      <c r="C48" t="s">
        <v>315</v>
      </c>
      <c r="D48" t="s">
        <v>315</v>
      </c>
    </row>
    <row r="49" spans="1:5">
      <c r="A49">
        <v>14747</v>
      </c>
      <c r="B49" t="s">
        <v>171</v>
      </c>
      <c r="C49" t="s">
        <v>282</v>
      </c>
      <c r="D49" t="s">
        <v>315</v>
      </c>
      <c r="E49" t="str">
        <f>_xlfn.XLOOKUP(B49,'[5]wr2w-run-get - 2026-03-12T11243'!$B:$B,'[5]wr2w-run-get - 2026-03-12T11243'!$D:$D,1,0)</f>
        <v>PROFESSOR TITULAR</v>
      </c>
    </row>
    <row r="50" spans="1:5">
      <c r="A50">
        <v>1030</v>
      </c>
      <c r="B50" t="s">
        <v>172</v>
      </c>
      <c r="C50" t="s">
        <v>310</v>
      </c>
      <c r="D50" t="s">
        <v>311</v>
      </c>
    </row>
    <row r="51" spans="1:5">
      <c r="A51">
        <v>90001957</v>
      </c>
      <c r="B51" t="s">
        <v>173</v>
      </c>
      <c r="C51" t="s">
        <v>282</v>
      </c>
      <c r="D51" t="s">
        <v>315</v>
      </c>
      <c r="E51" t="str">
        <f>_xlfn.XLOOKUP(B51,'[5]wr2w-run-get - 2026-03-12T11243'!$B:$B,'[5]wr2w-run-get - 2026-03-12T11243'!$D:$D,1,0)</f>
        <v>PROFESSOR ADJUNTO</v>
      </c>
    </row>
    <row r="52" spans="1:5">
      <c r="A52">
        <v>90011695</v>
      </c>
      <c r="B52" t="s">
        <v>193</v>
      </c>
      <c r="C52" t="s">
        <v>312</v>
      </c>
      <c r="D52" t="s">
        <v>295</v>
      </c>
    </row>
    <row r="53" spans="1:5">
      <c r="A53">
        <v>90014085</v>
      </c>
      <c r="B53" t="s">
        <v>194</v>
      </c>
      <c r="C53" t="s">
        <v>282</v>
      </c>
      <c r="D53" t="s">
        <v>309</v>
      </c>
      <c r="E53" t="s">
        <v>317</v>
      </c>
    </row>
    <row r="54" spans="1:5">
      <c r="A54">
        <v>24108</v>
      </c>
      <c r="B54" t="s">
        <v>196</v>
      </c>
      <c r="C54" t="s">
        <v>296</v>
      </c>
      <c r="D54" t="s">
        <v>296</v>
      </c>
    </row>
    <row r="55" spans="1:5">
      <c r="A55">
        <v>26165</v>
      </c>
      <c r="B55" t="s">
        <v>197</v>
      </c>
      <c r="C55" t="s">
        <v>312</v>
      </c>
      <c r="D55" t="s">
        <v>312</v>
      </c>
    </row>
    <row r="56" spans="1:5">
      <c r="A56">
        <v>90001974</v>
      </c>
      <c r="B56" t="s">
        <v>198</v>
      </c>
      <c r="C56" t="s">
        <v>282</v>
      </c>
      <c r="D56" t="s">
        <v>302</v>
      </c>
      <c r="E56" t="str">
        <f>_xlfn.XLOOKUP(B56,'[5]wr2w-run-get - 2026-03-12T11243'!$B:$B,'[5]wr2w-run-get - 2026-03-12T11243'!$D:$D,1,0)</f>
        <v>PROFESSOR ASSISTENTE</v>
      </c>
    </row>
    <row r="57" spans="1:5">
      <c r="A57">
        <v>90006508</v>
      </c>
      <c r="B57" t="s">
        <v>199</v>
      </c>
      <c r="C57" t="s">
        <v>282</v>
      </c>
      <c r="D57" t="s">
        <v>296</v>
      </c>
      <c r="E57" t="str">
        <f>_xlfn.XLOOKUP(B57,'[5]wr2w-run-get - 2026-03-12T11243'!$B:$B,'[5]wr2w-run-get - 2026-03-12T11243'!$D:$D,1,0)</f>
        <v>PROFESSOR AUXILIAR</v>
      </c>
    </row>
    <row r="58" spans="1:5">
      <c r="A58">
        <v>90001484</v>
      </c>
      <c r="B58" t="s">
        <v>206</v>
      </c>
      <c r="C58" t="s">
        <v>282</v>
      </c>
      <c r="D58" t="s">
        <v>302</v>
      </c>
      <c r="E58" t="str">
        <f>_xlfn.XLOOKUP(B58,'[5]wr2w-run-get - 2026-03-12T11243'!$B:$B,'[5]wr2w-run-get - 2026-03-12T11243'!$D:$D,1,0)</f>
        <v>PROFESSOR AUXILIAR</v>
      </c>
    </row>
    <row r="59" spans="1:5">
      <c r="A59">
        <v>6558</v>
      </c>
      <c r="B59" t="s">
        <v>207</v>
      </c>
      <c r="C59" t="s">
        <v>282</v>
      </c>
      <c r="D59" t="s">
        <v>315</v>
      </c>
      <c r="E59" t="str">
        <f>_xlfn.XLOOKUP(B59,'[5]wr2w-run-get - 2026-03-12T11243'!$B:$B,'[5]wr2w-run-get - 2026-03-12T11243'!$D:$D,1,0)</f>
        <v>PROFESSOR TITULAR</v>
      </c>
    </row>
    <row r="60" spans="1:5">
      <c r="A60">
        <v>31954</v>
      </c>
      <c r="B60" t="s">
        <v>208</v>
      </c>
      <c r="C60" t="s">
        <v>282</v>
      </c>
      <c r="D60" t="s">
        <v>311</v>
      </c>
      <c r="E60" t="str">
        <f>_xlfn.XLOOKUP(B60,'[5]wr2w-run-get - 2026-03-12T11243'!$B:$B,'[5]wr2w-run-get - 2026-03-12T11243'!$D:$D,1,0)</f>
        <v>DIRETOR</v>
      </c>
    </row>
    <row r="61" spans="1:5">
      <c r="A61">
        <v>90002145</v>
      </c>
      <c r="B61" t="s">
        <v>209</v>
      </c>
      <c r="C61" t="s">
        <v>282</v>
      </c>
      <c r="D61" t="s">
        <v>315</v>
      </c>
      <c r="E61" t="str">
        <f>_xlfn.XLOOKUP(B61,'[5]wr2w-run-get - 2026-03-12T11243'!$B:$B,'[5]wr2w-run-get - 2026-03-12T11243'!$D:$D,1,0)</f>
        <v>PROFESSOR ASSISTENTE</v>
      </c>
    </row>
    <row r="62" spans="1:5">
      <c r="A62">
        <v>7319</v>
      </c>
      <c r="B62" t="s">
        <v>214</v>
      </c>
      <c r="C62" t="s">
        <v>282</v>
      </c>
      <c r="D62" t="s">
        <v>315</v>
      </c>
      <c r="E62" t="str">
        <f>_xlfn.XLOOKUP(B62,'[5]wr2w-run-get - 2026-03-12T11243'!$B:$B,'[5]wr2w-run-get - 2026-03-12T11243'!$D:$D,1,0)</f>
        <v>PRO-REITOR</v>
      </c>
    </row>
    <row r="63" spans="1:5">
      <c r="A63">
        <v>7388</v>
      </c>
      <c r="B63" t="s">
        <v>215</v>
      </c>
      <c r="C63" t="s">
        <v>282</v>
      </c>
      <c r="D63" t="s">
        <v>311</v>
      </c>
      <c r="E63" t="str">
        <f>_xlfn.XLOOKUP(B63,'[5]wr2w-run-get - 2026-03-12T11243'!$B:$B,'[5]wr2w-run-get - 2026-03-12T11243'!$D:$D,1,0)</f>
        <v>DIR REGULACAO E AVALIACAO</v>
      </c>
    </row>
    <row r="64" spans="1:5">
      <c r="A64">
        <v>6622</v>
      </c>
      <c r="B64" t="s">
        <v>216</v>
      </c>
      <c r="C64" t="s">
        <v>282</v>
      </c>
      <c r="D64" t="s">
        <v>315</v>
      </c>
      <c r="E64" t="str">
        <f>_xlfn.XLOOKUP(B64,'[5]wr2w-run-get - 2026-03-12T11243'!$B:$B,'[5]wr2w-run-get - 2026-03-12T11243'!$D:$D,1,0)</f>
        <v>PROFESSOR TITULAR</v>
      </c>
    </row>
    <row r="65" spans="1:5">
      <c r="A65">
        <v>20852</v>
      </c>
      <c r="B65" t="s">
        <v>217</v>
      </c>
      <c r="C65" t="s">
        <v>282</v>
      </c>
      <c r="D65" t="s">
        <v>311</v>
      </c>
      <c r="E65" t="str">
        <f>_xlfn.XLOOKUP(B65,'[5]wr2w-run-get - 2026-03-12T11243'!$B:$B,'[5]wr2w-run-get - 2026-03-12T11243'!$D:$D,1,0)</f>
        <v>COORD CURSO</v>
      </c>
    </row>
    <row r="66" spans="1:5">
      <c r="A66">
        <v>26276</v>
      </c>
      <c r="B66" t="s">
        <v>224</v>
      </c>
      <c r="C66" t="s">
        <v>282</v>
      </c>
      <c r="D66" t="s">
        <v>296</v>
      </c>
      <c r="E66" t="str">
        <f>_xlfn.XLOOKUP(B66,'[5]wr2w-run-get - 2026-03-12T11243'!$B:$B,'[5]wr2w-run-get - 2026-03-12T11243'!$D:$D,1,0)</f>
        <v>PROFESSOR ASSISTENTE</v>
      </c>
    </row>
    <row r="67" spans="1:5">
      <c r="A67">
        <v>90006940</v>
      </c>
      <c r="B67" t="s">
        <v>229</v>
      </c>
      <c r="C67" t="s">
        <v>282</v>
      </c>
      <c r="D67" t="s">
        <v>306</v>
      </c>
      <c r="E67" t="str">
        <f>_xlfn.XLOOKUP(B67,'[5]wr2w-run-get - 2026-03-12T11243'!$B:$B,'[5]wr2w-run-get - 2026-03-12T11243'!$D:$D,1,0)</f>
        <v>PROFESSOR AUXILIAR</v>
      </c>
    </row>
    <row r="68" spans="1:5">
      <c r="A68">
        <v>21611</v>
      </c>
      <c r="B68" t="s">
        <v>240</v>
      </c>
      <c r="C68" t="s">
        <v>282</v>
      </c>
      <c r="D68" t="s">
        <v>311</v>
      </c>
      <c r="E68" t="str">
        <f>_xlfn.XLOOKUP(B68,'[5]wr2w-run-get - 2026-03-12T11243'!$B:$B,'[5]wr2w-run-get - 2026-03-12T11243'!$D:$D,1,0)</f>
        <v>PROFESSOR ASSISTENTE</v>
      </c>
    </row>
    <row r="69" spans="1:5">
      <c r="A69">
        <v>90012360</v>
      </c>
      <c r="B69" t="s">
        <v>268</v>
      </c>
      <c r="C69" t="s">
        <v>282</v>
      </c>
      <c r="D69" t="s">
        <v>297</v>
      </c>
      <c r="E69" t="str">
        <f>_xlfn.XLOOKUP(B69,'[5]wr2w-run-get - 2026-03-12T11243'!$B:$B,'[5]wr2w-run-get - 2026-03-12T11243'!$D:$D,1,0)</f>
        <v>PROFESSOR AUXILIAR</v>
      </c>
    </row>
  </sheetData>
  <autoFilter ref="A1:E69" xr:uid="{8D68EBE2-C048-4233-9063-AACF4F3F0951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1CB5DF6176BD419F239FD2FB274704" ma:contentTypeVersion="16" ma:contentTypeDescription="Crie um novo documento." ma:contentTypeScope="" ma:versionID="41fc35933fd7da0ed9181d9cfebc14ef">
  <xsd:schema xmlns:xsd="http://www.w3.org/2001/XMLSchema" xmlns:xs="http://www.w3.org/2001/XMLSchema" xmlns:p="http://schemas.microsoft.com/office/2006/metadata/properties" xmlns:ns2="5a27a990-65ee-49d8-b66b-3a6f169a7712" xmlns:ns3="fa78bd89-2534-4b6e-ba1b-3a4d893a78f6" targetNamespace="http://schemas.microsoft.com/office/2006/metadata/properties" ma:root="true" ma:fieldsID="bdd1109ee22a6b0c16d1776b744c1881" ns2:_="" ns3:_="">
    <xsd:import namespace="5a27a990-65ee-49d8-b66b-3a6f169a7712"/>
    <xsd:import namespace="fa78bd89-2534-4b6e-ba1b-3a4d893a7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7a990-65ee-49d8-b66b-3a6f169a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8bd89-2534-4b6e-ba1b-3a4d893a78f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56ab87-c7ab-46dc-b70b-3e94b1f3c0af}" ma:internalName="TaxCatchAll" ma:showField="CatchAllData" ma:web="fa78bd89-2534-4b6e-ba1b-3a4d893a7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78bd89-2534-4b6e-ba1b-3a4d893a78f6" xsi:nil="true"/>
    <lcf76f155ced4ddcb4097134ff3c332f xmlns="5a27a990-65ee-49d8-b66b-3a6f169a771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C04734-CC26-40EF-8BD6-62110CB558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27a990-65ee-49d8-b66b-3a6f169a7712"/>
    <ds:schemaRef ds:uri="fa78bd89-2534-4b6e-ba1b-3a4d893a78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7E69E5-BA09-4401-8953-DE7A06227BA2}">
  <ds:schemaRefs>
    <ds:schemaRef ds:uri="http://schemas.microsoft.com/office/2006/metadata/properties"/>
    <ds:schemaRef ds:uri="http://schemas.microsoft.com/office/infopath/2007/PartnerControls"/>
    <ds:schemaRef ds:uri="fa78bd89-2534-4b6e-ba1b-3a4d893a78f6"/>
    <ds:schemaRef ds:uri="5a27a990-65ee-49d8-b66b-3a6f169a7712"/>
  </ds:schemaRefs>
</ds:datastoreItem>
</file>

<file path=customXml/itemProps3.xml><?xml version="1.0" encoding="utf-8"?>
<ds:datastoreItem xmlns:ds="http://schemas.openxmlformats.org/officeDocument/2006/customXml" ds:itemID="{6C7967BB-9EBB-4E64-A498-E2D50FDCE6E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01.04</vt:lpstr>
      <vt:lpstr>06.04</vt:lpstr>
      <vt:lpstr>13.04</vt:lpstr>
      <vt:lpstr>20.04</vt:lpstr>
      <vt:lpstr>27.04</vt:lpstr>
      <vt:lpstr>Resultado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 BI</dc:creator>
  <cp:keywords/>
  <dc:description/>
  <cp:lastModifiedBy>Diogo Jose Varaschin de Oliveira</cp:lastModifiedBy>
  <cp:revision/>
  <dcterms:created xsi:type="dcterms:W3CDTF">2016-07-06T08:22:49Z</dcterms:created>
  <dcterms:modified xsi:type="dcterms:W3CDTF">2026-05-20T19:19:53Z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0x010100B91CB5DF6176BD419F239FD2FB274704</vt:lpwstr>
  </property>
  <property fmtid="{D5CDD505-2E9C-101B-9397-08002B2CF9AE}" pid="3" name="MediaServiceImageTags">
    <vt:lpwstr/>
  </property>
</Properties>
</file>